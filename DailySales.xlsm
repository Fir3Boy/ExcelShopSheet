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H\Desktop\ahmed\"/>
    </mc:Choice>
  </mc:AlternateContent>
  <xr:revisionPtr revIDLastSave="0" documentId="8_{81A9987B-08C4-4911-99D6-628B98553F22}" xr6:coauthVersionLast="47" xr6:coauthVersionMax="47" xr10:uidLastSave="{00000000-0000-0000-0000-000000000000}"/>
  <bookViews>
    <workbookView xWindow="135" yWindow="2640" windowWidth="14400" windowHeight="10755" activeTab="1" xr2:uid="{00000000-000D-0000-FFFF-FFFF00000000}"/>
  </bookViews>
  <sheets>
    <sheet name="منتجات" sheetId="1" r:id="rId1"/>
    <sheet name="وارد" sheetId="2" r:id="rId2"/>
    <sheet name="صادر" sheetId="3" r:id="rId3"/>
    <sheet name="الأصناف" sheetId="4" r:id="rId4"/>
    <sheet name="ورقة5" sheetId="5" r:id="rId5"/>
  </sheets>
  <definedNames>
    <definedName name="bCST">ورقة5!$S$4:$S$20</definedName>
    <definedName name="CEJST">ورقة5!$B$4:$B$20</definedName>
    <definedName name="FIFAILlblack">ورقة5!$D$4:$D$13</definedName>
    <definedName name="FIFAILmlwon">ورقة5!$C$4:$C$15</definedName>
    <definedName name="FORSAN">ورقة5!$E$4:$E$15</definedName>
    <definedName name="fosos2cat">ورقة5!$N$4:$N$22</definedName>
    <definedName name="fososdmc">ورقة5!$O$4:$O$23</definedName>
    <definedName name="hLMORST">ورقة5!$M$4:$M$19</definedName>
    <definedName name="Katantiwan">ورقة5!$F$4:$F$20</definedName>
    <definedName name="kITAN">ورقة5!$P$4:$P$22</definedName>
    <definedName name="kIYAT">ورقة5!$Q$4:$Q$17</definedName>
    <definedName name="LEZERblack">ورقة5!$K$4:$K$14</definedName>
    <definedName name="LEZERmlwon">ورقة5!$G$4:$G$15</definedName>
    <definedName name="MALAKIM">ورقة5!$H$4:$H$17</definedName>
    <definedName name="NaN">ورقة5!$L$4</definedName>
    <definedName name="NIDAblack">ورقة5!$J$4:$J$15</definedName>
    <definedName name="NIDAmlwon">ورقة5!$I$4:$I$21</definedName>
    <definedName name="zigzag">ورقة5!$R$4:$R$15</definedName>
  </definedNames>
  <calcPr calcId="191028" iterate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4" i="1" l="1"/>
  <c r="E4" i="1"/>
  <c r="D5" i="1"/>
  <c r="E5" i="1"/>
  <c r="D6" i="1"/>
  <c r="E6" i="1"/>
  <c r="D7" i="1"/>
  <c r="E7" i="1"/>
  <c r="D8" i="1"/>
  <c r="E8" i="1"/>
  <c r="D9" i="1"/>
  <c r="E9" i="1"/>
  <c r="D10" i="1"/>
  <c r="E10" i="1"/>
  <c r="D11" i="1"/>
  <c r="E11" i="1"/>
  <c r="D12" i="1"/>
  <c r="E12" i="1"/>
  <c r="D13" i="1"/>
  <c r="E13" i="1"/>
  <c r="D14" i="1"/>
  <c r="E14" i="1"/>
  <c r="D15" i="1"/>
  <c r="E15" i="1"/>
  <c r="D16" i="1"/>
  <c r="E16" i="1"/>
  <c r="D17" i="1"/>
  <c r="E17" i="1"/>
  <c r="D18" i="1"/>
  <c r="E18" i="1"/>
  <c r="D19" i="1"/>
  <c r="E19" i="1"/>
  <c r="D20" i="1"/>
  <c r="E20" i="1"/>
  <c r="D21" i="1"/>
  <c r="E21" i="1"/>
  <c r="D22" i="1"/>
  <c r="E22" i="1"/>
  <c r="D23" i="1"/>
  <c r="E23" i="1"/>
  <c r="D24" i="1"/>
  <c r="E24" i="1"/>
  <c r="D25" i="1"/>
  <c r="E25" i="1"/>
  <c r="D26" i="1"/>
  <c r="E26" i="1"/>
  <c r="D27" i="1"/>
  <c r="E27" i="1"/>
  <c r="D28" i="1"/>
  <c r="E28" i="1"/>
  <c r="D29" i="1"/>
  <c r="E29" i="1"/>
  <c r="D30" i="1"/>
  <c r="E30" i="1"/>
  <c r="D31" i="1"/>
  <c r="E31" i="1"/>
  <c r="D32" i="1"/>
  <c r="E32" i="1"/>
  <c r="D33" i="1"/>
  <c r="E33" i="1"/>
  <c r="D34" i="1"/>
  <c r="E34" i="1"/>
  <c r="D35" i="1"/>
  <c r="E35" i="1"/>
  <c r="D36" i="1"/>
  <c r="E36" i="1"/>
  <c r="D37" i="1"/>
  <c r="E37" i="1"/>
  <c r="D38" i="1"/>
  <c r="E38" i="1"/>
  <c r="D39" i="1"/>
  <c r="E39" i="1"/>
  <c r="D40" i="1"/>
  <c r="E40" i="1"/>
  <c r="D41" i="1"/>
  <c r="E41" i="1"/>
  <c r="D42" i="1"/>
  <c r="E42" i="1"/>
  <c r="D43" i="1"/>
  <c r="E43" i="1"/>
  <c r="D44" i="1"/>
  <c r="E44" i="1"/>
  <c r="D45" i="1"/>
  <c r="E45" i="1"/>
  <c r="D46" i="1"/>
  <c r="E46" i="1"/>
  <c r="D47" i="1"/>
  <c r="E47" i="1"/>
  <c r="D48" i="1"/>
  <c r="E48" i="1"/>
  <c r="D49" i="1"/>
  <c r="E49" i="1"/>
  <c r="D50" i="1"/>
  <c r="E50" i="1"/>
  <c r="D51" i="1"/>
  <c r="E51" i="1"/>
  <c r="D52" i="1"/>
  <c r="E52" i="1"/>
  <c r="D53" i="1"/>
  <c r="E53" i="1"/>
  <c r="D54" i="1"/>
  <c r="E54" i="1"/>
  <c r="D55" i="1"/>
  <c r="E55" i="1"/>
  <c r="D56" i="1"/>
  <c r="E56" i="1"/>
  <c r="D57" i="1"/>
  <c r="E57" i="1"/>
  <c r="D58" i="1"/>
  <c r="E58" i="1"/>
  <c r="D59" i="1"/>
  <c r="E59" i="1"/>
  <c r="D60" i="1"/>
  <c r="E60" i="1"/>
  <c r="D61" i="1"/>
  <c r="E61" i="1"/>
  <c r="D62" i="1"/>
  <c r="E62" i="1"/>
  <c r="D63" i="1"/>
  <c r="E63" i="1"/>
  <c r="D64" i="1"/>
  <c r="E64" i="1"/>
  <c r="D65" i="1"/>
  <c r="E65" i="1"/>
  <c r="D66" i="1"/>
  <c r="E66" i="1"/>
  <c r="D67" i="1"/>
  <c r="E67" i="1"/>
  <c r="D68" i="1"/>
  <c r="E68" i="1"/>
  <c r="D69" i="1"/>
  <c r="E69" i="1"/>
  <c r="D70" i="1"/>
  <c r="E70" i="1"/>
  <c r="D71" i="1"/>
  <c r="E71" i="1"/>
  <c r="D72" i="1"/>
  <c r="E72" i="1"/>
  <c r="D73" i="1"/>
  <c r="E73" i="1"/>
  <c r="D74" i="1"/>
  <c r="E74" i="1"/>
  <c r="D75" i="1"/>
  <c r="E75" i="1"/>
  <c r="D76" i="1"/>
  <c r="E76" i="1"/>
  <c r="D77" i="1"/>
  <c r="E77" i="1"/>
  <c r="D78" i="1"/>
  <c r="E78" i="1"/>
  <c r="D79" i="1"/>
  <c r="E79" i="1"/>
  <c r="D80" i="1"/>
  <c r="E80" i="1"/>
  <c r="D81" i="1"/>
  <c r="E81" i="1"/>
  <c r="D82" i="1"/>
  <c r="E82" i="1"/>
  <c r="D83" i="1"/>
  <c r="E83" i="1"/>
  <c r="D84" i="1"/>
  <c r="E84" i="1"/>
  <c r="D85" i="1"/>
  <c r="E85" i="1"/>
  <c r="D86" i="1"/>
  <c r="E86" i="1"/>
  <c r="D87" i="1"/>
  <c r="E87" i="1"/>
  <c r="D88" i="1"/>
  <c r="E88" i="1"/>
  <c r="D89" i="1"/>
  <c r="E89" i="1"/>
  <c r="D90" i="1"/>
  <c r="E90" i="1"/>
  <c r="D91" i="1"/>
  <c r="E91" i="1"/>
  <c r="D92" i="1"/>
  <c r="E92" i="1"/>
  <c r="D93" i="1"/>
  <c r="E93" i="1"/>
  <c r="D94" i="1"/>
  <c r="E94" i="1"/>
  <c r="D95" i="1"/>
  <c r="E95" i="1"/>
  <c r="D96" i="1"/>
  <c r="E96" i="1"/>
  <c r="D97" i="1"/>
  <c r="E97" i="1"/>
  <c r="D98" i="1"/>
  <c r="E98" i="1"/>
  <c r="D99" i="1"/>
  <c r="E99" i="1"/>
  <c r="D100" i="1"/>
  <c r="E100" i="1"/>
  <c r="D101" i="1"/>
  <c r="E101" i="1"/>
  <c r="D102" i="1"/>
  <c r="E102" i="1"/>
  <c r="D103" i="1"/>
  <c r="E103" i="1"/>
  <c r="D104" i="1"/>
  <c r="E104" i="1"/>
  <c r="D105" i="1"/>
  <c r="E105" i="1"/>
  <c r="D106" i="1"/>
  <c r="E106" i="1"/>
  <c r="D107" i="1"/>
  <c r="E107" i="1"/>
  <c r="D108" i="1"/>
  <c r="E108" i="1"/>
  <c r="D109" i="1"/>
  <c r="E109" i="1"/>
  <c r="D110" i="1"/>
  <c r="E110" i="1"/>
  <c r="D111" i="1"/>
  <c r="E111" i="1"/>
  <c r="D112" i="1"/>
  <c r="E112" i="1"/>
  <c r="D113" i="1"/>
  <c r="E113" i="1"/>
  <c r="D114" i="1"/>
  <c r="E114" i="1"/>
  <c r="D115" i="1"/>
  <c r="E115" i="1"/>
  <c r="D116" i="1"/>
  <c r="E116" i="1"/>
  <c r="D117" i="1"/>
  <c r="E117" i="1"/>
  <c r="D118" i="1"/>
  <c r="E118" i="1"/>
  <c r="D119" i="1"/>
  <c r="E119" i="1"/>
  <c r="D120" i="1"/>
  <c r="E120" i="1"/>
  <c r="D121" i="1"/>
  <c r="E121" i="1"/>
  <c r="D122" i="1"/>
  <c r="E122" i="1"/>
  <c r="D123" i="1"/>
  <c r="E123" i="1"/>
  <c r="D124" i="1"/>
  <c r="E124" i="1"/>
  <c r="D125" i="1"/>
  <c r="E125" i="1"/>
  <c r="D126" i="1"/>
  <c r="E126" i="1"/>
  <c r="D127" i="1"/>
  <c r="E127" i="1"/>
  <c r="D128" i="1"/>
  <c r="E128" i="1"/>
  <c r="D129" i="1"/>
  <c r="E129" i="1"/>
  <c r="D130" i="1"/>
  <c r="E130" i="1"/>
  <c r="D131" i="1"/>
  <c r="E131" i="1"/>
  <c r="D132" i="1"/>
  <c r="E132" i="1"/>
  <c r="D133" i="1"/>
  <c r="E133" i="1"/>
  <c r="D134" i="1"/>
  <c r="E134" i="1"/>
  <c r="D135" i="1"/>
  <c r="E135" i="1"/>
  <c r="D136" i="1"/>
  <c r="E136" i="1"/>
  <c r="D137" i="1"/>
  <c r="E137" i="1"/>
  <c r="D138" i="1"/>
  <c r="E138" i="1"/>
  <c r="D139" i="1"/>
  <c r="E139" i="1"/>
  <c r="D140" i="1"/>
  <c r="E140" i="1"/>
  <c r="D141" i="1"/>
  <c r="E141" i="1"/>
  <c r="D142" i="1"/>
  <c r="E142" i="1"/>
  <c r="D143" i="1"/>
  <c r="E143" i="1"/>
  <c r="D144" i="1"/>
  <c r="E144" i="1"/>
  <c r="D145" i="1"/>
  <c r="E145" i="1"/>
  <c r="D146" i="1"/>
  <c r="E146" i="1"/>
  <c r="D147" i="1"/>
  <c r="E147" i="1"/>
  <c r="D148" i="1"/>
  <c r="E148" i="1"/>
  <c r="D149" i="1"/>
  <c r="E149" i="1"/>
  <c r="D150" i="1"/>
  <c r="E150" i="1"/>
  <c r="D151" i="1"/>
  <c r="E151" i="1"/>
  <c r="D152" i="1"/>
  <c r="E152" i="1"/>
  <c r="D153" i="1"/>
  <c r="E153" i="1"/>
  <c r="D154" i="1"/>
  <c r="E154" i="1"/>
  <c r="D155" i="1"/>
  <c r="E155" i="1"/>
  <c r="D156" i="1"/>
  <c r="E156" i="1"/>
  <c r="D157" i="1"/>
  <c r="E157" i="1"/>
  <c r="D158" i="1"/>
  <c r="E158" i="1"/>
  <c r="D159" i="1"/>
  <c r="E159" i="1"/>
  <c r="D160" i="1"/>
  <c r="E160" i="1"/>
  <c r="D161" i="1"/>
  <c r="E161" i="1"/>
  <c r="D162" i="1"/>
  <c r="E162" i="1"/>
  <c r="D163" i="1"/>
  <c r="E163" i="1"/>
  <c r="D164" i="1"/>
  <c r="E164" i="1"/>
  <c r="D165" i="1"/>
  <c r="E165" i="1"/>
  <c r="D166" i="1"/>
  <c r="E166" i="1"/>
  <c r="D167" i="1"/>
  <c r="E167" i="1"/>
  <c r="D168" i="1"/>
  <c r="E168" i="1"/>
  <c r="D169" i="1"/>
  <c r="E169" i="1"/>
  <c r="D170" i="1"/>
  <c r="E170" i="1"/>
  <c r="D171" i="1"/>
  <c r="E171" i="1"/>
  <c r="D172" i="1"/>
  <c r="E172" i="1"/>
  <c r="D173" i="1"/>
  <c r="E173" i="1"/>
  <c r="D174" i="1"/>
  <c r="E174" i="1"/>
  <c r="D175" i="1"/>
  <c r="E175" i="1"/>
  <c r="D176" i="1"/>
  <c r="E176" i="1"/>
  <c r="D177" i="1"/>
  <c r="E177" i="1"/>
  <c r="D178" i="1"/>
  <c r="E178" i="1"/>
  <c r="D179" i="1"/>
  <c r="E179" i="1"/>
  <c r="D180" i="1"/>
  <c r="E180" i="1"/>
  <c r="D181" i="1"/>
  <c r="E181" i="1"/>
  <c r="D182" i="1"/>
  <c r="E182" i="1"/>
  <c r="D183" i="1"/>
  <c r="E183" i="1"/>
  <c r="D184" i="1"/>
  <c r="E184" i="1"/>
  <c r="D185" i="1"/>
  <c r="E185" i="1"/>
  <c r="D186" i="1"/>
  <c r="E186" i="1"/>
  <c r="D187" i="1"/>
  <c r="E187" i="1"/>
  <c r="D188" i="1"/>
  <c r="E188" i="1"/>
  <c r="D189" i="1"/>
  <c r="E189" i="1"/>
  <c r="D190" i="1"/>
  <c r="E190" i="1"/>
  <c r="D191" i="1"/>
  <c r="E191" i="1"/>
  <c r="D192" i="1"/>
  <c r="E192" i="1"/>
  <c r="D193" i="1"/>
  <c r="E193" i="1"/>
  <c r="D194" i="1"/>
  <c r="E194" i="1"/>
  <c r="D195" i="1"/>
  <c r="E195" i="1"/>
  <c r="D196" i="1"/>
  <c r="E196" i="1"/>
  <c r="D197" i="1"/>
  <c r="E197" i="1"/>
  <c r="D198" i="1"/>
  <c r="E198" i="1"/>
  <c r="D199" i="1"/>
  <c r="E199" i="1"/>
  <c r="D200" i="1"/>
  <c r="E200" i="1"/>
  <c r="D201" i="1"/>
  <c r="E201" i="1"/>
  <c r="D202" i="1"/>
  <c r="E202" i="1"/>
  <c r="D203" i="1"/>
  <c r="E203" i="1"/>
  <c r="D204" i="1"/>
  <c r="E204" i="1"/>
  <c r="D205" i="1"/>
  <c r="E205" i="1"/>
  <c r="D206" i="1"/>
  <c r="E206" i="1"/>
  <c r="D207" i="1"/>
  <c r="E207" i="1"/>
  <c r="D208" i="1"/>
  <c r="E208" i="1"/>
  <c r="D209" i="1"/>
  <c r="E209" i="1"/>
  <c r="D210" i="1"/>
  <c r="E210" i="1"/>
  <c r="D211" i="1"/>
  <c r="E211" i="1"/>
  <c r="D212" i="1"/>
  <c r="E212" i="1"/>
  <c r="D213" i="1"/>
  <c r="E213" i="1"/>
  <c r="D214" i="1"/>
  <c r="E214" i="1"/>
  <c r="D215" i="1"/>
  <c r="E215" i="1"/>
  <c r="D216" i="1"/>
  <c r="E216" i="1"/>
  <c r="D217" i="1"/>
  <c r="E217" i="1"/>
  <c r="D218" i="1"/>
  <c r="E218" i="1"/>
  <c r="D219" i="1"/>
  <c r="E219" i="1"/>
  <c r="D220" i="1"/>
  <c r="E220" i="1"/>
  <c r="D221" i="1"/>
  <c r="E221" i="1"/>
  <c r="D222" i="1"/>
  <c r="E222" i="1"/>
  <c r="D223" i="1"/>
  <c r="E223" i="1"/>
  <c r="D224" i="1"/>
  <c r="E224" i="1"/>
  <c r="D225" i="1"/>
  <c r="E225" i="1"/>
  <c r="D226" i="1"/>
  <c r="E226" i="1"/>
  <c r="D227" i="1"/>
  <c r="E227" i="1"/>
  <c r="D228" i="1"/>
  <c r="E228" i="1"/>
  <c r="D229" i="1"/>
  <c r="E229" i="1"/>
  <c r="D230" i="1"/>
  <c r="E230" i="1"/>
  <c r="D231" i="1"/>
  <c r="E231" i="1"/>
  <c r="D232" i="1"/>
  <c r="E232" i="1"/>
  <c r="D233" i="1"/>
  <c r="E233" i="1"/>
  <c r="D234" i="1"/>
  <c r="E234" i="1"/>
  <c r="D235" i="1"/>
  <c r="E235" i="1"/>
  <c r="D236" i="1"/>
  <c r="E236" i="1"/>
  <c r="D237" i="1"/>
  <c r="E237" i="1"/>
  <c r="D238" i="1"/>
  <c r="E238" i="1"/>
  <c r="D239" i="1"/>
  <c r="E239" i="1"/>
  <c r="D240" i="1"/>
  <c r="E240" i="1"/>
  <c r="D241" i="1"/>
  <c r="E241" i="1"/>
  <c r="D242" i="1"/>
  <c r="E242" i="1"/>
  <c r="D243" i="1"/>
  <c r="E243" i="1"/>
  <c r="D244" i="1"/>
  <c r="E244" i="1"/>
  <c r="D245" i="1"/>
  <c r="E245" i="1"/>
  <c r="D246" i="1"/>
  <c r="E246" i="1"/>
  <c r="D247" i="1"/>
  <c r="E247" i="1"/>
  <c r="D248" i="1"/>
  <c r="E248" i="1"/>
  <c r="D249" i="1"/>
  <c r="E249" i="1"/>
  <c r="D250" i="1"/>
  <c r="E250" i="1"/>
  <c r="D251" i="1"/>
  <c r="E251" i="1"/>
  <c r="D252" i="1"/>
  <c r="E252" i="1"/>
  <c r="D253" i="1"/>
  <c r="E253" i="1"/>
  <c r="D254" i="1"/>
  <c r="E254" i="1"/>
  <c r="D255" i="1"/>
  <c r="E255" i="1"/>
  <c r="D256" i="1"/>
  <c r="E256" i="1"/>
  <c r="D257" i="1"/>
  <c r="E257" i="1"/>
  <c r="D258" i="1"/>
  <c r="E258" i="1"/>
  <c r="D259" i="1"/>
  <c r="E259" i="1"/>
  <c r="D260" i="1"/>
  <c r="E260" i="1"/>
  <c r="D261" i="1"/>
  <c r="E261" i="1"/>
  <c r="D262" i="1"/>
  <c r="E262" i="1"/>
  <c r="D263" i="1"/>
  <c r="E263" i="1"/>
  <c r="D264" i="1"/>
  <c r="E264" i="1"/>
  <c r="D265" i="1"/>
  <c r="E265" i="1"/>
  <c r="D266" i="1"/>
  <c r="E266" i="1"/>
  <c r="D267" i="1"/>
  <c r="E267" i="1"/>
  <c r="D268" i="1"/>
  <c r="E268" i="1"/>
  <c r="D269" i="1"/>
  <c r="E269" i="1"/>
  <c r="D270" i="1"/>
  <c r="E270" i="1"/>
  <c r="D271" i="1"/>
  <c r="E271" i="1"/>
  <c r="D272" i="1"/>
  <c r="E272" i="1"/>
  <c r="D273" i="1"/>
  <c r="E273" i="1"/>
  <c r="D274" i="1"/>
  <c r="E274" i="1"/>
  <c r="D275" i="1"/>
  <c r="E275" i="1"/>
  <c r="D276" i="1"/>
  <c r="E276" i="1"/>
  <c r="D277" i="1"/>
  <c r="E277" i="1"/>
  <c r="D278" i="1"/>
  <c r="E278" i="1"/>
  <c r="D279" i="1"/>
  <c r="E279" i="1"/>
  <c r="D280" i="1"/>
  <c r="E280" i="1"/>
  <c r="D281" i="1"/>
  <c r="E281" i="1"/>
  <c r="D282" i="1"/>
  <c r="E282" i="1"/>
  <c r="D283" i="1"/>
  <c r="E283" i="1"/>
  <c r="D284" i="1"/>
  <c r="E284" i="1"/>
  <c r="D285" i="1"/>
  <c r="E285" i="1"/>
  <c r="D286" i="1"/>
  <c r="E286" i="1"/>
  <c r="D287" i="1"/>
  <c r="E287" i="1"/>
  <c r="D288" i="1"/>
  <c r="E288" i="1"/>
  <c r="D289" i="1"/>
  <c r="E289" i="1"/>
  <c r="D290" i="1"/>
  <c r="E290" i="1"/>
  <c r="D291" i="1"/>
  <c r="E291" i="1"/>
  <c r="D292" i="1"/>
  <c r="E292" i="1"/>
  <c r="D293" i="1"/>
  <c r="E293" i="1"/>
  <c r="D294" i="1"/>
  <c r="E294" i="1"/>
  <c r="D295" i="1"/>
  <c r="E295" i="1"/>
  <c r="D296" i="1"/>
  <c r="E296" i="1"/>
  <c r="D297" i="1"/>
  <c r="E297" i="1"/>
  <c r="D298" i="1"/>
  <c r="E298" i="1"/>
  <c r="D299" i="1"/>
  <c r="E299" i="1"/>
  <c r="D300" i="1"/>
  <c r="E300" i="1"/>
  <c r="D301" i="1"/>
  <c r="E301" i="1"/>
  <c r="D302" i="1"/>
  <c r="E302" i="1"/>
  <c r="D303" i="1"/>
  <c r="E303" i="1"/>
  <c r="E3" i="1"/>
  <c r="D3" i="1"/>
  <c r="G300" i="2"/>
  <c r="G301" i="2"/>
  <c r="G302" i="2"/>
  <c r="G303" i="2"/>
  <c r="G304" i="2"/>
  <c r="G305" i="2"/>
  <c r="G306" i="2"/>
  <c r="G307" i="2"/>
  <c r="G308" i="2"/>
  <c r="G309" i="2"/>
  <c r="G310" i="2"/>
  <c r="G311" i="2"/>
  <c r="G312" i="2"/>
  <c r="G313" i="2"/>
  <c r="G314" i="2"/>
  <c r="G315" i="2"/>
  <c r="G316" i="2"/>
  <c r="G317" i="2"/>
  <c r="G318" i="2"/>
  <c r="G319" i="2"/>
  <c r="G320" i="2"/>
  <c r="G321" i="2"/>
  <c r="G322" i="2"/>
  <c r="G323" i="2"/>
  <c r="G324" i="2"/>
  <c r="G325" i="2"/>
  <c r="G326" i="2"/>
  <c r="G327" i="2"/>
  <c r="G328" i="2"/>
  <c r="G329" i="2"/>
  <c r="G330" i="2"/>
  <c r="G331" i="2"/>
  <c r="G332" i="2"/>
  <c r="G333" i="2"/>
  <c r="G334" i="2"/>
  <c r="G335" i="2"/>
  <c r="G336" i="2"/>
  <c r="G337" i="2"/>
  <c r="G338" i="2"/>
  <c r="G339" i="2"/>
  <c r="G340" i="2"/>
  <c r="G341" i="2"/>
  <c r="G342" i="2"/>
  <c r="G343" i="2"/>
  <c r="G344" i="2"/>
  <c r="G345" i="2"/>
  <c r="G346" i="2"/>
  <c r="G347" i="2"/>
  <c r="G348" i="2"/>
  <c r="G349" i="2"/>
  <c r="G350" i="2"/>
  <c r="G351" i="2"/>
  <c r="G352" i="2"/>
  <c r="G353" i="2"/>
  <c r="G354" i="2"/>
  <c r="G355" i="2"/>
  <c r="G356" i="2"/>
  <c r="G357" i="2"/>
  <c r="G358" i="2"/>
  <c r="G359" i="2"/>
  <c r="G360" i="2"/>
  <c r="G361" i="2"/>
  <c r="G362" i="2"/>
  <c r="G363" i="2"/>
  <c r="G364" i="2"/>
  <c r="G365" i="2"/>
  <c r="G366" i="2"/>
  <c r="G367" i="2"/>
  <c r="G368" i="2"/>
  <c r="G369" i="2"/>
  <c r="G370" i="2"/>
  <c r="G371" i="2"/>
  <c r="G372" i="2"/>
  <c r="G373" i="2"/>
  <c r="G374" i="2"/>
  <c r="G375" i="2"/>
  <c r="G376" i="2"/>
  <c r="G377" i="2"/>
  <c r="G378" i="2"/>
  <c r="G379" i="2"/>
  <c r="G380" i="2"/>
  <c r="G381" i="2"/>
  <c r="G382" i="2"/>
  <c r="G383" i="2"/>
  <c r="G384" i="2"/>
  <c r="G385" i="2"/>
  <c r="G386" i="2"/>
  <c r="G387" i="2"/>
  <c r="G388" i="2"/>
  <c r="G389" i="2"/>
  <c r="G390" i="2"/>
  <c r="G391" i="2"/>
  <c r="G392" i="2"/>
  <c r="G393" i="2"/>
  <c r="G394" i="2"/>
  <c r="G395" i="2"/>
  <c r="G396" i="2"/>
  <c r="G397" i="2"/>
  <c r="G398" i="2"/>
  <c r="G399" i="2"/>
  <c r="G400" i="2"/>
  <c r="G401" i="2"/>
  <c r="G402" i="2"/>
  <c r="G403" i="2"/>
  <c r="G404" i="2"/>
  <c r="G405" i="2"/>
  <c r="G406" i="2"/>
  <c r="G407" i="2"/>
  <c r="G408" i="2"/>
  <c r="G409" i="2"/>
  <c r="G410" i="2"/>
  <c r="G411" i="2"/>
  <c r="G412" i="2"/>
  <c r="G413" i="2"/>
  <c r="G414" i="2"/>
  <c r="G415" i="2"/>
  <c r="G416" i="2"/>
  <c r="G417" i="2"/>
  <c r="G418" i="2"/>
  <c r="G419" i="2"/>
  <c r="G420" i="2"/>
  <c r="G421" i="2"/>
  <c r="G422" i="2"/>
  <c r="G423" i="2"/>
  <c r="G424" i="2"/>
  <c r="G425" i="2"/>
  <c r="G426" i="2"/>
  <c r="G427" i="2"/>
  <c r="G428" i="2"/>
  <c r="G429" i="2"/>
  <c r="G430" i="2"/>
  <c r="G431" i="2"/>
  <c r="G432" i="2"/>
  <c r="G433" i="2"/>
  <c r="G434" i="2"/>
  <c r="G435" i="2"/>
  <c r="G436" i="2"/>
  <c r="G437" i="2"/>
  <c r="G438" i="2"/>
  <c r="G439" i="2"/>
  <c r="G440" i="2"/>
  <c r="G441" i="2"/>
  <c r="G442" i="2"/>
  <c r="G443" i="2"/>
  <c r="G444" i="2"/>
  <c r="G445" i="2"/>
  <c r="G446" i="2"/>
  <c r="G447" i="2"/>
  <c r="G448" i="2"/>
  <c r="G449" i="2"/>
  <c r="G450" i="2"/>
  <c r="G451" i="2"/>
  <c r="G452" i="2"/>
  <c r="G453" i="2"/>
  <c r="G454" i="2"/>
  <c r="G455" i="2"/>
  <c r="G456" i="2"/>
  <c r="G457" i="2"/>
  <c r="G458" i="2"/>
  <c r="G459" i="2"/>
  <c r="G460" i="2"/>
  <c r="G461" i="2"/>
  <c r="G462" i="2"/>
  <c r="G463" i="2"/>
  <c r="G464" i="2"/>
  <c r="G465" i="2"/>
  <c r="G466" i="2"/>
  <c r="G467" i="2"/>
  <c r="G468" i="2"/>
  <c r="G469" i="2"/>
  <c r="G470" i="2"/>
  <c r="G471" i="2"/>
  <c r="G472" i="2"/>
  <c r="G473" i="2"/>
  <c r="G474" i="2"/>
  <c r="G475" i="2"/>
  <c r="G476" i="2"/>
  <c r="G477" i="2"/>
  <c r="G478" i="2"/>
  <c r="G479" i="2"/>
  <c r="G480" i="2"/>
  <c r="G481" i="2"/>
  <c r="G482" i="2"/>
  <c r="G483" i="2"/>
  <c r="G484" i="2"/>
  <c r="G485" i="2"/>
  <c r="G486" i="2"/>
  <c r="G487" i="2"/>
  <c r="G488" i="2"/>
  <c r="G489" i="2"/>
  <c r="G490" i="2"/>
  <c r="G491" i="2"/>
  <c r="G492" i="2"/>
  <c r="G493" i="2"/>
  <c r="G494" i="2"/>
  <c r="G495" i="2"/>
  <c r="G496" i="2"/>
  <c r="G497" i="2"/>
  <c r="G498" i="2"/>
  <c r="G499" i="2"/>
  <c r="G500" i="2"/>
  <c r="G501" i="2"/>
  <c r="G502" i="2"/>
  <c r="G503" i="2"/>
  <c r="G504" i="2"/>
  <c r="G505" i="2"/>
  <c r="G506" i="2"/>
  <c r="G507" i="2"/>
  <c r="G508" i="2"/>
  <c r="G509" i="2"/>
  <c r="G510" i="2"/>
  <c r="G511" i="2"/>
  <c r="G512" i="2"/>
  <c r="G513" i="2"/>
  <c r="G514" i="2"/>
  <c r="G515" i="2"/>
  <c r="G516" i="2"/>
  <c r="G517" i="2"/>
  <c r="G518" i="2"/>
  <c r="G519" i="2"/>
  <c r="G520" i="2"/>
  <c r="G521" i="2"/>
  <c r="G522" i="2"/>
  <c r="G523" i="2"/>
  <c r="G524" i="2"/>
  <c r="G525" i="2"/>
  <c r="G526" i="2"/>
  <c r="G527" i="2"/>
  <c r="G528" i="2"/>
  <c r="G529" i="2"/>
  <c r="G530" i="2"/>
  <c r="G531" i="2"/>
  <c r="G532" i="2"/>
  <c r="G533" i="2"/>
  <c r="G534" i="2"/>
  <c r="G535" i="2"/>
  <c r="G536" i="2"/>
  <c r="G537" i="2"/>
  <c r="G538" i="2"/>
  <c r="G539" i="2"/>
  <c r="G540" i="2"/>
  <c r="G541" i="2"/>
  <c r="G542" i="2"/>
  <c r="G543" i="2"/>
  <c r="G544" i="2"/>
  <c r="G545" i="2"/>
  <c r="G546" i="2"/>
  <c r="G547" i="2"/>
  <c r="G548" i="2"/>
  <c r="G549" i="2"/>
  <c r="G550" i="2"/>
  <c r="G551" i="2"/>
  <c r="G552" i="2"/>
  <c r="G553" i="2"/>
  <c r="G554" i="2"/>
  <c r="G555" i="2"/>
  <c r="G556" i="2"/>
  <c r="G557" i="2"/>
  <c r="G558" i="2"/>
  <c r="G559" i="2"/>
  <c r="G560" i="2"/>
  <c r="G561" i="2"/>
  <c r="G562" i="2"/>
  <c r="G563" i="2"/>
  <c r="G564" i="2"/>
  <c r="G565" i="2"/>
  <c r="G566" i="2"/>
  <c r="G567" i="2"/>
  <c r="G568" i="2"/>
  <c r="G569" i="2"/>
  <c r="G570" i="2"/>
  <c r="G571" i="2"/>
  <c r="G572" i="2"/>
  <c r="G573" i="2"/>
  <c r="G574" i="2"/>
  <c r="G575" i="2"/>
  <c r="G576" i="2"/>
  <c r="G577" i="2"/>
  <c r="G578" i="2"/>
  <c r="G579" i="2"/>
  <c r="G580" i="2"/>
  <c r="G581" i="2"/>
  <c r="G582" i="2"/>
  <c r="G583" i="2"/>
  <c r="G584" i="2"/>
  <c r="G585" i="2"/>
  <c r="G586" i="2"/>
  <c r="G587" i="2"/>
  <c r="G588" i="2"/>
  <c r="G589" i="2"/>
  <c r="G590" i="2"/>
  <c r="G591" i="2"/>
  <c r="G592" i="2"/>
  <c r="G593" i="2"/>
  <c r="G594" i="2"/>
  <c r="G595" i="2"/>
  <c r="G596" i="2"/>
  <c r="G597" i="2"/>
  <c r="G598" i="2"/>
  <c r="G599" i="2"/>
  <c r="G600" i="2"/>
  <c r="G601" i="2"/>
  <c r="G602" i="2"/>
  <c r="G603" i="2"/>
  <c r="G604" i="2"/>
  <c r="G605" i="2"/>
  <c r="G606" i="2"/>
  <c r="G607" i="2"/>
  <c r="G608" i="2"/>
  <c r="G609" i="2"/>
  <c r="G610" i="2"/>
  <c r="G611" i="2"/>
  <c r="G612" i="2"/>
  <c r="G613" i="2"/>
  <c r="G614" i="2"/>
  <c r="G615" i="2"/>
  <c r="G616" i="2"/>
  <c r="G617" i="2"/>
  <c r="G618" i="2"/>
  <c r="G619" i="2"/>
  <c r="G620" i="2"/>
  <c r="G621" i="2"/>
  <c r="G622" i="2"/>
  <c r="G623" i="2"/>
  <c r="G624" i="2"/>
  <c r="G625" i="2"/>
  <c r="G626" i="2"/>
  <c r="G627" i="2"/>
  <c r="G628" i="2"/>
  <c r="G629" i="2"/>
  <c r="G630" i="2"/>
  <c r="G631" i="2"/>
  <c r="G632" i="2"/>
  <c r="G633" i="2"/>
  <c r="G634" i="2"/>
  <c r="G635" i="2"/>
  <c r="G636" i="2"/>
  <c r="G637" i="2"/>
  <c r="G638" i="2"/>
  <c r="G639" i="2"/>
  <c r="G640" i="2"/>
  <c r="G641" i="2"/>
  <c r="G642" i="2"/>
  <c r="G643" i="2"/>
  <c r="G644" i="2"/>
  <c r="G645" i="2"/>
  <c r="G646" i="2"/>
  <c r="G647" i="2"/>
  <c r="G648" i="2"/>
  <c r="G649" i="2"/>
  <c r="G650" i="2"/>
  <c r="G651" i="2"/>
  <c r="G652" i="2"/>
  <c r="G653" i="2"/>
  <c r="G654" i="2"/>
  <c r="G655" i="2"/>
  <c r="G656" i="2"/>
  <c r="G657" i="2"/>
  <c r="G658" i="2"/>
  <c r="G659" i="2"/>
  <c r="G660" i="2"/>
  <c r="G661" i="2"/>
  <c r="G662" i="2"/>
  <c r="G663" i="2"/>
  <c r="G664" i="2"/>
  <c r="G665" i="2"/>
  <c r="G666" i="2"/>
  <c r="G667" i="2"/>
  <c r="G668" i="2"/>
  <c r="G669" i="2"/>
  <c r="G670" i="2"/>
  <c r="G671" i="2"/>
  <c r="G672" i="2"/>
  <c r="G673" i="2"/>
  <c r="G674" i="2"/>
  <c r="G675" i="2"/>
  <c r="G676" i="2"/>
  <c r="G677" i="2"/>
  <c r="G678" i="2"/>
  <c r="G679" i="2"/>
  <c r="G680" i="2"/>
  <c r="G681" i="2"/>
  <c r="G682" i="2"/>
  <c r="G683" i="2"/>
  <c r="G684" i="2"/>
  <c r="G685" i="2"/>
  <c r="G686" i="2"/>
  <c r="G687" i="2"/>
  <c r="G688" i="2"/>
  <c r="G689" i="2"/>
  <c r="G690" i="2"/>
  <c r="G691" i="2"/>
  <c r="G692" i="2"/>
  <c r="G693" i="2"/>
  <c r="G694" i="2"/>
  <c r="G695" i="2"/>
  <c r="G696" i="2"/>
  <c r="G697" i="2"/>
  <c r="G698" i="2"/>
  <c r="G699" i="2"/>
  <c r="G700" i="2"/>
  <c r="G701" i="2"/>
  <c r="G702" i="2"/>
  <c r="G703" i="2"/>
  <c r="G704" i="2"/>
  <c r="G705" i="2"/>
  <c r="G706" i="2"/>
  <c r="G707" i="2"/>
  <c r="G708" i="2"/>
  <c r="G709" i="2"/>
  <c r="G710" i="2"/>
  <c r="G711" i="2"/>
  <c r="G712" i="2"/>
  <c r="G713" i="2"/>
  <c r="G714" i="2"/>
  <c r="G715" i="2"/>
  <c r="G716" i="2"/>
  <c r="G717" i="2"/>
  <c r="G718" i="2"/>
  <c r="G719" i="2"/>
  <c r="G720" i="2"/>
  <c r="G721" i="2"/>
  <c r="G722" i="2"/>
  <c r="G723" i="2"/>
  <c r="G724" i="2"/>
  <c r="G725" i="2"/>
  <c r="G726" i="2"/>
  <c r="G727" i="2"/>
  <c r="G728" i="2"/>
  <c r="G729" i="2"/>
  <c r="G730" i="2"/>
  <c r="G731" i="2"/>
  <c r="G732" i="2"/>
  <c r="G733" i="2"/>
  <c r="G734" i="2"/>
  <c r="G735" i="2"/>
  <c r="G736" i="2"/>
  <c r="G737" i="2"/>
  <c r="G738" i="2"/>
  <c r="G739" i="2"/>
  <c r="G740" i="2"/>
  <c r="G741" i="2"/>
  <c r="G742" i="2"/>
  <c r="G743" i="2"/>
  <c r="G744" i="2"/>
  <c r="G745" i="2"/>
  <c r="G746" i="2"/>
  <c r="G747" i="2"/>
  <c r="G748" i="2"/>
  <c r="G749" i="2"/>
  <c r="G750" i="2"/>
  <c r="G751" i="2"/>
  <c r="G752" i="2"/>
  <c r="G753" i="2"/>
  <c r="G754" i="2"/>
  <c r="G755" i="2"/>
  <c r="G756" i="2"/>
  <c r="G757" i="2"/>
  <c r="G758" i="2"/>
  <c r="G759" i="2"/>
  <c r="G760" i="2"/>
  <c r="G761" i="2"/>
  <c r="G762" i="2"/>
  <c r="G763" i="2"/>
  <c r="G764" i="2"/>
  <c r="G765" i="2"/>
  <c r="G766" i="2"/>
  <c r="G767" i="2"/>
  <c r="G768" i="2"/>
  <c r="G769" i="2"/>
  <c r="G770" i="2"/>
  <c r="G771" i="2"/>
  <c r="G772" i="2"/>
  <c r="G773" i="2"/>
  <c r="G774" i="2"/>
  <c r="G775" i="2"/>
  <c r="G776" i="2"/>
  <c r="G777" i="2"/>
  <c r="G778" i="2"/>
  <c r="G779" i="2"/>
  <c r="G780" i="2"/>
  <c r="G781" i="2"/>
  <c r="G782" i="2"/>
  <c r="G783" i="2"/>
  <c r="G784" i="2"/>
  <c r="G785" i="2"/>
  <c r="G786" i="2"/>
  <c r="G787" i="2"/>
  <c r="G788" i="2"/>
  <c r="G789" i="2"/>
  <c r="G790" i="2"/>
  <c r="G791" i="2"/>
  <c r="G792" i="2"/>
  <c r="G793" i="2"/>
  <c r="G794" i="2"/>
  <c r="G795" i="2"/>
  <c r="G796" i="2"/>
  <c r="G797" i="2"/>
  <c r="G798" i="2"/>
  <c r="G799" i="2"/>
  <c r="G800" i="2"/>
  <c r="G801" i="2"/>
  <c r="G802" i="2"/>
  <c r="G803" i="2"/>
  <c r="G804" i="2"/>
  <c r="G805" i="2"/>
  <c r="G806" i="2"/>
  <c r="G807" i="2"/>
  <c r="G808" i="2"/>
  <c r="G809" i="2"/>
  <c r="G810" i="2"/>
  <c r="G811" i="2"/>
  <c r="G812" i="2"/>
  <c r="G813" i="2"/>
  <c r="G814" i="2"/>
  <c r="G815" i="2"/>
  <c r="G816" i="2"/>
  <c r="G817" i="2"/>
  <c r="G818" i="2"/>
  <c r="G819" i="2"/>
  <c r="G820" i="2"/>
  <c r="G821" i="2"/>
  <c r="G822" i="2"/>
  <c r="G823" i="2"/>
  <c r="G824" i="2"/>
  <c r="G825" i="2"/>
  <c r="G826" i="2"/>
  <c r="G827" i="2"/>
  <c r="G828" i="2"/>
  <c r="G829" i="2"/>
  <c r="G830" i="2"/>
  <c r="G831" i="2"/>
  <c r="G832" i="2"/>
  <c r="G833" i="2"/>
  <c r="G834" i="2"/>
  <c r="G835" i="2"/>
  <c r="G836" i="2"/>
  <c r="G837" i="2"/>
  <c r="G838" i="2"/>
  <c r="G839" i="2"/>
  <c r="G840" i="2"/>
  <c r="G841" i="2"/>
  <c r="G842" i="2"/>
  <c r="G843" i="2"/>
  <c r="G844" i="2"/>
  <c r="G845" i="2"/>
  <c r="G846" i="2"/>
  <c r="G847" i="2"/>
  <c r="G848" i="2"/>
  <c r="G849" i="2"/>
  <c r="G850" i="2"/>
  <c r="G851" i="2"/>
  <c r="G852" i="2"/>
  <c r="G853" i="2"/>
  <c r="G854" i="2"/>
  <c r="G855" i="2"/>
  <c r="G856" i="2"/>
  <c r="G857" i="2"/>
  <c r="G858" i="2"/>
  <c r="G859" i="2"/>
  <c r="G860" i="2"/>
  <c r="G861" i="2"/>
  <c r="G862" i="2"/>
  <c r="G863" i="2"/>
  <c r="G864" i="2"/>
  <c r="G865" i="2"/>
  <c r="G866" i="2"/>
  <c r="G867" i="2"/>
  <c r="G868" i="2"/>
  <c r="G869" i="2"/>
  <c r="G870" i="2"/>
  <c r="G871" i="2"/>
  <c r="G872" i="2"/>
  <c r="G873" i="2"/>
  <c r="G874" i="2"/>
  <c r="G875" i="2"/>
  <c r="G876" i="2"/>
  <c r="G877" i="2"/>
  <c r="G878" i="2"/>
  <c r="G879" i="2"/>
  <c r="G880" i="2"/>
  <c r="G881" i="2"/>
  <c r="G882" i="2"/>
  <c r="G883" i="2"/>
  <c r="G884" i="2"/>
  <c r="G885" i="2"/>
  <c r="G886" i="2"/>
  <c r="G887" i="2"/>
  <c r="G888" i="2"/>
  <c r="G889" i="2"/>
  <c r="G890" i="2"/>
  <c r="G891" i="2"/>
  <c r="G892" i="2"/>
  <c r="G893" i="2"/>
  <c r="G894" i="2"/>
  <c r="G895" i="2"/>
  <c r="G896" i="2"/>
  <c r="G897" i="2"/>
  <c r="G898" i="2"/>
  <c r="G899" i="2"/>
  <c r="G900" i="2"/>
  <c r="G901" i="2"/>
  <c r="G902" i="2"/>
  <c r="G903" i="2"/>
  <c r="G904" i="2"/>
  <c r="G905" i="2"/>
  <c r="G906" i="2"/>
  <c r="G907" i="2"/>
  <c r="G908" i="2"/>
  <c r="G909" i="2"/>
  <c r="G910" i="2"/>
  <c r="G911" i="2"/>
  <c r="G912" i="2"/>
  <c r="G913" i="2"/>
  <c r="G914" i="2"/>
  <c r="G915" i="2"/>
  <c r="G916" i="2"/>
  <c r="G917" i="2"/>
  <c r="G918" i="2"/>
  <c r="G919" i="2"/>
  <c r="G920" i="2"/>
  <c r="G921" i="2"/>
  <c r="G922" i="2"/>
  <c r="G923" i="2"/>
  <c r="G924" i="2"/>
  <c r="G925" i="2"/>
  <c r="G926" i="2"/>
  <c r="G927" i="2"/>
  <c r="G928" i="2"/>
  <c r="G929" i="2"/>
  <c r="G930" i="2"/>
  <c r="G931" i="2"/>
  <c r="G932" i="2"/>
  <c r="G933" i="2"/>
  <c r="G934" i="2"/>
  <c r="G935" i="2"/>
  <c r="G936" i="2"/>
  <c r="G937" i="2"/>
  <c r="G938" i="2"/>
  <c r="G939" i="2"/>
  <c r="G940" i="2"/>
  <c r="G941" i="2"/>
  <c r="G942" i="2"/>
  <c r="G943" i="2"/>
  <c r="G944" i="2"/>
  <c r="G945" i="2"/>
  <c r="G946" i="2"/>
  <c r="G947" i="2"/>
  <c r="G948" i="2"/>
  <c r="G949" i="2"/>
  <c r="G950" i="2"/>
  <c r="G951" i="2"/>
  <c r="G952" i="2"/>
  <c r="G953" i="2"/>
  <c r="G954" i="2"/>
  <c r="G955" i="2"/>
  <c r="G956" i="2"/>
  <c r="G957" i="2"/>
  <c r="G958" i="2"/>
  <c r="G959" i="2"/>
  <c r="G960" i="2"/>
  <c r="G961" i="2"/>
  <c r="G962" i="2"/>
  <c r="G963" i="2"/>
  <c r="G964" i="2"/>
  <c r="G965" i="2"/>
  <c r="G966" i="2"/>
  <c r="G967" i="2"/>
  <c r="G968" i="2"/>
  <c r="G969" i="2"/>
  <c r="G970" i="2"/>
  <c r="G971" i="2"/>
  <c r="G972" i="2"/>
  <c r="G973" i="2"/>
  <c r="G974" i="2"/>
  <c r="G975" i="2"/>
  <c r="G976" i="2"/>
  <c r="G977" i="2"/>
  <c r="G978" i="2"/>
  <c r="G979" i="2"/>
  <c r="G980" i="2"/>
  <c r="G981" i="2"/>
  <c r="G982" i="2"/>
  <c r="G983" i="2"/>
  <c r="G984" i="2"/>
  <c r="G985" i="2"/>
  <c r="G986" i="2"/>
  <c r="G987" i="2"/>
  <c r="G988" i="2"/>
  <c r="G989" i="2"/>
  <c r="G990" i="2"/>
  <c r="G991" i="2"/>
  <c r="G992" i="2"/>
  <c r="G993" i="2"/>
  <c r="G994" i="2"/>
  <c r="G995" i="2"/>
  <c r="G996" i="2"/>
  <c r="G997" i="2"/>
  <c r="G998" i="2"/>
  <c r="G999" i="2"/>
  <c r="G1000" i="2"/>
  <c r="G1001" i="2"/>
  <c r="G1002" i="2"/>
  <c r="G1003" i="2"/>
  <c r="G1004" i="2"/>
  <c r="G1005" i="2"/>
  <c r="G1006" i="2"/>
  <c r="G1007" i="2"/>
  <c r="G1008" i="2"/>
  <c r="G1009" i="2"/>
  <c r="G1010" i="2"/>
  <c r="G1011" i="2"/>
  <c r="G1012" i="2"/>
  <c r="G1013" i="2"/>
  <c r="G1014" i="2"/>
  <c r="G1015" i="2"/>
  <c r="G1016" i="2"/>
  <c r="G1017" i="2"/>
  <c r="G1018" i="2"/>
  <c r="G1019" i="2"/>
  <c r="G1020" i="2"/>
  <c r="G1021" i="2"/>
  <c r="G1022" i="2"/>
  <c r="G1023" i="2"/>
  <c r="G1024" i="2"/>
  <c r="G1025" i="2"/>
  <c r="G1026" i="2"/>
  <c r="G1027" i="2"/>
  <c r="G1028" i="2"/>
  <c r="G1029" i="2"/>
  <c r="G1030" i="2"/>
  <c r="G1031" i="2"/>
  <c r="G1032" i="2"/>
  <c r="G1033" i="2"/>
  <c r="G1034" i="2"/>
  <c r="G1035" i="2"/>
  <c r="G1036" i="2"/>
  <c r="G1037" i="2"/>
  <c r="G1038" i="2"/>
  <c r="G1039" i="2"/>
  <c r="G1040" i="2"/>
  <c r="G1041" i="2"/>
  <c r="G1042" i="2"/>
  <c r="G1043" i="2"/>
  <c r="G1044" i="2"/>
  <c r="G1045" i="2"/>
  <c r="G1046" i="2"/>
  <c r="G1047" i="2"/>
  <c r="G1048" i="2"/>
  <c r="G1049" i="2"/>
  <c r="G1050" i="2"/>
  <c r="G1051" i="2"/>
  <c r="G1052" i="2"/>
  <c r="G1053" i="2"/>
  <c r="G1054" i="2"/>
  <c r="G1055" i="2"/>
  <c r="G1056" i="2"/>
  <c r="G1057" i="2"/>
  <c r="G1058" i="2"/>
  <c r="G1059" i="2"/>
  <c r="G1060" i="2"/>
  <c r="G1061" i="2"/>
  <c r="G1062" i="2"/>
  <c r="G1063" i="2"/>
  <c r="G1064" i="2"/>
  <c r="G1065" i="2"/>
  <c r="G1066" i="2"/>
  <c r="G1067" i="2"/>
  <c r="G1068" i="2"/>
  <c r="G1069" i="2"/>
  <c r="G1070" i="2"/>
  <c r="G1071" i="2"/>
  <c r="G1072" i="2"/>
  <c r="G1073" i="2"/>
  <c r="G1074" i="2"/>
  <c r="G1075" i="2"/>
  <c r="G1076" i="2"/>
  <c r="G1077" i="2"/>
  <c r="G1078" i="2"/>
  <c r="G1079" i="2"/>
  <c r="G1080" i="2"/>
  <c r="G1081" i="2"/>
  <c r="G1082" i="2"/>
  <c r="G1083" i="2"/>
  <c r="G1084" i="2"/>
  <c r="G1085" i="2"/>
  <c r="G1086" i="2"/>
  <c r="G1087" i="2"/>
  <c r="G1088" i="2"/>
  <c r="G1089" i="2"/>
  <c r="G1090" i="2"/>
  <c r="G1091" i="2"/>
  <c r="G1092" i="2"/>
  <c r="G1093" i="2"/>
  <c r="G1094" i="2"/>
  <c r="G1095" i="2"/>
  <c r="G1096" i="2"/>
  <c r="G1097" i="2"/>
  <c r="G1098" i="2"/>
  <c r="G1099" i="2"/>
  <c r="G1100" i="2"/>
  <c r="G1101" i="2"/>
  <c r="G1102" i="2"/>
  <c r="G1103" i="2"/>
  <c r="G1104" i="2"/>
  <c r="G1105" i="2"/>
  <c r="G1106" i="2"/>
  <c r="G1107" i="2"/>
  <c r="G1108" i="2"/>
  <c r="G1109" i="2"/>
  <c r="G1110" i="2"/>
  <c r="G1111" i="2"/>
  <c r="G1112" i="2"/>
  <c r="G1113" i="2"/>
  <c r="G1114" i="2"/>
  <c r="G1115" i="2"/>
  <c r="G1116" i="2"/>
  <c r="G1117" i="2"/>
  <c r="G1118" i="2"/>
  <c r="G1119" i="2"/>
  <c r="G1120" i="2"/>
  <c r="G1121" i="2"/>
  <c r="G1122" i="2"/>
  <c r="G1123" i="2"/>
  <c r="G1124" i="2"/>
  <c r="G1125" i="2"/>
  <c r="G1126" i="2"/>
  <c r="G1127" i="2"/>
  <c r="G1128" i="2"/>
  <c r="G1129" i="2"/>
  <c r="G1130" i="2"/>
  <c r="G1131" i="2"/>
  <c r="G1132" i="2"/>
  <c r="G1133" i="2"/>
  <c r="G1134" i="2"/>
  <c r="G1135" i="2"/>
  <c r="G1136" i="2"/>
  <c r="G1137" i="2"/>
  <c r="G1138" i="2"/>
  <c r="G1139" i="2"/>
  <c r="G1140" i="2"/>
  <c r="G1141" i="2"/>
  <c r="G1142" i="2"/>
  <c r="G1143" i="2"/>
  <c r="G1144" i="2"/>
  <c r="G1145" i="2"/>
  <c r="G1146" i="2"/>
  <c r="G1147" i="2"/>
  <c r="G1148" i="2"/>
  <c r="G1149" i="2"/>
  <c r="G1150" i="2"/>
  <c r="G1151" i="2"/>
  <c r="G1152" i="2"/>
  <c r="G1153" i="2"/>
  <c r="G1154" i="2"/>
  <c r="G1155" i="2"/>
  <c r="G1156" i="2"/>
  <c r="G1157" i="2"/>
  <c r="G1158" i="2"/>
  <c r="G1159" i="2"/>
  <c r="G1160" i="2"/>
  <c r="G1161" i="2"/>
  <c r="G1162" i="2"/>
  <c r="G1163" i="2"/>
  <c r="G1164" i="2"/>
  <c r="G1165" i="2"/>
  <c r="G1166" i="2"/>
  <c r="G1167" i="2"/>
  <c r="G1168" i="2"/>
  <c r="G1169" i="2"/>
  <c r="G1170" i="2"/>
  <c r="G1171" i="2"/>
  <c r="G1172" i="2"/>
  <c r="G1173" i="2"/>
  <c r="G1174" i="2"/>
  <c r="G1175" i="2"/>
  <c r="G1176" i="2"/>
  <c r="G1177" i="2"/>
  <c r="G1178" i="2"/>
  <c r="G1179" i="2"/>
  <c r="G1180" i="2"/>
  <c r="G1181" i="2"/>
  <c r="G1182" i="2"/>
  <c r="G1183" i="2"/>
  <c r="G1184" i="2"/>
  <c r="G1185" i="2"/>
  <c r="G1186" i="2"/>
  <c r="G1187" i="2"/>
  <c r="G1188" i="2"/>
  <c r="G1189" i="2"/>
  <c r="G1190" i="2"/>
  <c r="G1191" i="2"/>
  <c r="G1192" i="2"/>
  <c r="G1193" i="2"/>
  <c r="G1194" i="2"/>
  <c r="G1195" i="2"/>
  <c r="G1196" i="2"/>
  <c r="G1197" i="2"/>
  <c r="G1198" i="2"/>
  <c r="G1199" i="2"/>
  <c r="G1200" i="2"/>
  <c r="G1201" i="2"/>
  <c r="G1202" i="2"/>
  <c r="G1203" i="2"/>
  <c r="G1204" i="2"/>
  <c r="G1205" i="2"/>
  <c r="G1206" i="2"/>
  <c r="G1207" i="2"/>
  <c r="G1208" i="2"/>
  <c r="G1209" i="2"/>
  <c r="G1210" i="2"/>
  <c r="G1211" i="2"/>
  <c r="G1212" i="2"/>
  <c r="G1213" i="2"/>
  <c r="G1214" i="2"/>
  <c r="G1215" i="2"/>
  <c r="G1216" i="2"/>
  <c r="G1217" i="2"/>
  <c r="G1218" i="2"/>
  <c r="G1219" i="2"/>
  <c r="G1220" i="2"/>
  <c r="G1221" i="2"/>
  <c r="G1222" i="2"/>
  <c r="G1223" i="2"/>
  <c r="G1224" i="2"/>
  <c r="G1225" i="2"/>
  <c r="G1226" i="2"/>
  <c r="G1227" i="2"/>
  <c r="G1228" i="2"/>
  <c r="G1229" i="2"/>
  <c r="G1230" i="2"/>
  <c r="G1231" i="2"/>
  <c r="G1232" i="2"/>
  <c r="G1233" i="2"/>
  <c r="G1234" i="2"/>
  <c r="G1235" i="2"/>
  <c r="G1236" i="2"/>
  <c r="G1237" i="2"/>
  <c r="G1238" i="2"/>
  <c r="G1239" i="2"/>
  <c r="G1240" i="2"/>
  <c r="G1241" i="2"/>
  <c r="G1242" i="2"/>
  <c r="G1243" i="2"/>
  <c r="G1244" i="2"/>
  <c r="G1245" i="2"/>
  <c r="G1246" i="2"/>
  <c r="G1247" i="2"/>
  <c r="G1248" i="2"/>
  <c r="G1249" i="2"/>
  <c r="G1250" i="2"/>
  <c r="G1251" i="2"/>
  <c r="G1252" i="2"/>
  <c r="G1253" i="2"/>
  <c r="G1254" i="2"/>
  <c r="G1255" i="2"/>
  <c r="G1256" i="2"/>
  <c r="G1257" i="2"/>
  <c r="G1258" i="2"/>
  <c r="G1259" i="2"/>
  <c r="G1260" i="2"/>
  <c r="G1261" i="2"/>
  <c r="G1262" i="2"/>
  <c r="G1263" i="2"/>
  <c r="G1264" i="2"/>
  <c r="G1265" i="2"/>
  <c r="G1266" i="2"/>
  <c r="G1267" i="2"/>
  <c r="G1268" i="2"/>
  <c r="G1269" i="2"/>
  <c r="G1270" i="2"/>
  <c r="G1271" i="2"/>
  <c r="G1272" i="2"/>
  <c r="G1273" i="2"/>
  <c r="G1274" i="2"/>
  <c r="G1275" i="2"/>
  <c r="G1276" i="2"/>
  <c r="G1277" i="2"/>
  <c r="G1278" i="2"/>
  <c r="G1279" i="2"/>
  <c r="G1280" i="2"/>
  <c r="G1281" i="2"/>
  <c r="G1282" i="2"/>
  <c r="G1283" i="2"/>
  <c r="G1284" i="2"/>
  <c r="G1285" i="2"/>
  <c r="G1286" i="2"/>
  <c r="G1287" i="2"/>
  <c r="G1288" i="2"/>
  <c r="G1289" i="2"/>
  <c r="G1290" i="2"/>
  <c r="G1291" i="2"/>
  <c r="G1292" i="2"/>
  <c r="G1293" i="2"/>
  <c r="G1294" i="2"/>
  <c r="G1295" i="2"/>
  <c r="G1296" i="2"/>
  <c r="G1297" i="2"/>
  <c r="G1298" i="2"/>
  <c r="G1299" i="2"/>
  <c r="G1300" i="2"/>
  <c r="G1301" i="2"/>
  <c r="G1302" i="2"/>
  <c r="G1303" i="2"/>
  <c r="G1304" i="2"/>
  <c r="G1305" i="2"/>
  <c r="G1306" i="2"/>
  <c r="G1307" i="2"/>
  <c r="G1308" i="2"/>
  <c r="G1309" i="2"/>
  <c r="G1310" i="2"/>
  <c r="G1311" i="2"/>
  <c r="G1312" i="2"/>
  <c r="G1313" i="2"/>
  <c r="G1314" i="2"/>
  <c r="G1315" i="2"/>
  <c r="G1316" i="2"/>
  <c r="G1317" i="2"/>
  <c r="G1318" i="2"/>
  <c r="G1319" i="2"/>
  <c r="G1320" i="2"/>
  <c r="G1321" i="2"/>
  <c r="G1322" i="2"/>
  <c r="G1323" i="2"/>
  <c r="G1324" i="2"/>
  <c r="G1325" i="2"/>
  <c r="G1326" i="2"/>
  <c r="G1327" i="2"/>
  <c r="G1328" i="2"/>
  <c r="G1329" i="2"/>
  <c r="G1330" i="2"/>
  <c r="G1331" i="2"/>
  <c r="G1332" i="2"/>
  <c r="G1333" i="2"/>
  <c r="G1334" i="2"/>
  <c r="G1335" i="2"/>
  <c r="G1336" i="2"/>
  <c r="G1337" i="2"/>
  <c r="G1338" i="2"/>
  <c r="G1339" i="2"/>
  <c r="G1340" i="2"/>
  <c r="G1341" i="2"/>
  <c r="G1342" i="2"/>
  <c r="G1343" i="2"/>
  <c r="G1344" i="2"/>
  <c r="G1345" i="2"/>
  <c r="G1346" i="2"/>
  <c r="G1347" i="2"/>
  <c r="G1348" i="2"/>
  <c r="G1349" i="2"/>
  <c r="G1350" i="2"/>
  <c r="G1351" i="2"/>
  <c r="G1352" i="2"/>
  <c r="G1353" i="2"/>
  <c r="G1354" i="2"/>
  <c r="G1355" i="2"/>
  <c r="G1356" i="2"/>
  <c r="G1357" i="2"/>
  <c r="G1358" i="2"/>
  <c r="G1359" i="2"/>
  <c r="G1360" i="2"/>
  <c r="G1361" i="2"/>
  <c r="G1362" i="2"/>
  <c r="G1363" i="2"/>
  <c r="G1364" i="2"/>
  <c r="G1365" i="2"/>
  <c r="G1366" i="2"/>
  <c r="G1367" i="2"/>
  <c r="G1368" i="2"/>
  <c r="G1369" i="2"/>
  <c r="G1370" i="2"/>
  <c r="G1371" i="2"/>
  <c r="G1372" i="2"/>
  <c r="G1373" i="2"/>
  <c r="G1374" i="2"/>
  <c r="G1375" i="2"/>
  <c r="G1376" i="2"/>
  <c r="G1377" i="2"/>
  <c r="G1378" i="2"/>
  <c r="G1379" i="2"/>
  <c r="G1380" i="2"/>
  <c r="G1381" i="2"/>
  <c r="G1382" i="2"/>
  <c r="G1383" i="2"/>
  <c r="G1384" i="2"/>
  <c r="G1385" i="2"/>
  <c r="G1386" i="2"/>
  <c r="G1387" i="2"/>
  <c r="G1388" i="2"/>
  <c r="G1389" i="2"/>
  <c r="G1390" i="2"/>
  <c r="G1391" i="2"/>
  <c r="G1392" i="2"/>
  <c r="G1393" i="2"/>
  <c r="G1394" i="2"/>
  <c r="G1395" i="2"/>
  <c r="G1396" i="2"/>
  <c r="G1397" i="2"/>
  <c r="G1398" i="2"/>
  <c r="G1399" i="2"/>
  <c r="G1400" i="2"/>
  <c r="G1401" i="2"/>
  <c r="G1402" i="2"/>
  <c r="G1403" i="2"/>
  <c r="G1404" i="2"/>
  <c r="G1405" i="2"/>
  <c r="G1406" i="2"/>
  <c r="G1407" i="2"/>
  <c r="G1408" i="2"/>
  <c r="G1409" i="2"/>
  <c r="G1410" i="2"/>
  <c r="G1411" i="2"/>
  <c r="G1412" i="2"/>
  <c r="G1413" i="2"/>
  <c r="G1414" i="2"/>
  <c r="G1415" i="2"/>
  <c r="G1416" i="2"/>
  <c r="G1417" i="2"/>
  <c r="G1418" i="2"/>
  <c r="G1419" i="2"/>
  <c r="G1420" i="2"/>
  <c r="G1421" i="2"/>
  <c r="G1422" i="2"/>
  <c r="G1423" i="2"/>
  <c r="G1424" i="2"/>
  <c r="G1425" i="2"/>
  <c r="G1426" i="2"/>
  <c r="G1427" i="2"/>
  <c r="G1428" i="2"/>
  <c r="G1429" i="2"/>
  <c r="G1430" i="2"/>
  <c r="G1431" i="2"/>
  <c r="G1432" i="2"/>
  <c r="G1433" i="2"/>
  <c r="G1434" i="2"/>
  <c r="G1435" i="2"/>
  <c r="G1436" i="2"/>
  <c r="G1437" i="2"/>
  <c r="G1438" i="2"/>
  <c r="G1439" i="2"/>
  <c r="G1440" i="2"/>
  <c r="G1441" i="2"/>
  <c r="G1442" i="2"/>
  <c r="G1443" i="2"/>
  <c r="G1444" i="2"/>
  <c r="G1445" i="2"/>
  <c r="G1446" i="2"/>
  <c r="G1447" i="2"/>
  <c r="G1448" i="2"/>
  <c r="G1449" i="2"/>
  <c r="G1450" i="2"/>
  <c r="G1451" i="2"/>
  <c r="G1452" i="2"/>
  <c r="G1453" i="2"/>
  <c r="G1454" i="2"/>
  <c r="G1455" i="2"/>
  <c r="G1456" i="2"/>
  <c r="G1457" i="2"/>
  <c r="G1458" i="2"/>
  <c r="G1459" i="2"/>
  <c r="G1460" i="2"/>
  <c r="G1461" i="2"/>
  <c r="G1462" i="2"/>
  <c r="G1463" i="2"/>
  <c r="G1464" i="2"/>
  <c r="G1465" i="2"/>
  <c r="G1466" i="2"/>
  <c r="G1467" i="2"/>
  <c r="G1468" i="2"/>
  <c r="G1469" i="2"/>
  <c r="G1470" i="2"/>
  <c r="G1471" i="2"/>
  <c r="G1472" i="2"/>
  <c r="G1473" i="2"/>
  <c r="G1474" i="2"/>
  <c r="G1475" i="2"/>
  <c r="G1476" i="2"/>
  <c r="G1477" i="2"/>
  <c r="G1478" i="2"/>
  <c r="G1479" i="2"/>
  <c r="G1480" i="2"/>
  <c r="G1481" i="2"/>
  <c r="G1482" i="2"/>
  <c r="G1483" i="2"/>
  <c r="G1484" i="2"/>
  <c r="G1485" i="2"/>
  <c r="G1486" i="2"/>
  <c r="G1487" i="2"/>
  <c r="G1488" i="2"/>
  <c r="G1489" i="2"/>
  <c r="G1490" i="2"/>
  <c r="G1491" i="2"/>
  <c r="G1492" i="2"/>
  <c r="G1493" i="2"/>
  <c r="G1494" i="2"/>
  <c r="G1495" i="2"/>
  <c r="G1496" i="2"/>
  <c r="G1497" i="2"/>
  <c r="G1498" i="2"/>
  <c r="G1499" i="2"/>
  <c r="G1500" i="2"/>
  <c r="G1501" i="2"/>
  <c r="G1502" i="2"/>
  <c r="G1503" i="2"/>
  <c r="G1504" i="2"/>
  <c r="G1505" i="2"/>
  <c r="G1506" i="2"/>
  <c r="G1507" i="2"/>
  <c r="G1508" i="2"/>
  <c r="G1509" i="2"/>
  <c r="G1510" i="2"/>
  <c r="G1511" i="2"/>
  <c r="G1512" i="2"/>
  <c r="G1513" i="2"/>
  <c r="G1514" i="2"/>
  <c r="G1515" i="2"/>
  <c r="G1516" i="2"/>
  <c r="G1517" i="2"/>
  <c r="G1518" i="2"/>
  <c r="G1519" i="2"/>
  <c r="G1520" i="2"/>
  <c r="G1521" i="2"/>
  <c r="G1522" i="2"/>
  <c r="G1523" i="2"/>
  <c r="G1524" i="2"/>
  <c r="G1525" i="2"/>
  <c r="G1526" i="2"/>
  <c r="G1527" i="2"/>
  <c r="G1528" i="2"/>
  <c r="G1529" i="2"/>
  <c r="G1530" i="2"/>
  <c r="G1531" i="2"/>
  <c r="G1532" i="2"/>
  <c r="G1533" i="2"/>
  <c r="G1534" i="2"/>
  <c r="G1535" i="2"/>
  <c r="G1536" i="2"/>
  <c r="G1537" i="2"/>
  <c r="G1538" i="2"/>
  <c r="G1539" i="2"/>
  <c r="G1540" i="2"/>
  <c r="G1541" i="2"/>
  <c r="G1542" i="2"/>
  <c r="G1543" i="2"/>
  <c r="G1544" i="2"/>
  <c r="G1545" i="2"/>
  <c r="G1546" i="2"/>
  <c r="G1547" i="2"/>
  <c r="G1548" i="2"/>
  <c r="G1549" i="2"/>
  <c r="G1550" i="2"/>
  <c r="G1551" i="2"/>
  <c r="G1552" i="2"/>
  <c r="G1553" i="2"/>
  <c r="G1554" i="2"/>
  <c r="G1555" i="2"/>
  <c r="G1556" i="2"/>
  <c r="G1557" i="2"/>
  <c r="G1558" i="2"/>
  <c r="G1559" i="2"/>
  <c r="G1560" i="2"/>
  <c r="G1561" i="2"/>
  <c r="G1562" i="2"/>
  <c r="G1563" i="2"/>
  <c r="G1564" i="2"/>
  <c r="G1565" i="2"/>
  <c r="G1566" i="2"/>
  <c r="G1567" i="2"/>
  <c r="G1568" i="2"/>
  <c r="G1569" i="2"/>
  <c r="G1570" i="2"/>
  <c r="G1571" i="2"/>
  <c r="G1572" i="2"/>
  <c r="G1573" i="2"/>
  <c r="G1574" i="2"/>
  <c r="G1575" i="2"/>
  <c r="G1576" i="2"/>
  <c r="G1577" i="2"/>
  <c r="G1578" i="2"/>
  <c r="G1579" i="2"/>
  <c r="G1580" i="2"/>
  <c r="G1581" i="2"/>
  <c r="G1582" i="2"/>
  <c r="G1583" i="2"/>
  <c r="G1584" i="2"/>
  <c r="G1585" i="2"/>
  <c r="G1586" i="2"/>
  <c r="G1587" i="2"/>
  <c r="G1588" i="2"/>
  <c r="G1589" i="2"/>
  <c r="G1590" i="2"/>
  <c r="G1591" i="2"/>
  <c r="G1592" i="2"/>
  <c r="G1593" i="2"/>
  <c r="G1594" i="2"/>
  <c r="G1595" i="2"/>
  <c r="G1596" i="2"/>
  <c r="G1597" i="2"/>
  <c r="G1598" i="2"/>
  <c r="G1599" i="2"/>
  <c r="G1600" i="2"/>
  <c r="G1601" i="2"/>
  <c r="G1602" i="2"/>
  <c r="G1603" i="2"/>
  <c r="G1604" i="2"/>
  <c r="G1605" i="2"/>
  <c r="G1606" i="2"/>
  <c r="G1607" i="2"/>
  <c r="G1608" i="2"/>
  <c r="G1609" i="2"/>
  <c r="G1610" i="2"/>
  <c r="G1611" i="2"/>
  <c r="G1612" i="2"/>
  <c r="G1613" i="2"/>
  <c r="G1614" i="2"/>
  <c r="G1615" i="2"/>
  <c r="G1616" i="2"/>
  <c r="G1617" i="2"/>
  <c r="G1618" i="2"/>
  <c r="G1619" i="2"/>
  <c r="G1620" i="2"/>
  <c r="G1621" i="2"/>
  <c r="G1622" i="2"/>
  <c r="G1623" i="2"/>
  <c r="G1624" i="2"/>
  <c r="G1625" i="2"/>
  <c r="G1626" i="2"/>
  <c r="G1627" i="2"/>
  <c r="G1628" i="2"/>
  <c r="G1629" i="2"/>
  <c r="G1630" i="2"/>
  <c r="G1631" i="2"/>
  <c r="G1632" i="2"/>
  <c r="G1633" i="2"/>
  <c r="G1634" i="2"/>
  <c r="G1635" i="2"/>
  <c r="G1636" i="2"/>
  <c r="G1637" i="2"/>
  <c r="G1638" i="2"/>
  <c r="G1639" i="2"/>
  <c r="G1640" i="2"/>
  <c r="G1641" i="2"/>
  <c r="G1642" i="2"/>
  <c r="G1643" i="2"/>
  <c r="G1644" i="2"/>
  <c r="G1645" i="2"/>
  <c r="G1646" i="2"/>
  <c r="G1647" i="2"/>
  <c r="G1648" i="2"/>
  <c r="G1649" i="2"/>
  <c r="G1650" i="2"/>
  <c r="G1651" i="2"/>
  <c r="G1652" i="2"/>
  <c r="G1653" i="2"/>
  <c r="G1654" i="2"/>
  <c r="G1655" i="2"/>
  <c r="G1656" i="2"/>
  <c r="G1657" i="2"/>
  <c r="G1658" i="2"/>
  <c r="G1659" i="2"/>
  <c r="G1660" i="2"/>
  <c r="G1661" i="2"/>
  <c r="G1662" i="2"/>
  <c r="G1663" i="2"/>
  <c r="G1664" i="2"/>
  <c r="G1665" i="2"/>
  <c r="G1666" i="2"/>
  <c r="G1667" i="2"/>
  <c r="G1668" i="2"/>
  <c r="G1669" i="2"/>
  <c r="G1670" i="2"/>
  <c r="G1671" i="2"/>
  <c r="G1672" i="2"/>
  <c r="G1673" i="2"/>
  <c r="G1674" i="2"/>
  <c r="G1675" i="2"/>
  <c r="G1676" i="2"/>
  <c r="G1677" i="2"/>
  <c r="G1678" i="2"/>
  <c r="G1679" i="2"/>
  <c r="G1680" i="2"/>
  <c r="G1681" i="2"/>
  <c r="G1682" i="2"/>
  <c r="G1683" i="2"/>
  <c r="G1684" i="2"/>
  <c r="G1685" i="2"/>
  <c r="G1686" i="2"/>
  <c r="G1687" i="2"/>
  <c r="G1688" i="2"/>
  <c r="G1689" i="2"/>
  <c r="G1690" i="2"/>
  <c r="G1691" i="2"/>
  <c r="G1692" i="2"/>
  <c r="G1693" i="2"/>
  <c r="G1694" i="2"/>
  <c r="G1695" i="2"/>
  <c r="G1696" i="2"/>
  <c r="G1697" i="2"/>
  <c r="G1698" i="2"/>
  <c r="G1699" i="2"/>
  <c r="G1700" i="2"/>
  <c r="G1701" i="2"/>
  <c r="G1702" i="2"/>
  <c r="G1703" i="2"/>
  <c r="G1704" i="2"/>
  <c r="G1705" i="2"/>
  <c r="G1706" i="2"/>
  <c r="G1707" i="2"/>
  <c r="G1708" i="2"/>
  <c r="G1709" i="2"/>
  <c r="G1710" i="2"/>
  <c r="G1711" i="2"/>
  <c r="G1712" i="2"/>
  <c r="G1713" i="2"/>
  <c r="G1714" i="2"/>
  <c r="G1715" i="2"/>
  <c r="G1716" i="2"/>
  <c r="G1717" i="2"/>
  <c r="G1718" i="2"/>
  <c r="G1719" i="2"/>
  <c r="G1720" i="2"/>
  <c r="G1721" i="2"/>
  <c r="G1722" i="2"/>
  <c r="G1723" i="2"/>
  <c r="G1724" i="2"/>
  <c r="G1725" i="2"/>
  <c r="G1726" i="2"/>
  <c r="G1727" i="2"/>
  <c r="G1728" i="2"/>
  <c r="G1729" i="2"/>
  <c r="G1730" i="2"/>
  <c r="G1731" i="2"/>
  <c r="G1732" i="2"/>
  <c r="G1733" i="2"/>
  <c r="G1734" i="2"/>
  <c r="G1735" i="2"/>
  <c r="G1736" i="2"/>
  <c r="G1737" i="2"/>
  <c r="G1738" i="2"/>
  <c r="G1739" i="2"/>
  <c r="G1740" i="2"/>
  <c r="G1741" i="2"/>
  <c r="G1742" i="2"/>
  <c r="G1743" i="2"/>
  <c r="G1744" i="2"/>
  <c r="G1745" i="2"/>
  <c r="G1746" i="2"/>
  <c r="G1747" i="2"/>
  <c r="G1748" i="2"/>
  <c r="G1749" i="2"/>
  <c r="G1750" i="2"/>
  <c r="G1751" i="2"/>
  <c r="G1752" i="2"/>
  <c r="G1753" i="2"/>
  <c r="G1754" i="2"/>
  <c r="G1755" i="2"/>
  <c r="G1756" i="2"/>
  <c r="G1757" i="2"/>
  <c r="G1758" i="2"/>
  <c r="G1759" i="2"/>
  <c r="G1760" i="2"/>
  <c r="G1761" i="2"/>
  <c r="G1762" i="2"/>
  <c r="G1763" i="2"/>
  <c r="G1764" i="2"/>
  <c r="G1765" i="2"/>
  <c r="G1766" i="2"/>
  <c r="G1767" i="2"/>
  <c r="G1768" i="2"/>
  <c r="G1769" i="2"/>
  <c r="G1770" i="2"/>
  <c r="G1771" i="2"/>
  <c r="G1772" i="2"/>
  <c r="G1773" i="2"/>
  <c r="G1774" i="2"/>
  <c r="G1775" i="2"/>
  <c r="G1776" i="2"/>
  <c r="G1777" i="2"/>
  <c r="G1778" i="2"/>
  <c r="G1779" i="2"/>
  <c r="G1780" i="2"/>
  <c r="G1781" i="2"/>
  <c r="G1782" i="2"/>
  <c r="G1783" i="2"/>
  <c r="G1784" i="2"/>
  <c r="G1785" i="2"/>
  <c r="G1786" i="2"/>
  <c r="G1787" i="2"/>
  <c r="G1788" i="2"/>
  <c r="G1789" i="2"/>
  <c r="G1790" i="2"/>
  <c r="G1791" i="2"/>
  <c r="G1792" i="2"/>
  <c r="G1793" i="2"/>
  <c r="G1794" i="2"/>
  <c r="G1795" i="2"/>
  <c r="G1796" i="2"/>
  <c r="G1797" i="2"/>
  <c r="G1798" i="2"/>
  <c r="G1799" i="2"/>
  <c r="G1800" i="2"/>
  <c r="G1801" i="2"/>
  <c r="G1802" i="2"/>
  <c r="G1803" i="2"/>
  <c r="G1804" i="2"/>
  <c r="G1805" i="2"/>
  <c r="G1806" i="2"/>
  <c r="G1807" i="2"/>
  <c r="G1808" i="2"/>
  <c r="G1809" i="2"/>
  <c r="G1810" i="2"/>
  <c r="G1811" i="2"/>
  <c r="G1812" i="2"/>
  <c r="G1813" i="2"/>
  <c r="G1814" i="2"/>
  <c r="G1815" i="2"/>
  <c r="G1816" i="2"/>
  <c r="G1817" i="2"/>
  <c r="G1818" i="2"/>
  <c r="G1819" i="2"/>
  <c r="G1820" i="2"/>
  <c r="G1821" i="2"/>
  <c r="G1822" i="2"/>
  <c r="G1823" i="2"/>
  <c r="G1824" i="2"/>
  <c r="G1825" i="2"/>
  <c r="G1826" i="2"/>
  <c r="G1827" i="2"/>
  <c r="G1828" i="2"/>
  <c r="G1829" i="2"/>
  <c r="G1830" i="2"/>
  <c r="G1831" i="2"/>
  <c r="G1832" i="2"/>
  <c r="G1833" i="2"/>
  <c r="G1834" i="2"/>
  <c r="G1835" i="2"/>
  <c r="G1836" i="2"/>
  <c r="G1837" i="2"/>
  <c r="G1838" i="2"/>
  <c r="G1839" i="2"/>
  <c r="G1840" i="2"/>
  <c r="G1841" i="2"/>
  <c r="G1842" i="2"/>
  <c r="G1843" i="2"/>
  <c r="G1844" i="2"/>
  <c r="G1845" i="2"/>
  <c r="G1846" i="2"/>
  <c r="G1847" i="2"/>
  <c r="G1848" i="2"/>
  <c r="G1849" i="2"/>
  <c r="G1850" i="2"/>
  <c r="G1851" i="2"/>
  <c r="G1852" i="2"/>
  <c r="G1853" i="2"/>
  <c r="G1854" i="2"/>
  <c r="G1855" i="2"/>
  <c r="G1856" i="2"/>
  <c r="G1857" i="2"/>
  <c r="G1858" i="2"/>
  <c r="G1859" i="2"/>
  <c r="G1860" i="2"/>
  <c r="G1861" i="2"/>
  <c r="G1862" i="2"/>
  <c r="G1863" i="2"/>
  <c r="G1864" i="2"/>
  <c r="G1865" i="2"/>
  <c r="G1866" i="2"/>
  <c r="G1867" i="2"/>
  <c r="G1868" i="2"/>
  <c r="G1869" i="2"/>
  <c r="G1870" i="2"/>
  <c r="G1871" i="2"/>
  <c r="G1872" i="2"/>
  <c r="G1873" i="2"/>
  <c r="G1874" i="2"/>
  <c r="G1875" i="2"/>
  <c r="G1876" i="2"/>
  <c r="G1877" i="2"/>
  <c r="G1878" i="2"/>
  <c r="G1879" i="2"/>
  <c r="G1880" i="2"/>
  <c r="G1881" i="2"/>
  <c r="G1882" i="2"/>
  <c r="G1883" i="2"/>
  <c r="G1884" i="2"/>
  <c r="G1885" i="2"/>
  <c r="G1886" i="2"/>
  <c r="G1887" i="2"/>
  <c r="G1888" i="2"/>
  <c r="G1889" i="2"/>
  <c r="G1890" i="2"/>
  <c r="G1891" i="2"/>
  <c r="G1892" i="2"/>
  <c r="G1893" i="2"/>
  <c r="G1894" i="2"/>
  <c r="G1895" i="2"/>
  <c r="G1896" i="2"/>
  <c r="G1897" i="2"/>
  <c r="G1898" i="2"/>
  <c r="G1899" i="2"/>
  <c r="G1900" i="2"/>
  <c r="G1901" i="2"/>
  <c r="G1902" i="2"/>
  <c r="G1903" i="2"/>
  <c r="G1904" i="2"/>
  <c r="G1905" i="2"/>
  <c r="G1906" i="2"/>
  <c r="G1907" i="2"/>
  <c r="G1908" i="2"/>
  <c r="G1909" i="2"/>
  <c r="G1910" i="2"/>
  <c r="G1911" i="2"/>
  <c r="G1912" i="2"/>
  <c r="G1913" i="2"/>
  <c r="G1914" i="2"/>
  <c r="G1915" i="2"/>
  <c r="G1916" i="2"/>
  <c r="G1917" i="2"/>
  <c r="G1918" i="2"/>
  <c r="G1919" i="2"/>
  <c r="G1920" i="2"/>
  <c r="G1921" i="2"/>
  <c r="G1922" i="2"/>
  <c r="G1923" i="2"/>
  <c r="G1924" i="2"/>
  <c r="G1925" i="2"/>
  <c r="G1926" i="2"/>
  <c r="G1927" i="2"/>
  <c r="G1928" i="2"/>
  <c r="G1929" i="2"/>
  <c r="G1930" i="2"/>
  <c r="G1931" i="2"/>
  <c r="G1932" i="2"/>
  <c r="G1933" i="2"/>
  <c r="G1934" i="2"/>
  <c r="G1935" i="2"/>
  <c r="G1936" i="2"/>
  <c r="G1937" i="2"/>
  <c r="G1938" i="2"/>
  <c r="G1939" i="2"/>
  <c r="G1940" i="2"/>
  <c r="G1941" i="2"/>
  <c r="G1942" i="2"/>
  <c r="G1943" i="2"/>
  <c r="G1944" i="2"/>
  <c r="G1945" i="2"/>
  <c r="G1946" i="2"/>
  <c r="G1947" i="2"/>
  <c r="G1948" i="2"/>
  <c r="G1949" i="2"/>
  <c r="G1950" i="2"/>
  <c r="G1951" i="2"/>
  <c r="G1952" i="2"/>
  <c r="G1953" i="2"/>
  <c r="G1954" i="2"/>
  <c r="G1955" i="2"/>
  <c r="G1956" i="2"/>
  <c r="G1957" i="2"/>
  <c r="G1958" i="2"/>
  <c r="G1959" i="2"/>
  <c r="G1960" i="2"/>
  <c r="G1961" i="2"/>
  <c r="G1962" i="2"/>
  <c r="G1963" i="2"/>
  <c r="G1964" i="2"/>
  <c r="G1965" i="2"/>
  <c r="G1966" i="2"/>
  <c r="G1967" i="2"/>
  <c r="G1968" i="2"/>
  <c r="G1969" i="2"/>
  <c r="G1970" i="2"/>
  <c r="G1971" i="2"/>
  <c r="G1972" i="2"/>
  <c r="G1973" i="2"/>
  <c r="G1974" i="2"/>
  <c r="G1975" i="2"/>
  <c r="G1976" i="2"/>
  <c r="G1977" i="2"/>
  <c r="G1978" i="2"/>
  <c r="G1979" i="2"/>
  <c r="G1980" i="2"/>
  <c r="G1981" i="2"/>
  <c r="G1982" i="2"/>
  <c r="G1983" i="2"/>
  <c r="G1984" i="2"/>
  <c r="G1985" i="2"/>
  <c r="G1986" i="2"/>
  <c r="G1987" i="2"/>
  <c r="G1988" i="2"/>
  <c r="G1989" i="2"/>
  <c r="G1990" i="2"/>
  <c r="G1991" i="2"/>
  <c r="G1992" i="2"/>
  <c r="G1993" i="2"/>
  <c r="G1994" i="2"/>
  <c r="G1995" i="2"/>
  <c r="G1996" i="2"/>
  <c r="G1997" i="2"/>
  <c r="G1998" i="2"/>
  <c r="G1999" i="2"/>
  <c r="G2000" i="2"/>
  <c r="G2001" i="2"/>
  <c r="G299" i="2"/>
  <c r="G297" i="2"/>
  <c r="G298" i="2"/>
  <c r="C223" i="2"/>
  <c r="C224" i="2"/>
  <c r="C225" i="2"/>
  <c r="C226" i="2"/>
  <c r="C227" i="2"/>
  <c r="C228" i="2"/>
  <c r="C229" i="2"/>
  <c r="C230" i="2"/>
  <c r="C231" i="2"/>
  <c r="C232" i="2"/>
  <c r="C233" i="2"/>
  <c r="C234" i="2"/>
  <c r="C235" i="2"/>
  <c r="C236" i="2"/>
  <c r="C237" i="2"/>
  <c r="C238" i="2"/>
  <c r="C239" i="2"/>
  <c r="C240" i="2"/>
  <c r="C241" i="2"/>
  <c r="C242" i="2"/>
  <c r="C243" i="2"/>
  <c r="C244" i="2"/>
  <c r="C245" i="2"/>
  <c r="C246" i="2"/>
  <c r="C247" i="2"/>
  <c r="C248" i="2"/>
  <c r="C249" i="2"/>
  <c r="C250" i="2"/>
  <c r="C251" i="2"/>
  <c r="C252" i="2"/>
  <c r="C253" i="2"/>
  <c r="C254" i="2"/>
  <c r="C255" i="2"/>
  <c r="C256" i="2"/>
  <c r="C257" i="2"/>
  <c r="C258" i="2"/>
  <c r="C259" i="2"/>
  <c r="C260" i="2"/>
  <c r="C261" i="2"/>
  <c r="C262" i="2"/>
  <c r="C263" i="2"/>
  <c r="C264" i="2"/>
  <c r="C265" i="2"/>
  <c r="C266" i="2"/>
  <c r="C267" i="2"/>
  <c r="C268" i="2"/>
  <c r="C269" i="2"/>
  <c r="C270" i="2"/>
  <c r="C271" i="2"/>
  <c r="C272" i="2"/>
  <c r="C273" i="2"/>
  <c r="C274" i="2"/>
  <c r="C275" i="2"/>
  <c r="C276" i="2"/>
  <c r="C277" i="2"/>
  <c r="C278" i="2"/>
  <c r="C279" i="2"/>
  <c r="C280" i="2"/>
  <c r="C281" i="2"/>
  <c r="C282" i="2"/>
  <c r="C283" i="2"/>
  <c r="C284" i="2"/>
  <c r="C285" i="2"/>
  <c r="C286" i="2"/>
  <c r="C287" i="2"/>
  <c r="C288" i="2"/>
  <c r="C289" i="2"/>
  <c r="C290" i="2"/>
  <c r="C291" i="2"/>
  <c r="C292" i="2"/>
  <c r="C293" i="2"/>
  <c r="C294" i="2"/>
  <c r="C295" i="2"/>
  <c r="C296" i="2"/>
  <c r="C297" i="2"/>
  <c r="C298" i="2"/>
  <c r="C299" i="2"/>
  <c r="C300" i="2"/>
  <c r="C301" i="2"/>
  <c r="C302" i="2"/>
  <c r="C303" i="2"/>
  <c r="C304" i="2"/>
  <c r="C305" i="2"/>
  <c r="C306" i="2"/>
  <c r="C307" i="2"/>
  <c r="C308" i="2"/>
  <c r="C309" i="2"/>
  <c r="C310" i="2"/>
  <c r="C311" i="2"/>
  <c r="C312" i="2"/>
  <c r="C313" i="2"/>
  <c r="C314" i="2"/>
  <c r="C315" i="2"/>
  <c r="C316" i="2"/>
  <c r="C317" i="2"/>
  <c r="C318" i="2"/>
  <c r="C319" i="2"/>
  <c r="C320" i="2"/>
  <c r="C321" i="2"/>
  <c r="C322" i="2"/>
  <c r="C323" i="2"/>
  <c r="C324" i="2"/>
  <c r="C325" i="2"/>
  <c r="C326" i="2"/>
  <c r="C327" i="2"/>
  <c r="C328" i="2"/>
  <c r="C329" i="2"/>
  <c r="C330" i="2"/>
  <c r="C331" i="2"/>
  <c r="C332" i="2"/>
  <c r="C333" i="2"/>
  <c r="C334" i="2"/>
  <c r="C335" i="2"/>
  <c r="C336" i="2"/>
  <c r="C337" i="2"/>
  <c r="C338" i="2"/>
  <c r="C339" i="2"/>
  <c r="C340" i="2"/>
  <c r="C341" i="2"/>
  <c r="C342" i="2"/>
  <c r="C343" i="2"/>
  <c r="C344" i="2"/>
  <c r="C345" i="2"/>
  <c r="C346" i="2"/>
  <c r="C347" i="2"/>
  <c r="C348" i="2"/>
  <c r="C349" i="2"/>
  <c r="C350" i="2"/>
  <c r="C351" i="2"/>
  <c r="C352" i="2"/>
  <c r="C353" i="2"/>
  <c r="C354" i="2"/>
  <c r="C355" i="2"/>
  <c r="C356" i="2"/>
  <c r="C357" i="2"/>
  <c r="C358" i="2"/>
  <c r="C359" i="2"/>
  <c r="C360" i="2"/>
  <c r="C361" i="2"/>
  <c r="C362" i="2"/>
  <c r="C363" i="2"/>
  <c r="C364" i="2"/>
  <c r="C365" i="2"/>
  <c r="C366" i="2"/>
  <c r="C367" i="2"/>
  <c r="C368" i="2"/>
  <c r="C369" i="2"/>
  <c r="C370" i="2"/>
  <c r="C371" i="2"/>
  <c r="C372" i="2"/>
  <c r="C373" i="2"/>
  <c r="C374" i="2"/>
  <c r="C375" i="2"/>
  <c r="C376" i="2"/>
  <c r="C377" i="2"/>
  <c r="C378" i="2"/>
  <c r="C379" i="2"/>
  <c r="C380" i="2"/>
  <c r="C381" i="2"/>
  <c r="C382" i="2"/>
  <c r="C383" i="2"/>
  <c r="C384" i="2"/>
  <c r="C385" i="2"/>
  <c r="C386" i="2"/>
  <c r="C387" i="2"/>
  <c r="C388" i="2"/>
  <c r="C389" i="2"/>
  <c r="C390" i="2"/>
  <c r="C391" i="2"/>
  <c r="C392" i="2"/>
  <c r="C393" i="2"/>
  <c r="C394" i="2"/>
  <c r="C395" i="2"/>
  <c r="C396" i="2"/>
  <c r="C397" i="2"/>
  <c r="C398" i="2"/>
  <c r="C399" i="2"/>
  <c r="C400" i="2"/>
  <c r="C401" i="2"/>
  <c r="C402" i="2"/>
  <c r="C403" i="2"/>
  <c r="C404" i="2"/>
  <c r="C405" i="2"/>
  <c r="C406" i="2"/>
  <c r="C407" i="2"/>
  <c r="C408" i="2"/>
  <c r="C409" i="2"/>
  <c r="C410" i="2"/>
  <c r="C411" i="2"/>
  <c r="C412" i="2"/>
  <c r="C413" i="2"/>
  <c r="C414" i="2"/>
  <c r="C415" i="2"/>
  <c r="C416" i="2"/>
  <c r="C417" i="2"/>
  <c r="C418" i="2"/>
  <c r="C419" i="2"/>
  <c r="C420" i="2"/>
  <c r="C421" i="2"/>
  <c r="C422" i="2"/>
  <c r="C423" i="2"/>
  <c r="C424" i="2"/>
  <c r="C425" i="2"/>
  <c r="C426" i="2"/>
  <c r="C427" i="2"/>
  <c r="C428" i="2"/>
  <c r="C429" i="2"/>
  <c r="C430" i="2"/>
  <c r="C431" i="2"/>
  <c r="C432" i="2"/>
  <c r="C433" i="2"/>
  <c r="C434" i="2"/>
  <c r="C435" i="2"/>
  <c r="C436" i="2"/>
  <c r="C437" i="2"/>
  <c r="C438" i="2"/>
  <c r="C439" i="2"/>
  <c r="C440" i="2"/>
  <c r="C441" i="2"/>
  <c r="C442" i="2"/>
  <c r="C443" i="2"/>
  <c r="C444" i="2"/>
  <c r="C445" i="2"/>
  <c r="C446" i="2"/>
  <c r="C447" i="2"/>
  <c r="C448" i="2"/>
  <c r="C449" i="2"/>
  <c r="C450" i="2"/>
  <c r="C451" i="2"/>
  <c r="C452" i="2"/>
  <c r="C453" i="2"/>
  <c r="C454" i="2"/>
  <c r="C455" i="2"/>
  <c r="C456" i="2"/>
  <c r="C457" i="2"/>
  <c r="C458" i="2"/>
  <c r="C459" i="2"/>
  <c r="C460" i="2"/>
  <c r="C461" i="2"/>
  <c r="C462" i="2"/>
  <c r="C463" i="2"/>
  <c r="C464" i="2"/>
  <c r="C465" i="2"/>
  <c r="C466" i="2"/>
  <c r="C467" i="2"/>
  <c r="C468" i="2"/>
  <c r="C469" i="2"/>
  <c r="C470" i="2"/>
  <c r="C471" i="2"/>
  <c r="C472" i="2"/>
  <c r="C473" i="2"/>
  <c r="C474" i="2"/>
  <c r="C475" i="2"/>
  <c r="C476" i="2"/>
  <c r="C477" i="2"/>
  <c r="C478" i="2"/>
  <c r="C479" i="2"/>
  <c r="C480" i="2"/>
  <c r="C481" i="2"/>
  <c r="C482" i="2"/>
  <c r="C483" i="2"/>
  <c r="C484" i="2"/>
  <c r="C485" i="2"/>
  <c r="C486" i="2"/>
  <c r="C487" i="2"/>
  <c r="C488" i="2"/>
  <c r="C489" i="2"/>
  <c r="C490" i="2"/>
  <c r="C491" i="2"/>
  <c r="C492" i="2"/>
  <c r="C493" i="2"/>
  <c r="C494" i="2"/>
  <c r="C495" i="2"/>
  <c r="C496" i="2"/>
  <c r="C497" i="2"/>
  <c r="C498" i="2"/>
  <c r="C499" i="2"/>
  <c r="C500" i="2"/>
  <c r="C501" i="2"/>
  <c r="C502" i="2"/>
  <c r="C503" i="2"/>
  <c r="C504" i="2"/>
  <c r="C505" i="2"/>
  <c r="C506" i="2"/>
  <c r="C507" i="2"/>
  <c r="C508" i="2"/>
  <c r="C509" i="2"/>
  <c r="C510" i="2"/>
  <c r="C511" i="2"/>
  <c r="C512" i="2"/>
  <c r="C513" i="2"/>
  <c r="C514" i="2"/>
  <c r="C515" i="2"/>
  <c r="C516" i="2"/>
  <c r="C517" i="2"/>
  <c r="C518" i="2"/>
  <c r="C519" i="2"/>
  <c r="C520" i="2"/>
  <c r="C521" i="2"/>
  <c r="C522" i="2"/>
  <c r="C523" i="2"/>
  <c r="C524" i="2"/>
  <c r="C525" i="2"/>
  <c r="C526" i="2"/>
  <c r="C527" i="2"/>
  <c r="C528" i="2"/>
  <c r="C529" i="2"/>
  <c r="C530" i="2"/>
  <c r="C531" i="2"/>
  <c r="C532" i="2"/>
  <c r="C533" i="2"/>
  <c r="C534" i="2"/>
  <c r="C535" i="2"/>
  <c r="C536" i="2"/>
  <c r="C537" i="2"/>
  <c r="C538" i="2"/>
  <c r="C539" i="2"/>
  <c r="C540" i="2"/>
  <c r="C541" i="2"/>
  <c r="C542" i="2"/>
  <c r="C543" i="2"/>
  <c r="C544" i="2"/>
  <c r="C545" i="2"/>
  <c r="C546" i="2"/>
  <c r="C547" i="2"/>
  <c r="C548" i="2"/>
  <c r="C549" i="2"/>
  <c r="C550" i="2"/>
  <c r="C551" i="2"/>
  <c r="C552" i="2"/>
  <c r="C553" i="2"/>
  <c r="C554" i="2"/>
  <c r="C555" i="2"/>
  <c r="C556" i="2"/>
  <c r="C557" i="2"/>
  <c r="C558" i="2"/>
  <c r="C559" i="2"/>
  <c r="C560" i="2"/>
  <c r="C561" i="2"/>
  <c r="C562" i="2"/>
  <c r="C563" i="2"/>
  <c r="C564" i="2"/>
  <c r="C565" i="2"/>
  <c r="C566" i="2"/>
  <c r="C567" i="2"/>
  <c r="C568" i="2"/>
  <c r="C569" i="2"/>
  <c r="C570" i="2"/>
  <c r="C571" i="2"/>
  <c r="C572" i="2"/>
  <c r="C573" i="2"/>
  <c r="C574" i="2"/>
  <c r="C575" i="2"/>
  <c r="C576" i="2"/>
  <c r="C577" i="2"/>
  <c r="C578" i="2"/>
  <c r="C579" i="2"/>
  <c r="C580" i="2"/>
  <c r="C581" i="2"/>
  <c r="C582" i="2"/>
  <c r="C583" i="2"/>
  <c r="C584" i="2"/>
  <c r="C585" i="2"/>
  <c r="C586" i="2"/>
  <c r="C587" i="2"/>
  <c r="C588" i="2"/>
  <c r="C589" i="2"/>
  <c r="C590" i="2"/>
  <c r="C591" i="2"/>
  <c r="C592" i="2"/>
  <c r="C593" i="2"/>
  <c r="C594" i="2"/>
  <c r="C595" i="2"/>
  <c r="C596" i="2"/>
  <c r="C597" i="2"/>
  <c r="C598" i="2"/>
  <c r="C599" i="2"/>
  <c r="C600" i="2"/>
  <c r="C601" i="2"/>
  <c r="C602" i="2"/>
  <c r="C603" i="2"/>
  <c r="C604" i="2"/>
  <c r="C605" i="2"/>
  <c r="C606" i="2"/>
  <c r="C607" i="2"/>
  <c r="C608" i="2"/>
  <c r="C609" i="2"/>
  <c r="C610" i="2"/>
  <c r="C611" i="2"/>
  <c r="C612" i="2"/>
  <c r="C613" i="2"/>
  <c r="C614" i="2"/>
  <c r="C615" i="2"/>
  <c r="C616" i="2"/>
  <c r="C617" i="2"/>
  <c r="C618" i="2"/>
  <c r="C619" i="2"/>
  <c r="C620" i="2"/>
  <c r="C621" i="2"/>
  <c r="C622" i="2"/>
  <c r="C623" i="2"/>
  <c r="C624" i="2"/>
  <c r="C625" i="2"/>
  <c r="C626" i="2"/>
  <c r="C627" i="2"/>
  <c r="C628" i="2"/>
  <c r="C629" i="2"/>
  <c r="C630" i="2"/>
  <c r="C631" i="2"/>
  <c r="C632" i="2"/>
  <c r="C633" i="2"/>
  <c r="C634" i="2"/>
  <c r="C635" i="2"/>
  <c r="C636" i="2"/>
  <c r="C637" i="2"/>
  <c r="C638" i="2"/>
  <c r="C639" i="2"/>
  <c r="C640" i="2"/>
  <c r="C641" i="2"/>
  <c r="C642" i="2"/>
  <c r="C643" i="2"/>
  <c r="C644" i="2"/>
  <c r="C645" i="2"/>
  <c r="C646" i="2"/>
  <c r="C647" i="2"/>
  <c r="C648" i="2"/>
  <c r="C649" i="2"/>
  <c r="C650" i="2"/>
  <c r="C651" i="2"/>
  <c r="C652" i="2"/>
  <c r="C653" i="2"/>
  <c r="C654" i="2"/>
  <c r="C655" i="2"/>
  <c r="C656" i="2"/>
  <c r="C657" i="2"/>
  <c r="C658" i="2"/>
  <c r="C659" i="2"/>
  <c r="C660" i="2"/>
  <c r="C661" i="2"/>
  <c r="C662" i="2"/>
  <c r="C663" i="2"/>
  <c r="C664" i="2"/>
  <c r="C665" i="2"/>
  <c r="C666" i="2"/>
  <c r="C667" i="2"/>
  <c r="C668" i="2"/>
  <c r="C669" i="2"/>
  <c r="C670" i="2"/>
  <c r="C671" i="2"/>
  <c r="C672" i="2"/>
  <c r="C673" i="2"/>
  <c r="C674" i="2"/>
  <c r="C675" i="2"/>
  <c r="C676" i="2"/>
  <c r="C677" i="2"/>
  <c r="C678" i="2"/>
  <c r="C679" i="2"/>
  <c r="C680" i="2"/>
  <c r="C681" i="2"/>
  <c r="C682" i="2"/>
  <c r="C683" i="2"/>
  <c r="C684" i="2"/>
  <c r="C685" i="2"/>
  <c r="C686" i="2"/>
  <c r="C687" i="2"/>
  <c r="C688" i="2"/>
  <c r="C689" i="2"/>
  <c r="C690" i="2"/>
  <c r="C691" i="2"/>
  <c r="C692" i="2"/>
  <c r="C693" i="2"/>
  <c r="C694" i="2"/>
  <c r="C695" i="2"/>
  <c r="C696" i="2"/>
  <c r="C697" i="2"/>
  <c r="C698" i="2"/>
  <c r="C699" i="2"/>
  <c r="C700" i="2"/>
  <c r="C701" i="2"/>
  <c r="C702" i="2"/>
  <c r="C703" i="2"/>
  <c r="C704" i="2"/>
  <c r="C705" i="2"/>
  <c r="C706" i="2"/>
  <c r="C707" i="2"/>
  <c r="C708" i="2"/>
  <c r="C709" i="2"/>
  <c r="C710" i="2"/>
  <c r="C711" i="2"/>
  <c r="C712" i="2"/>
  <c r="C713" i="2"/>
  <c r="C714" i="2"/>
  <c r="C715" i="2"/>
  <c r="C716" i="2"/>
  <c r="C717" i="2"/>
  <c r="C718" i="2"/>
  <c r="C719" i="2"/>
  <c r="C720" i="2"/>
  <c r="C721" i="2"/>
  <c r="C722" i="2"/>
  <c r="C723" i="2"/>
  <c r="C724" i="2"/>
  <c r="C725" i="2"/>
  <c r="C726" i="2"/>
  <c r="C727" i="2"/>
  <c r="C728" i="2"/>
  <c r="C729" i="2"/>
  <c r="C730" i="2"/>
  <c r="C731" i="2"/>
  <c r="C732" i="2"/>
  <c r="C733" i="2"/>
  <c r="C734" i="2"/>
  <c r="C735" i="2"/>
  <c r="C736" i="2"/>
  <c r="C737" i="2"/>
  <c r="C738" i="2"/>
  <c r="C739" i="2"/>
  <c r="C740" i="2"/>
  <c r="C741" i="2"/>
  <c r="C742" i="2"/>
  <c r="C743" i="2"/>
  <c r="C744" i="2"/>
  <c r="C745" i="2"/>
  <c r="C746" i="2"/>
  <c r="C747" i="2"/>
  <c r="C748" i="2"/>
  <c r="C749" i="2"/>
  <c r="C750" i="2"/>
  <c r="C751" i="2"/>
  <c r="C752" i="2"/>
  <c r="C753" i="2"/>
  <c r="C754" i="2"/>
  <c r="C755" i="2"/>
  <c r="C756" i="2"/>
  <c r="C757" i="2"/>
  <c r="C758" i="2"/>
  <c r="C759" i="2"/>
  <c r="C760" i="2"/>
  <c r="C761" i="2"/>
  <c r="C762" i="2"/>
  <c r="C763" i="2"/>
  <c r="C764" i="2"/>
  <c r="C765" i="2"/>
  <c r="C766" i="2"/>
  <c r="C767" i="2"/>
  <c r="C768" i="2"/>
  <c r="C769" i="2"/>
  <c r="C770" i="2"/>
  <c r="C771" i="2"/>
  <c r="C772" i="2"/>
  <c r="C773" i="2"/>
  <c r="C774" i="2"/>
  <c r="C775" i="2"/>
  <c r="C776" i="2"/>
  <c r="C777" i="2"/>
  <c r="C778" i="2"/>
  <c r="C779" i="2"/>
  <c r="C780" i="2"/>
  <c r="C781" i="2"/>
  <c r="C782" i="2"/>
  <c r="C783" i="2"/>
  <c r="C784" i="2"/>
  <c r="C785" i="2"/>
  <c r="C786" i="2"/>
  <c r="C787" i="2"/>
  <c r="C788" i="2"/>
  <c r="C789" i="2"/>
  <c r="C790" i="2"/>
  <c r="C791" i="2"/>
  <c r="C792" i="2"/>
  <c r="C793" i="2"/>
  <c r="C794" i="2"/>
  <c r="C795" i="2"/>
  <c r="C796" i="2"/>
  <c r="C797" i="2"/>
  <c r="C798" i="2"/>
  <c r="C799" i="2"/>
  <c r="C800" i="2"/>
  <c r="C801" i="2"/>
  <c r="C802" i="2"/>
  <c r="C803" i="2"/>
  <c r="C804" i="2"/>
  <c r="C805" i="2"/>
  <c r="C806" i="2"/>
  <c r="C807" i="2"/>
  <c r="C808" i="2"/>
  <c r="C809" i="2"/>
  <c r="C810" i="2"/>
  <c r="C811" i="2"/>
  <c r="C812" i="2"/>
  <c r="C813" i="2"/>
  <c r="C814" i="2"/>
  <c r="C815" i="2"/>
  <c r="C816" i="2"/>
  <c r="C817" i="2"/>
  <c r="C818" i="2"/>
  <c r="C819" i="2"/>
  <c r="C820" i="2"/>
  <c r="C821" i="2"/>
  <c r="C822" i="2"/>
  <c r="C823" i="2"/>
  <c r="C824" i="2"/>
  <c r="C825" i="2"/>
  <c r="C826" i="2"/>
  <c r="C827" i="2"/>
  <c r="C828" i="2"/>
  <c r="C829" i="2"/>
  <c r="C830" i="2"/>
  <c r="C831" i="2"/>
  <c r="C832" i="2"/>
  <c r="C833" i="2"/>
  <c r="C834" i="2"/>
  <c r="C835" i="2"/>
  <c r="C836" i="2"/>
  <c r="C837" i="2"/>
  <c r="C838" i="2"/>
  <c r="C839" i="2"/>
  <c r="C840" i="2"/>
  <c r="C841" i="2"/>
  <c r="C842" i="2"/>
  <c r="C843" i="2"/>
  <c r="C844" i="2"/>
  <c r="C845" i="2"/>
  <c r="C846" i="2"/>
  <c r="C847" i="2"/>
  <c r="C848" i="2"/>
  <c r="C849" i="2"/>
  <c r="C850" i="2"/>
  <c r="C851" i="2"/>
  <c r="C852" i="2"/>
  <c r="C853" i="2"/>
  <c r="C854" i="2"/>
  <c r="C855" i="2"/>
  <c r="C856" i="2"/>
  <c r="C857" i="2"/>
  <c r="C858" i="2"/>
  <c r="C859" i="2"/>
  <c r="C860" i="2"/>
  <c r="C861" i="2"/>
  <c r="C862" i="2"/>
  <c r="C863" i="2"/>
  <c r="C864" i="2"/>
  <c r="C865" i="2"/>
  <c r="C866" i="2"/>
  <c r="C867" i="2"/>
  <c r="C868" i="2"/>
  <c r="C869" i="2"/>
  <c r="C870" i="2"/>
  <c r="C871" i="2"/>
  <c r="C872" i="2"/>
  <c r="C873" i="2"/>
  <c r="C874" i="2"/>
  <c r="C875" i="2"/>
  <c r="C876" i="2"/>
  <c r="C877" i="2"/>
  <c r="C878" i="2"/>
  <c r="C879" i="2"/>
  <c r="C880" i="2"/>
  <c r="C881" i="2"/>
  <c r="C882" i="2"/>
  <c r="C883" i="2"/>
  <c r="C884" i="2"/>
  <c r="C885" i="2"/>
  <c r="C886" i="2"/>
  <c r="C887" i="2"/>
  <c r="C888" i="2"/>
  <c r="C889" i="2"/>
  <c r="C890" i="2"/>
  <c r="C891" i="2"/>
  <c r="C892" i="2"/>
  <c r="C893" i="2"/>
  <c r="C894" i="2"/>
  <c r="C895" i="2"/>
  <c r="C896" i="2"/>
  <c r="C897" i="2"/>
  <c r="C898" i="2"/>
  <c r="C899" i="2"/>
  <c r="C900" i="2"/>
  <c r="C901" i="2"/>
  <c r="C902" i="2"/>
  <c r="C903" i="2"/>
  <c r="C904" i="2"/>
  <c r="C905" i="2"/>
  <c r="C906" i="2"/>
  <c r="C907" i="2"/>
  <c r="C908" i="2"/>
  <c r="C909" i="2"/>
  <c r="C910" i="2"/>
  <c r="C911" i="2"/>
  <c r="C912" i="2"/>
  <c r="C913" i="2"/>
  <c r="C914" i="2"/>
  <c r="C915" i="2"/>
  <c r="C916" i="2"/>
  <c r="C917" i="2"/>
  <c r="C918" i="2"/>
  <c r="C919" i="2"/>
  <c r="C920" i="2"/>
  <c r="C921" i="2"/>
  <c r="C922" i="2"/>
  <c r="C923" i="2"/>
  <c r="C924" i="2"/>
  <c r="C925" i="2"/>
  <c r="C926" i="2"/>
  <c r="C927" i="2"/>
  <c r="C928" i="2"/>
  <c r="C929" i="2"/>
  <c r="C930" i="2"/>
  <c r="C931" i="2"/>
  <c r="C932" i="2"/>
  <c r="C933" i="2"/>
  <c r="C934" i="2"/>
  <c r="C935" i="2"/>
  <c r="C936" i="2"/>
  <c r="C937" i="2"/>
  <c r="C938" i="2"/>
  <c r="C939" i="2"/>
  <c r="C940" i="2"/>
  <c r="C941" i="2"/>
  <c r="C942" i="2"/>
  <c r="C943" i="2"/>
  <c r="C944" i="2"/>
  <c r="C945" i="2"/>
  <c r="C946" i="2"/>
  <c r="C947" i="2"/>
  <c r="C948" i="2"/>
  <c r="C949" i="2"/>
  <c r="C950" i="2"/>
  <c r="C951" i="2"/>
  <c r="C952" i="2"/>
  <c r="C953" i="2"/>
  <c r="C954" i="2"/>
  <c r="C955" i="2"/>
  <c r="C956" i="2"/>
  <c r="C957" i="2"/>
  <c r="C958" i="2"/>
  <c r="C959" i="2"/>
  <c r="C960" i="2"/>
  <c r="C961" i="2"/>
  <c r="C962" i="2"/>
  <c r="C963" i="2"/>
  <c r="C964" i="2"/>
  <c r="C965" i="2"/>
  <c r="C966" i="2"/>
  <c r="C967" i="2"/>
  <c r="C968" i="2"/>
  <c r="C969" i="2"/>
  <c r="C970" i="2"/>
  <c r="C971" i="2"/>
  <c r="C972" i="2"/>
  <c r="C973" i="2"/>
  <c r="C974" i="2"/>
  <c r="C975" i="2"/>
  <c r="C976" i="2"/>
  <c r="C977" i="2"/>
  <c r="C978" i="2"/>
  <c r="C979" i="2"/>
  <c r="C980" i="2"/>
  <c r="C981" i="2"/>
  <c r="C982" i="2"/>
  <c r="C983" i="2"/>
  <c r="C984" i="2"/>
  <c r="C985" i="2"/>
  <c r="C986" i="2"/>
  <c r="C987" i="2"/>
  <c r="C988" i="2"/>
  <c r="C989" i="2"/>
  <c r="C990" i="2"/>
  <c r="C991" i="2"/>
  <c r="C992" i="2"/>
  <c r="C993" i="2"/>
  <c r="C994" i="2"/>
  <c r="C995" i="2"/>
  <c r="C996" i="2"/>
  <c r="C997" i="2"/>
  <c r="C998" i="2"/>
  <c r="C999" i="2"/>
  <c r="C1000" i="2"/>
  <c r="C1001" i="2"/>
  <c r="C1002" i="2"/>
  <c r="C1003" i="2"/>
  <c r="C1004" i="2"/>
  <c r="C1005" i="2"/>
  <c r="C1006" i="2"/>
  <c r="C1007" i="2"/>
  <c r="C1008" i="2"/>
  <c r="C1009" i="2"/>
  <c r="C1010" i="2"/>
  <c r="C1011" i="2"/>
  <c r="C1012" i="2"/>
  <c r="C1013" i="2"/>
  <c r="C1014" i="2"/>
  <c r="C1015" i="2"/>
  <c r="C1016" i="2"/>
  <c r="C1017" i="2"/>
  <c r="C1018" i="2"/>
  <c r="C1019" i="2"/>
  <c r="C1020" i="2"/>
  <c r="C1021" i="2"/>
  <c r="C1022" i="2"/>
  <c r="C1023" i="2"/>
  <c r="C1024" i="2"/>
  <c r="C1025" i="2"/>
  <c r="C1026" i="2"/>
  <c r="C1027" i="2"/>
  <c r="C1028" i="2"/>
  <c r="C1029" i="2"/>
  <c r="C1030" i="2"/>
  <c r="C1031" i="2"/>
  <c r="C1032" i="2"/>
  <c r="C1033" i="2"/>
  <c r="C1034" i="2"/>
  <c r="C1035" i="2"/>
  <c r="C1036" i="2"/>
  <c r="C1037" i="2"/>
  <c r="C1038" i="2"/>
  <c r="C1039" i="2"/>
  <c r="C1040" i="2"/>
  <c r="C1041" i="2"/>
  <c r="C1042" i="2"/>
  <c r="C1043" i="2"/>
  <c r="C1044" i="2"/>
  <c r="C1045" i="2"/>
  <c r="C1046" i="2"/>
  <c r="C1047" i="2"/>
  <c r="C1048" i="2"/>
  <c r="C1049" i="2"/>
  <c r="C1050" i="2"/>
  <c r="C1051" i="2"/>
  <c r="C1052" i="2"/>
  <c r="C1053" i="2"/>
  <c r="C1054" i="2"/>
  <c r="C1055" i="2"/>
  <c r="C1056" i="2"/>
  <c r="C1057" i="2"/>
  <c r="C1058" i="2"/>
  <c r="C1059" i="2"/>
  <c r="C1060" i="2"/>
  <c r="C1061" i="2"/>
  <c r="C1062" i="2"/>
  <c r="C1063" i="2"/>
  <c r="C1064" i="2"/>
  <c r="C1065" i="2"/>
  <c r="C1066" i="2"/>
  <c r="C1067" i="2"/>
  <c r="C1068" i="2"/>
  <c r="C1069" i="2"/>
  <c r="C1070" i="2"/>
  <c r="C1071" i="2"/>
  <c r="C1072" i="2"/>
  <c r="C1073" i="2"/>
  <c r="C1074" i="2"/>
  <c r="C1075" i="2"/>
  <c r="C1076" i="2"/>
  <c r="C1077" i="2"/>
  <c r="C1078" i="2"/>
  <c r="C1079" i="2"/>
  <c r="C1080" i="2"/>
  <c r="C1081" i="2"/>
  <c r="C1082" i="2"/>
  <c r="C1083" i="2"/>
  <c r="C1084" i="2"/>
  <c r="C1085" i="2"/>
  <c r="C1086" i="2"/>
  <c r="C1087" i="2"/>
  <c r="C1088" i="2"/>
  <c r="C1089" i="2"/>
  <c r="C1090" i="2"/>
  <c r="C1091" i="2"/>
  <c r="C1092" i="2"/>
  <c r="C1093" i="2"/>
  <c r="C1094" i="2"/>
  <c r="C1095" i="2"/>
  <c r="C1096" i="2"/>
  <c r="C1097" i="2"/>
  <c r="C1098" i="2"/>
  <c r="C1099" i="2"/>
  <c r="C1100" i="2"/>
  <c r="C1101" i="2"/>
  <c r="C1102" i="2"/>
  <c r="C1103" i="2"/>
  <c r="C1104" i="2"/>
  <c r="C1105" i="2"/>
  <c r="C1106" i="2"/>
  <c r="C1107" i="2"/>
  <c r="C1108" i="2"/>
  <c r="C1109" i="2"/>
  <c r="C1110" i="2"/>
  <c r="C1111" i="2"/>
  <c r="C1112" i="2"/>
  <c r="C1113" i="2"/>
  <c r="C1114" i="2"/>
  <c r="C1115" i="2"/>
  <c r="C1116" i="2"/>
  <c r="C1117" i="2"/>
  <c r="C1118" i="2"/>
  <c r="C1119" i="2"/>
  <c r="C1120" i="2"/>
  <c r="C1121" i="2"/>
  <c r="C1122" i="2"/>
  <c r="C1123" i="2"/>
  <c r="C1124" i="2"/>
  <c r="C1125" i="2"/>
  <c r="C1126" i="2"/>
  <c r="C1127" i="2"/>
  <c r="C1128" i="2"/>
  <c r="C1129" i="2"/>
  <c r="C1130" i="2"/>
  <c r="C1131" i="2"/>
  <c r="C1132" i="2"/>
  <c r="C1133" i="2"/>
  <c r="C1134" i="2"/>
  <c r="C1135" i="2"/>
  <c r="C1136" i="2"/>
  <c r="C1137" i="2"/>
  <c r="C1138" i="2"/>
  <c r="C1139" i="2"/>
  <c r="C1140" i="2"/>
  <c r="C1141" i="2"/>
  <c r="C1142" i="2"/>
  <c r="C1143" i="2"/>
  <c r="C1144" i="2"/>
  <c r="C1145" i="2"/>
  <c r="C1146" i="2"/>
  <c r="C1147" i="2"/>
  <c r="C1148" i="2"/>
  <c r="C1149" i="2"/>
  <c r="C1150" i="2"/>
  <c r="C1151" i="2"/>
  <c r="C1152" i="2"/>
  <c r="C1153" i="2"/>
  <c r="C1154" i="2"/>
  <c r="C1155" i="2"/>
  <c r="C1156" i="2"/>
  <c r="C1157" i="2"/>
  <c r="C1158" i="2"/>
  <c r="C1159" i="2"/>
  <c r="C1160" i="2"/>
  <c r="C1161" i="2"/>
  <c r="C1162" i="2"/>
  <c r="C1163" i="2"/>
  <c r="C1164" i="2"/>
  <c r="C1165" i="2"/>
  <c r="C1166" i="2"/>
  <c r="C1167" i="2"/>
  <c r="C1168" i="2"/>
  <c r="C1169" i="2"/>
  <c r="C1170" i="2"/>
  <c r="C1171" i="2"/>
  <c r="C1172" i="2"/>
  <c r="C1173" i="2"/>
  <c r="C1174" i="2"/>
  <c r="C1175" i="2"/>
  <c r="C1176" i="2"/>
  <c r="C1177" i="2"/>
  <c r="C1178" i="2"/>
  <c r="C1179" i="2"/>
  <c r="C1180" i="2"/>
  <c r="C1181" i="2"/>
  <c r="C1182" i="2"/>
  <c r="C1183" i="2"/>
  <c r="C1184" i="2"/>
  <c r="C1185" i="2"/>
  <c r="C1186" i="2"/>
  <c r="C1187" i="2"/>
  <c r="C1188" i="2"/>
  <c r="C1189" i="2"/>
  <c r="C1190" i="2"/>
  <c r="C1191" i="2"/>
  <c r="C1192" i="2"/>
  <c r="C1193" i="2"/>
  <c r="C1194" i="2"/>
  <c r="C1195" i="2"/>
  <c r="C1196" i="2"/>
  <c r="C1197" i="2"/>
  <c r="C1198" i="2"/>
  <c r="C1199" i="2"/>
  <c r="C1200" i="2"/>
  <c r="C1201" i="2"/>
  <c r="C1202" i="2"/>
  <c r="C1203" i="2"/>
  <c r="C1204" i="2"/>
  <c r="C1205" i="2"/>
  <c r="C1206" i="2"/>
  <c r="C1207" i="2"/>
  <c r="C1208" i="2"/>
  <c r="C1209" i="2"/>
  <c r="C1210" i="2"/>
  <c r="C1211" i="2"/>
  <c r="C1212" i="2"/>
  <c r="C1213" i="2"/>
  <c r="C1214" i="2"/>
  <c r="C1215" i="2"/>
  <c r="C1216" i="2"/>
  <c r="C1217" i="2"/>
  <c r="C1218" i="2"/>
  <c r="C1219" i="2"/>
  <c r="C1220" i="2"/>
  <c r="C1221" i="2"/>
  <c r="C1222" i="2"/>
  <c r="C1223" i="2"/>
  <c r="C1224" i="2"/>
  <c r="C1225" i="2"/>
  <c r="C1226" i="2"/>
  <c r="C1227" i="2"/>
  <c r="C1228" i="2"/>
  <c r="C1229" i="2"/>
  <c r="C1230" i="2"/>
  <c r="C1231" i="2"/>
  <c r="C1232" i="2"/>
  <c r="C1233" i="2"/>
  <c r="C1234" i="2"/>
  <c r="C1235" i="2"/>
  <c r="C1236" i="2"/>
  <c r="C1237" i="2"/>
  <c r="C1238" i="2"/>
  <c r="C1239" i="2"/>
  <c r="C1240" i="2"/>
  <c r="C1241" i="2"/>
  <c r="C1242" i="2"/>
  <c r="C1243" i="2"/>
  <c r="C1244" i="2"/>
  <c r="C1245" i="2"/>
  <c r="C1246" i="2"/>
  <c r="C1247" i="2"/>
  <c r="C1248" i="2"/>
  <c r="C1249" i="2"/>
  <c r="C1250" i="2"/>
  <c r="C1251" i="2"/>
  <c r="C1252" i="2"/>
  <c r="C1253" i="2"/>
  <c r="C1254" i="2"/>
  <c r="C1255" i="2"/>
  <c r="C1256" i="2"/>
  <c r="C1257" i="2"/>
  <c r="C1258" i="2"/>
  <c r="C1259" i="2"/>
  <c r="C1260" i="2"/>
  <c r="C1261" i="2"/>
  <c r="C1262" i="2"/>
  <c r="C1263" i="2"/>
  <c r="C1264" i="2"/>
  <c r="C1265" i="2"/>
  <c r="C1266" i="2"/>
  <c r="C1267" i="2"/>
  <c r="C1268" i="2"/>
  <c r="C1269" i="2"/>
  <c r="C1270" i="2"/>
  <c r="C1271" i="2"/>
  <c r="C1272" i="2"/>
  <c r="C1273" i="2"/>
  <c r="C1274" i="2"/>
  <c r="C1275" i="2"/>
  <c r="C1276" i="2"/>
  <c r="C1277" i="2"/>
  <c r="C1278" i="2"/>
  <c r="C1279" i="2"/>
  <c r="C1280" i="2"/>
  <c r="C1281" i="2"/>
  <c r="C1282" i="2"/>
  <c r="C1283" i="2"/>
  <c r="C1284" i="2"/>
  <c r="C1285" i="2"/>
  <c r="C1286" i="2"/>
  <c r="C1287" i="2"/>
  <c r="C1288" i="2"/>
  <c r="C1289" i="2"/>
  <c r="C1290" i="2"/>
  <c r="C1291" i="2"/>
  <c r="C1292" i="2"/>
  <c r="C1293" i="2"/>
  <c r="C1294" i="2"/>
  <c r="C1295" i="2"/>
  <c r="C1296" i="2"/>
  <c r="C1297" i="2"/>
  <c r="C1298" i="2"/>
  <c r="C1299" i="2"/>
  <c r="C1300" i="2"/>
  <c r="C1301" i="2"/>
  <c r="C1302" i="2"/>
  <c r="C1303" i="2"/>
  <c r="C1304" i="2"/>
  <c r="C1305" i="2"/>
  <c r="C1306" i="2"/>
  <c r="C1307" i="2"/>
  <c r="C1308" i="2"/>
  <c r="C1309" i="2"/>
  <c r="C1310" i="2"/>
  <c r="C1311" i="2"/>
  <c r="C1312" i="2"/>
  <c r="C1313" i="2"/>
  <c r="C1314" i="2"/>
  <c r="C1315" i="2"/>
  <c r="C1316" i="2"/>
  <c r="C1317" i="2"/>
  <c r="C1318" i="2"/>
  <c r="C1319" i="2"/>
  <c r="C1320" i="2"/>
  <c r="C1321" i="2"/>
  <c r="C1322" i="2"/>
  <c r="C1323" i="2"/>
  <c r="C1324" i="2"/>
  <c r="C1325" i="2"/>
  <c r="C1326" i="2"/>
  <c r="C1327" i="2"/>
  <c r="C1328" i="2"/>
  <c r="C1329" i="2"/>
  <c r="C1330" i="2"/>
  <c r="C1331" i="2"/>
  <c r="C1332" i="2"/>
  <c r="C1333" i="2"/>
  <c r="C1334" i="2"/>
  <c r="C1335" i="2"/>
  <c r="C1336" i="2"/>
  <c r="C1337" i="2"/>
  <c r="C1338" i="2"/>
  <c r="C1339" i="2"/>
  <c r="C1340" i="2"/>
  <c r="C1341" i="2"/>
  <c r="C1342" i="2"/>
  <c r="C1343" i="2"/>
  <c r="C1344" i="2"/>
  <c r="C1345" i="2"/>
  <c r="C1346" i="2"/>
  <c r="C1347" i="2"/>
  <c r="C1348" i="2"/>
  <c r="C1349" i="2"/>
  <c r="C1350" i="2"/>
  <c r="C1351" i="2"/>
  <c r="C1352" i="2"/>
  <c r="C1353" i="2"/>
  <c r="C1354" i="2"/>
  <c r="C1355" i="2"/>
  <c r="C1356" i="2"/>
  <c r="C1357" i="2"/>
  <c r="C1358" i="2"/>
  <c r="C1359" i="2"/>
  <c r="C1360" i="2"/>
  <c r="C1361" i="2"/>
  <c r="C1362" i="2"/>
  <c r="C1363" i="2"/>
  <c r="C1364" i="2"/>
  <c r="C1365" i="2"/>
  <c r="C1366" i="2"/>
  <c r="C1367" i="2"/>
  <c r="C1368" i="2"/>
  <c r="C1369" i="2"/>
  <c r="C1370" i="2"/>
  <c r="C1371" i="2"/>
  <c r="C1372" i="2"/>
  <c r="C1373" i="2"/>
  <c r="C1374" i="2"/>
  <c r="C1375" i="2"/>
  <c r="C1376" i="2"/>
  <c r="C1377" i="2"/>
  <c r="C1378" i="2"/>
  <c r="C1379" i="2"/>
  <c r="C1380" i="2"/>
  <c r="C1381" i="2"/>
  <c r="C1382" i="2"/>
  <c r="C1383" i="2"/>
  <c r="C1384" i="2"/>
  <c r="C1385" i="2"/>
  <c r="C1386" i="2"/>
  <c r="C1387" i="2"/>
  <c r="C1388" i="2"/>
  <c r="C1389" i="2"/>
  <c r="C1390" i="2"/>
  <c r="C1391" i="2"/>
  <c r="C1392" i="2"/>
  <c r="C1393" i="2"/>
  <c r="C1394" i="2"/>
  <c r="C1395" i="2"/>
  <c r="C1396" i="2"/>
  <c r="C1397" i="2"/>
  <c r="C1398" i="2"/>
  <c r="C1399" i="2"/>
  <c r="C1400" i="2"/>
  <c r="C1401" i="2"/>
  <c r="C1402" i="2"/>
  <c r="C1403" i="2"/>
  <c r="C1404" i="2"/>
  <c r="C1405" i="2"/>
  <c r="C1406" i="2"/>
  <c r="C1407" i="2"/>
  <c r="C1408" i="2"/>
  <c r="C1409" i="2"/>
  <c r="C1410" i="2"/>
  <c r="C1411" i="2"/>
  <c r="C1412" i="2"/>
  <c r="C1413" i="2"/>
  <c r="C1414" i="2"/>
  <c r="C1415" i="2"/>
  <c r="C1416" i="2"/>
  <c r="C1417" i="2"/>
  <c r="C1418" i="2"/>
  <c r="C1419" i="2"/>
  <c r="C1420" i="2"/>
  <c r="C1421" i="2"/>
  <c r="C1422" i="2"/>
  <c r="C1423" i="2"/>
  <c r="C1424" i="2"/>
  <c r="C1425" i="2"/>
  <c r="C1426" i="2"/>
  <c r="C1427" i="2"/>
  <c r="C1428" i="2"/>
  <c r="C1429" i="2"/>
  <c r="C1430" i="2"/>
  <c r="C1431" i="2"/>
  <c r="C1432" i="2"/>
  <c r="C1433" i="2"/>
  <c r="C1434" i="2"/>
  <c r="C1435" i="2"/>
  <c r="C1436" i="2"/>
  <c r="C1437" i="2"/>
  <c r="C1438" i="2"/>
  <c r="C1439" i="2"/>
  <c r="C1440" i="2"/>
  <c r="C1441" i="2"/>
  <c r="C1442" i="2"/>
  <c r="C1443" i="2"/>
  <c r="C1444" i="2"/>
  <c r="C1445" i="2"/>
  <c r="C1446" i="2"/>
  <c r="C1447" i="2"/>
  <c r="C1448" i="2"/>
  <c r="C1449" i="2"/>
  <c r="C1450" i="2"/>
  <c r="C1451" i="2"/>
  <c r="C1452" i="2"/>
  <c r="C1453" i="2"/>
  <c r="C1454" i="2"/>
  <c r="C1455" i="2"/>
  <c r="C1456" i="2"/>
  <c r="C1457" i="2"/>
  <c r="C1458" i="2"/>
  <c r="C1459" i="2"/>
  <c r="C1460" i="2"/>
  <c r="C1461" i="2"/>
  <c r="C1462" i="2"/>
  <c r="C1463" i="2"/>
  <c r="C1464" i="2"/>
  <c r="C1465" i="2"/>
  <c r="C1466" i="2"/>
  <c r="C1467" i="2"/>
  <c r="C1468" i="2"/>
  <c r="C1469" i="2"/>
  <c r="C1470" i="2"/>
  <c r="C1471" i="2"/>
  <c r="C1472" i="2"/>
  <c r="C1473" i="2"/>
  <c r="C1474" i="2"/>
  <c r="C1475" i="2"/>
  <c r="C1476" i="2"/>
  <c r="C1477" i="2"/>
  <c r="C1478" i="2"/>
  <c r="C1479" i="2"/>
  <c r="C1480" i="2"/>
  <c r="C1481" i="2"/>
  <c r="C1482" i="2"/>
  <c r="C1483" i="2"/>
  <c r="C1484" i="2"/>
  <c r="C1485" i="2"/>
  <c r="C1486" i="2"/>
  <c r="C1487" i="2"/>
  <c r="C1488" i="2"/>
  <c r="C1489" i="2"/>
  <c r="C1490" i="2"/>
  <c r="C1491" i="2"/>
  <c r="C1492" i="2"/>
  <c r="C1493" i="2"/>
  <c r="C1494" i="2"/>
  <c r="C1495" i="2"/>
  <c r="C1496" i="2"/>
  <c r="C1497" i="2"/>
  <c r="C1498" i="2"/>
  <c r="C1499" i="2"/>
  <c r="C1500" i="2"/>
  <c r="C1501" i="2"/>
  <c r="C1502" i="2"/>
  <c r="C1503" i="2"/>
  <c r="C1504" i="2"/>
  <c r="C1505" i="2"/>
  <c r="C1506" i="2"/>
  <c r="C1507" i="2"/>
  <c r="C1508" i="2"/>
  <c r="C1509" i="2"/>
  <c r="C1510" i="2"/>
  <c r="C1511" i="2"/>
  <c r="C1512" i="2"/>
  <c r="C1513" i="2"/>
  <c r="C1514" i="2"/>
  <c r="C1515" i="2"/>
  <c r="C1516" i="2"/>
  <c r="C1517" i="2"/>
  <c r="C1518" i="2"/>
  <c r="C1519" i="2"/>
  <c r="C1520" i="2"/>
  <c r="C1521" i="2"/>
  <c r="C1522" i="2"/>
  <c r="C1523" i="2"/>
  <c r="C1524" i="2"/>
  <c r="C1525" i="2"/>
  <c r="C1526" i="2"/>
  <c r="C1527" i="2"/>
  <c r="C1528" i="2"/>
  <c r="C1529" i="2"/>
  <c r="C1530" i="2"/>
  <c r="C1531" i="2"/>
  <c r="C1532" i="2"/>
  <c r="C1533" i="2"/>
  <c r="C1534" i="2"/>
  <c r="C1535" i="2"/>
  <c r="C1536" i="2"/>
  <c r="C1537" i="2"/>
  <c r="C1538" i="2"/>
  <c r="C1539" i="2"/>
  <c r="C1540" i="2"/>
  <c r="C1541" i="2"/>
  <c r="C1542" i="2"/>
  <c r="C1543" i="2"/>
  <c r="C1544" i="2"/>
  <c r="C1545" i="2"/>
  <c r="C1546" i="2"/>
  <c r="C1547" i="2"/>
  <c r="C1548" i="2"/>
  <c r="C1549" i="2"/>
  <c r="C1550" i="2"/>
  <c r="C1551" i="2"/>
  <c r="C1552" i="2"/>
  <c r="C1553" i="2"/>
  <c r="C1554" i="2"/>
  <c r="C1555" i="2"/>
  <c r="C1556" i="2"/>
  <c r="C1557" i="2"/>
  <c r="C1558" i="2"/>
  <c r="C1559" i="2"/>
  <c r="C1560" i="2"/>
  <c r="C1561" i="2"/>
  <c r="C1562" i="2"/>
  <c r="C1563" i="2"/>
  <c r="C1564" i="2"/>
  <c r="C1565" i="2"/>
  <c r="C1566" i="2"/>
  <c r="C1567" i="2"/>
  <c r="C1568" i="2"/>
  <c r="C1569" i="2"/>
  <c r="C1570" i="2"/>
  <c r="C1571" i="2"/>
  <c r="C1572" i="2"/>
  <c r="C1573" i="2"/>
  <c r="C1574" i="2"/>
  <c r="C1575" i="2"/>
  <c r="C1576" i="2"/>
  <c r="C1577" i="2"/>
  <c r="C1578" i="2"/>
  <c r="C1579" i="2"/>
  <c r="C1580" i="2"/>
  <c r="C1581" i="2"/>
  <c r="C1582" i="2"/>
  <c r="C1583" i="2"/>
  <c r="C1584" i="2"/>
  <c r="C1585" i="2"/>
  <c r="C1586" i="2"/>
  <c r="C1587" i="2"/>
  <c r="C1588" i="2"/>
  <c r="C1589" i="2"/>
  <c r="C1590" i="2"/>
  <c r="C1591" i="2"/>
  <c r="C1592" i="2"/>
  <c r="C1593" i="2"/>
  <c r="C1594" i="2"/>
  <c r="C1595" i="2"/>
  <c r="C1596" i="2"/>
  <c r="C1597" i="2"/>
  <c r="C1598" i="2"/>
  <c r="C1599" i="2"/>
  <c r="C1600" i="2"/>
  <c r="C1601" i="2"/>
  <c r="C1602" i="2"/>
  <c r="C1603" i="2"/>
  <c r="C1604" i="2"/>
  <c r="C1605" i="2"/>
  <c r="C1606" i="2"/>
  <c r="C1607" i="2"/>
  <c r="C1608" i="2"/>
  <c r="C1609" i="2"/>
  <c r="C1610" i="2"/>
  <c r="C1611" i="2"/>
  <c r="C1612" i="2"/>
  <c r="C1613" i="2"/>
  <c r="C1614" i="2"/>
  <c r="C1615" i="2"/>
  <c r="C1616" i="2"/>
  <c r="C1617" i="2"/>
  <c r="C1618" i="2"/>
  <c r="C1619" i="2"/>
  <c r="C1620" i="2"/>
  <c r="C1621" i="2"/>
  <c r="C1622" i="2"/>
  <c r="C1623" i="2"/>
  <c r="C1624" i="2"/>
  <c r="C1625" i="2"/>
  <c r="C1626" i="2"/>
  <c r="C1627" i="2"/>
  <c r="C1628" i="2"/>
  <c r="C1629" i="2"/>
  <c r="C1630" i="2"/>
  <c r="C1631" i="2"/>
  <c r="C1632" i="2"/>
  <c r="C1633" i="2"/>
  <c r="C1634" i="2"/>
  <c r="C1635" i="2"/>
  <c r="C1636" i="2"/>
  <c r="C1637" i="2"/>
  <c r="C1638" i="2"/>
  <c r="C1639" i="2"/>
  <c r="C1640" i="2"/>
  <c r="C1641" i="2"/>
  <c r="C1642" i="2"/>
  <c r="C1643" i="2"/>
  <c r="C1644" i="2"/>
  <c r="C1645" i="2"/>
  <c r="C1646" i="2"/>
  <c r="C1647" i="2"/>
  <c r="C1648" i="2"/>
  <c r="C1649" i="2"/>
  <c r="C1650" i="2"/>
  <c r="C1651" i="2"/>
  <c r="C1652" i="2"/>
  <c r="C1653" i="2"/>
  <c r="C1654" i="2"/>
  <c r="C1655" i="2"/>
  <c r="C1656" i="2"/>
  <c r="C1657" i="2"/>
  <c r="C1658" i="2"/>
  <c r="C1659" i="2"/>
  <c r="C1660" i="2"/>
  <c r="C1661" i="2"/>
  <c r="C1662" i="2"/>
  <c r="C1663" i="2"/>
  <c r="C1664" i="2"/>
  <c r="C1665" i="2"/>
  <c r="C1666" i="2"/>
  <c r="C1667" i="2"/>
  <c r="C1668" i="2"/>
  <c r="C1669" i="2"/>
  <c r="C1670" i="2"/>
  <c r="C1671" i="2"/>
  <c r="C1672" i="2"/>
  <c r="C1673" i="2"/>
  <c r="C1674" i="2"/>
  <c r="C1675" i="2"/>
  <c r="C1676" i="2"/>
  <c r="C1677" i="2"/>
  <c r="C1678" i="2"/>
  <c r="C1679" i="2"/>
  <c r="C1680" i="2"/>
  <c r="C1681" i="2"/>
  <c r="C1682" i="2"/>
  <c r="C1683" i="2"/>
  <c r="C1684" i="2"/>
  <c r="C1685" i="2"/>
  <c r="C1686" i="2"/>
  <c r="C1687" i="2"/>
  <c r="C1688" i="2"/>
  <c r="C1689" i="2"/>
  <c r="C1690" i="2"/>
  <c r="C1691" i="2"/>
  <c r="C1692" i="2"/>
  <c r="C1693" i="2"/>
  <c r="C1694" i="2"/>
  <c r="C1695" i="2"/>
  <c r="C1696" i="2"/>
  <c r="C1697" i="2"/>
  <c r="C1698" i="2"/>
  <c r="C1699" i="2"/>
  <c r="C1700" i="2"/>
  <c r="C1701" i="2"/>
  <c r="C1702" i="2"/>
  <c r="C1703" i="2"/>
  <c r="C1704" i="2"/>
  <c r="C1705" i="2"/>
  <c r="C1706" i="2"/>
  <c r="C1707" i="2"/>
  <c r="C1708" i="2"/>
  <c r="C1709" i="2"/>
  <c r="C1710" i="2"/>
  <c r="C1711" i="2"/>
  <c r="C1712" i="2"/>
  <c r="C1713" i="2"/>
  <c r="C1714" i="2"/>
  <c r="C1715" i="2"/>
  <c r="C1716" i="2"/>
  <c r="C1717" i="2"/>
  <c r="C1718" i="2"/>
  <c r="C1719" i="2"/>
  <c r="C1720" i="2"/>
  <c r="C1721" i="2"/>
  <c r="C1722" i="2"/>
  <c r="C1723" i="2"/>
  <c r="C1724" i="2"/>
  <c r="C1725" i="2"/>
  <c r="C1726" i="2"/>
  <c r="C1727" i="2"/>
  <c r="C1728" i="2"/>
  <c r="C1729" i="2"/>
  <c r="C1730" i="2"/>
  <c r="C1731" i="2"/>
  <c r="C1732" i="2"/>
  <c r="C1733" i="2"/>
  <c r="C1734" i="2"/>
  <c r="C1735" i="2"/>
  <c r="C1736" i="2"/>
  <c r="C1737" i="2"/>
  <c r="C1738" i="2"/>
  <c r="C1739" i="2"/>
  <c r="C1740" i="2"/>
  <c r="C1741" i="2"/>
  <c r="C1742" i="2"/>
  <c r="C1743" i="2"/>
  <c r="C1744" i="2"/>
  <c r="C1745" i="2"/>
  <c r="C1746" i="2"/>
  <c r="C1747" i="2"/>
  <c r="C1748" i="2"/>
  <c r="C1749" i="2"/>
  <c r="C1750" i="2"/>
  <c r="C1751" i="2"/>
  <c r="C1752" i="2"/>
  <c r="C1753" i="2"/>
  <c r="C1754" i="2"/>
  <c r="C1755" i="2"/>
  <c r="C1756" i="2"/>
  <c r="C1757" i="2"/>
  <c r="C1758" i="2"/>
  <c r="C1759" i="2"/>
  <c r="C1760" i="2"/>
  <c r="C1761" i="2"/>
  <c r="C1762" i="2"/>
  <c r="C1763" i="2"/>
  <c r="C1764" i="2"/>
  <c r="C1765" i="2"/>
  <c r="C1766" i="2"/>
  <c r="C1767" i="2"/>
  <c r="C1768" i="2"/>
  <c r="C1769" i="2"/>
  <c r="C1770" i="2"/>
  <c r="C1771" i="2"/>
  <c r="C1772" i="2"/>
  <c r="C1773" i="2"/>
  <c r="C1774" i="2"/>
  <c r="C1775" i="2"/>
  <c r="C1776" i="2"/>
  <c r="C1777" i="2"/>
  <c r="C1778" i="2"/>
  <c r="C1779" i="2"/>
  <c r="C1780" i="2"/>
  <c r="C1781" i="2"/>
  <c r="C1782" i="2"/>
  <c r="C1783" i="2"/>
  <c r="C1784" i="2"/>
  <c r="C1785" i="2"/>
  <c r="C1786" i="2"/>
  <c r="C1787" i="2"/>
  <c r="C1788" i="2"/>
  <c r="C1789" i="2"/>
  <c r="C1790" i="2"/>
  <c r="C1791" i="2"/>
  <c r="C1792" i="2"/>
  <c r="C1793" i="2"/>
  <c r="C1794" i="2"/>
  <c r="C1795" i="2"/>
  <c r="C1796" i="2"/>
  <c r="C1797" i="2"/>
  <c r="C1798" i="2"/>
  <c r="C1799" i="2"/>
  <c r="C1800" i="2"/>
  <c r="C1801" i="2"/>
  <c r="C1802" i="2"/>
  <c r="C1803" i="2"/>
  <c r="C1804" i="2"/>
  <c r="C1805" i="2"/>
  <c r="C1806" i="2"/>
  <c r="C1807" i="2"/>
  <c r="C1808" i="2"/>
  <c r="C1809" i="2"/>
  <c r="C1810" i="2"/>
  <c r="C1811" i="2"/>
  <c r="C1812" i="2"/>
  <c r="C1813" i="2"/>
  <c r="C1814" i="2"/>
  <c r="C1815" i="2"/>
  <c r="C1816" i="2"/>
  <c r="C1817" i="2"/>
  <c r="C1818" i="2"/>
  <c r="C1819" i="2"/>
  <c r="C1820" i="2"/>
  <c r="C1821" i="2"/>
  <c r="C1822" i="2"/>
  <c r="C1823" i="2"/>
  <c r="C1824" i="2"/>
  <c r="C1825" i="2"/>
  <c r="C1826" i="2"/>
  <c r="C1827" i="2"/>
  <c r="C1828" i="2"/>
  <c r="C1829" i="2"/>
  <c r="C1830" i="2"/>
  <c r="C1831" i="2"/>
  <c r="C1832" i="2"/>
  <c r="C1833" i="2"/>
  <c r="C1834" i="2"/>
  <c r="C1835" i="2"/>
  <c r="C1836" i="2"/>
  <c r="C1837" i="2"/>
  <c r="C1838" i="2"/>
  <c r="C1839" i="2"/>
  <c r="C1840" i="2"/>
  <c r="C1841" i="2"/>
  <c r="C1842" i="2"/>
  <c r="C1843" i="2"/>
  <c r="C1844" i="2"/>
  <c r="C1845" i="2"/>
  <c r="C1846" i="2"/>
  <c r="C1847" i="2"/>
  <c r="C1848" i="2"/>
  <c r="C1849" i="2"/>
  <c r="C1850" i="2"/>
  <c r="C1851" i="2"/>
  <c r="C1852" i="2"/>
  <c r="C1853" i="2"/>
  <c r="C1854" i="2"/>
  <c r="C1855" i="2"/>
  <c r="C1856" i="2"/>
  <c r="C1857" i="2"/>
  <c r="C1858" i="2"/>
  <c r="C1859" i="2"/>
  <c r="C1860" i="2"/>
  <c r="C1861" i="2"/>
  <c r="C1862" i="2"/>
  <c r="C1863" i="2"/>
  <c r="C1864" i="2"/>
  <c r="C1865" i="2"/>
  <c r="C1866" i="2"/>
  <c r="C1867" i="2"/>
  <c r="C1868" i="2"/>
  <c r="C1869" i="2"/>
  <c r="C1870" i="2"/>
  <c r="C1871" i="2"/>
  <c r="C1872" i="2"/>
  <c r="C1873" i="2"/>
  <c r="C1874" i="2"/>
  <c r="C1875" i="2"/>
  <c r="C1876" i="2"/>
  <c r="C1877" i="2"/>
  <c r="C1878" i="2"/>
  <c r="C1879" i="2"/>
  <c r="C1880" i="2"/>
  <c r="C1881" i="2"/>
  <c r="C1882" i="2"/>
  <c r="C1883" i="2"/>
  <c r="C1884" i="2"/>
  <c r="C1885" i="2"/>
  <c r="C1886" i="2"/>
  <c r="C1887" i="2"/>
  <c r="C1888" i="2"/>
  <c r="C1889" i="2"/>
  <c r="C1890" i="2"/>
  <c r="C1891" i="2"/>
  <c r="C1892" i="2"/>
  <c r="C1893" i="2"/>
  <c r="C1894" i="2"/>
  <c r="C1895" i="2"/>
  <c r="C1896" i="2"/>
  <c r="C1897" i="2"/>
  <c r="C1898" i="2"/>
  <c r="C1899" i="2"/>
  <c r="C1900" i="2"/>
  <c r="C1901" i="2"/>
  <c r="C1902" i="2"/>
  <c r="C1903" i="2"/>
  <c r="C1904" i="2"/>
  <c r="C1905" i="2"/>
  <c r="C1906" i="2"/>
  <c r="C1907" i="2"/>
  <c r="C1908" i="2"/>
  <c r="C1909" i="2"/>
  <c r="C1910" i="2"/>
  <c r="C1911" i="2"/>
  <c r="C1912" i="2"/>
  <c r="C1913" i="2"/>
  <c r="C1914" i="2"/>
  <c r="C1915" i="2"/>
  <c r="C1916" i="2"/>
  <c r="C1917" i="2"/>
  <c r="C1918" i="2"/>
  <c r="C1919" i="2"/>
  <c r="C1920" i="2"/>
  <c r="C1921" i="2"/>
  <c r="C1922" i="2"/>
  <c r="C1923" i="2"/>
  <c r="C1924" i="2"/>
  <c r="C1925" i="2"/>
  <c r="C1926" i="2"/>
  <c r="C1927" i="2"/>
  <c r="C1928" i="2"/>
  <c r="C1929" i="2"/>
  <c r="C1930" i="2"/>
  <c r="C1931" i="2"/>
  <c r="C1932" i="2"/>
  <c r="C1933" i="2"/>
  <c r="C1934" i="2"/>
  <c r="C1935" i="2"/>
  <c r="C1936" i="2"/>
  <c r="C1937" i="2"/>
  <c r="C1938" i="2"/>
  <c r="C1939" i="2"/>
  <c r="C1940" i="2"/>
  <c r="C1941" i="2"/>
  <c r="C1942" i="2"/>
  <c r="C1943" i="2"/>
  <c r="C1944" i="2"/>
  <c r="C1945" i="2"/>
  <c r="C1946" i="2"/>
  <c r="C1947" i="2"/>
  <c r="C1948" i="2"/>
  <c r="C1949" i="2"/>
  <c r="C1950" i="2"/>
  <c r="C1951" i="2"/>
  <c r="C1952" i="2"/>
  <c r="C1953" i="2"/>
  <c r="C1954" i="2"/>
  <c r="C1955" i="2"/>
  <c r="C1956" i="2"/>
  <c r="C1957" i="2"/>
  <c r="C1958" i="2"/>
  <c r="C1959" i="2"/>
  <c r="C1960" i="2"/>
  <c r="C1961" i="2"/>
  <c r="C1962" i="2"/>
  <c r="C1963" i="2"/>
  <c r="C1964" i="2"/>
  <c r="C1965" i="2"/>
  <c r="C1966" i="2"/>
  <c r="C1967" i="2"/>
  <c r="C1968" i="2"/>
  <c r="C1969" i="2"/>
  <c r="C1970" i="2"/>
  <c r="C1971" i="2"/>
  <c r="C1972" i="2"/>
  <c r="C1973" i="2"/>
  <c r="C1974" i="2"/>
  <c r="C1975" i="2"/>
  <c r="C1976" i="2"/>
  <c r="C1977" i="2"/>
  <c r="C1978" i="2"/>
  <c r="C1979" i="2"/>
  <c r="C1980" i="2"/>
  <c r="C1981" i="2"/>
  <c r="C1982" i="2"/>
  <c r="C1983" i="2"/>
  <c r="C1984" i="2"/>
  <c r="C1985" i="2"/>
  <c r="C1986" i="2"/>
  <c r="C1987" i="2"/>
  <c r="C1988" i="2"/>
  <c r="C1989" i="2"/>
  <c r="C1990" i="2"/>
  <c r="C1991" i="2"/>
  <c r="C1992" i="2"/>
  <c r="C1993" i="2"/>
  <c r="C1994" i="2"/>
  <c r="C1995" i="2"/>
  <c r="C1996" i="2"/>
  <c r="C1997" i="2"/>
  <c r="C1998" i="2"/>
  <c r="C1999" i="2"/>
  <c r="C2000" i="2"/>
  <c r="C2001" i="2"/>
  <c r="F230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F258" i="1"/>
  <c r="F259" i="1"/>
  <c r="F260" i="1"/>
  <c r="F261" i="1"/>
  <c r="F262" i="1"/>
  <c r="F263" i="1"/>
  <c r="F264" i="1"/>
  <c r="F265" i="1"/>
  <c r="F266" i="1"/>
  <c r="F267" i="1"/>
  <c r="F268" i="1"/>
  <c r="F269" i="1"/>
  <c r="F270" i="1"/>
  <c r="F271" i="1"/>
  <c r="F272" i="1"/>
  <c r="F273" i="1"/>
  <c r="F274" i="1"/>
  <c r="F275" i="1"/>
  <c r="F276" i="1"/>
  <c r="F277" i="1"/>
  <c r="F278" i="1"/>
  <c r="F279" i="1"/>
  <c r="F280" i="1"/>
  <c r="F281" i="1"/>
  <c r="F282" i="1"/>
  <c r="F283" i="1"/>
  <c r="F284" i="1"/>
  <c r="F285" i="1"/>
  <c r="F286" i="1"/>
  <c r="F287" i="1"/>
  <c r="F288" i="1"/>
  <c r="F289" i="1"/>
  <c r="F290" i="1"/>
  <c r="F291" i="1"/>
  <c r="F292" i="1"/>
  <c r="F293" i="1"/>
  <c r="F294" i="1"/>
  <c r="F295" i="1"/>
  <c r="F296" i="1"/>
  <c r="F297" i="1"/>
  <c r="F298" i="1"/>
  <c r="F299" i="1"/>
  <c r="F300" i="1"/>
  <c r="F301" i="1"/>
  <c r="F302" i="1"/>
  <c r="F303" i="1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39" i="2"/>
  <c r="D240" i="2"/>
  <c r="D241" i="2"/>
  <c r="D242" i="2"/>
  <c r="D243" i="2"/>
  <c r="D244" i="2"/>
  <c r="D245" i="2"/>
  <c r="D246" i="2"/>
  <c r="D247" i="2"/>
  <c r="D248" i="2"/>
  <c r="D249" i="2"/>
  <c r="D250" i="2"/>
  <c r="D251" i="2"/>
  <c r="D252" i="2"/>
  <c r="D253" i="2"/>
  <c r="D254" i="2"/>
  <c r="D255" i="2"/>
  <c r="D256" i="2"/>
  <c r="D257" i="2"/>
  <c r="D258" i="2"/>
  <c r="D259" i="2"/>
  <c r="D260" i="2"/>
  <c r="D261" i="2"/>
  <c r="D262" i="2"/>
  <c r="D263" i="2"/>
  <c r="D264" i="2"/>
  <c r="D265" i="2"/>
  <c r="D266" i="2"/>
  <c r="D267" i="2"/>
  <c r="D268" i="2"/>
  <c r="D269" i="2"/>
  <c r="D270" i="2"/>
  <c r="D271" i="2"/>
  <c r="D272" i="2"/>
  <c r="D273" i="2"/>
  <c r="D274" i="2"/>
  <c r="D275" i="2"/>
  <c r="D276" i="2"/>
  <c r="D277" i="2"/>
  <c r="D278" i="2"/>
  <c r="D279" i="2"/>
  <c r="D280" i="2"/>
  <c r="D281" i="2"/>
  <c r="D282" i="2"/>
  <c r="D283" i="2"/>
  <c r="D284" i="2"/>
  <c r="D285" i="2"/>
  <c r="D286" i="2"/>
  <c r="D287" i="2"/>
  <c r="D288" i="2"/>
  <c r="D289" i="2"/>
  <c r="D290" i="2"/>
  <c r="D291" i="2"/>
  <c r="D292" i="2"/>
  <c r="D293" i="2"/>
  <c r="D294" i="2"/>
  <c r="D295" i="2"/>
  <c r="D296" i="2"/>
  <c r="D297" i="2"/>
  <c r="D298" i="2"/>
  <c r="D299" i="2"/>
  <c r="D300" i="2"/>
  <c r="D301" i="2"/>
  <c r="D302" i="2"/>
  <c r="D303" i="2"/>
  <c r="D304" i="2"/>
  <c r="D305" i="2"/>
  <c r="D306" i="2"/>
  <c r="D307" i="2"/>
  <c r="D308" i="2"/>
  <c r="D309" i="2"/>
  <c r="D310" i="2"/>
  <c r="D311" i="2"/>
  <c r="D312" i="2"/>
  <c r="D313" i="2"/>
  <c r="D314" i="2"/>
  <c r="D315" i="2"/>
  <c r="D316" i="2"/>
  <c r="D317" i="2"/>
  <c r="D318" i="2"/>
  <c r="D319" i="2"/>
  <c r="D320" i="2"/>
  <c r="D321" i="2"/>
  <c r="D322" i="2"/>
  <c r="D323" i="2"/>
  <c r="D324" i="2"/>
  <c r="D325" i="2"/>
  <c r="D326" i="2"/>
  <c r="D327" i="2"/>
  <c r="D328" i="2"/>
  <c r="D329" i="2"/>
  <c r="D330" i="2"/>
  <c r="D331" i="2"/>
  <c r="D332" i="2"/>
  <c r="D333" i="2"/>
  <c r="D334" i="2"/>
  <c r="D335" i="2"/>
  <c r="D336" i="2"/>
  <c r="D337" i="2"/>
  <c r="D338" i="2"/>
  <c r="D339" i="2"/>
  <c r="D340" i="2"/>
  <c r="D341" i="2"/>
  <c r="D342" i="2"/>
  <c r="D343" i="2"/>
  <c r="D344" i="2"/>
  <c r="D345" i="2"/>
  <c r="D346" i="2"/>
  <c r="D347" i="2"/>
  <c r="D348" i="2"/>
  <c r="D349" i="2"/>
  <c r="D350" i="2"/>
  <c r="D351" i="2"/>
  <c r="D352" i="2"/>
  <c r="D353" i="2"/>
  <c r="D354" i="2"/>
  <c r="D355" i="2"/>
  <c r="D356" i="2"/>
  <c r="D357" i="2"/>
  <c r="D358" i="2"/>
  <c r="D359" i="2"/>
  <c r="D360" i="2"/>
  <c r="D361" i="2"/>
  <c r="D362" i="2"/>
  <c r="D363" i="2"/>
  <c r="D364" i="2"/>
  <c r="D365" i="2"/>
  <c r="D366" i="2"/>
  <c r="D367" i="2"/>
  <c r="D368" i="2"/>
  <c r="D369" i="2"/>
  <c r="D370" i="2"/>
  <c r="D371" i="2"/>
  <c r="D372" i="2"/>
  <c r="D373" i="2"/>
  <c r="D374" i="2"/>
  <c r="D375" i="2"/>
  <c r="D376" i="2"/>
  <c r="D377" i="2"/>
  <c r="D378" i="2"/>
  <c r="D379" i="2"/>
  <c r="D380" i="2"/>
  <c r="D381" i="2"/>
  <c r="D382" i="2"/>
  <c r="D383" i="2"/>
  <c r="D384" i="2"/>
  <c r="D385" i="2"/>
  <c r="D386" i="2"/>
  <c r="D387" i="2"/>
  <c r="D388" i="2"/>
  <c r="D389" i="2"/>
  <c r="D390" i="2"/>
  <c r="D391" i="2"/>
  <c r="D392" i="2"/>
  <c r="D393" i="2"/>
  <c r="D394" i="2"/>
  <c r="D395" i="2"/>
  <c r="D396" i="2"/>
  <c r="D397" i="2"/>
  <c r="D398" i="2"/>
  <c r="D399" i="2"/>
  <c r="D400" i="2"/>
  <c r="D401" i="2"/>
  <c r="D402" i="2"/>
  <c r="D403" i="2"/>
  <c r="D404" i="2"/>
  <c r="D405" i="2"/>
  <c r="D406" i="2"/>
  <c r="D407" i="2"/>
  <c r="D408" i="2"/>
  <c r="D409" i="2"/>
  <c r="D410" i="2"/>
  <c r="D411" i="2"/>
  <c r="D412" i="2"/>
  <c r="D413" i="2"/>
  <c r="D414" i="2"/>
  <c r="D415" i="2"/>
  <c r="D416" i="2"/>
  <c r="D417" i="2"/>
  <c r="D418" i="2"/>
  <c r="D419" i="2"/>
  <c r="D420" i="2"/>
  <c r="D421" i="2"/>
  <c r="D422" i="2"/>
  <c r="D423" i="2"/>
  <c r="D424" i="2"/>
  <c r="D425" i="2"/>
  <c r="D426" i="2"/>
  <c r="D427" i="2"/>
  <c r="D428" i="2"/>
  <c r="D429" i="2"/>
  <c r="D430" i="2"/>
  <c r="D431" i="2"/>
  <c r="D432" i="2"/>
  <c r="D433" i="2"/>
  <c r="D434" i="2"/>
  <c r="D435" i="2"/>
  <c r="D436" i="2"/>
  <c r="D437" i="2"/>
  <c r="D438" i="2"/>
  <c r="D439" i="2"/>
  <c r="D440" i="2"/>
  <c r="D441" i="2"/>
  <c r="D442" i="2"/>
  <c r="D443" i="2"/>
  <c r="D444" i="2"/>
  <c r="D445" i="2"/>
  <c r="D446" i="2"/>
  <c r="D447" i="2"/>
  <c r="D448" i="2"/>
  <c r="D449" i="2"/>
  <c r="D450" i="2"/>
  <c r="D451" i="2"/>
  <c r="D452" i="2"/>
  <c r="D453" i="2"/>
  <c r="D454" i="2"/>
  <c r="D455" i="2"/>
  <c r="D456" i="2"/>
  <c r="D457" i="2"/>
  <c r="D458" i="2"/>
  <c r="D459" i="2"/>
  <c r="D460" i="2"/>
  <c r="D461" i="2"/>
  <c r="D462" i="2"/>
  <c r="D463" i="2"/>
  <c r="D464" i="2"/>
  <c r="D465" i="2"/>
  <c r="D466" i="2"/>
  <c r="D467" i="2"/>
  <c r="D468" i="2"/>
  <c r="D469" i="2"/>
  <c r="D470" i="2"/>
  <c r="D471" i="2"/>
  <c r="D472" i="2"/>
  <c r="D473" i="2"/>
  <c r="D474" i="2"/>
  <c r="D475" i="2"/>
  <c r="D476" i="2"/>
  <c r="D477" i="2"/>
  <c r="D478" i="2"/>
  <c r="D479" i="2"/>
  <c r="D480" i="2"/>
  <c r="D481" i="2"/>
  <c r="D482" i="2"/>
  <c r="D483" i="2"/>
  <c r="D484" i="2"/>
  <c r="D485" i="2"/>
  <c r="D486" i="2"/>
  <c r="D487" i="2"/>
  <c r="D488" i="2"/>
  <c r="D489" i="2"/>
  <c r="D490" i="2"/>
  <c r="D491" i="2"/>
  <c r="D492" i="2"/>
  <c r="D493" i="2"/>
  <c r="D494" i="2"/>
  <c r="D495" i="2"/>
  <c r="D496" i="2"/>
  <c r="D497" i="2"/>
  <c r="D498" i="2"/>
  <c r="D499" i="2"/>
  <c r="D500" i="2"/>
  <c r="D501" i="2"/>
  <c r="D502" i="2"/>
  <c r="D503" i="2"/>
  <c r="D504" i="2"/>
  <c r="D505" i="2"/>
  <c r="D506" i="2"/>
  <c r="D507" i="2"/>
  <c r="D508" i="2"/>
  <c r="D509" i="2"/>
  <c r="D510" i="2"/>
  <c r="D511" i="2"/>
  <c r="D512" i="2"/>
  <c r="D513" i="2"/>
  <c r="D514" i="2"/>
  <c r="D515" i="2"/>
  <c r="D516" i="2"/>
  <c r="D517" i="2"/>
  <c r="D518" i="2"/>
  <c r="D519" i="2"/>
  <c r="D520" i="2"/>
  <c r="D521" i="2"/>
  <c r="D522" i="2"/>
  <c r="D523" i="2"/>
  <c r="D524" i="2"/>
  <c r="D525" i="2"/>
  <c r="D526" i="2"/>
  <c r="D527" i="2"/>
  <c r="D528" i="2"/>
  <c r="D529" i="2"/>
  <c r="D530" i="2"/>
  <c r="D531" i="2"/>
  <c r="D532" i="2"/>
  <c r="D533" i="2"/>
  <c r="D534" i="2"/>
  <c r="D535" i="2"/>
  <c r="D536" i="2"/>
  <c r="D537" i="2"/>
  <c r="D538" i="2"/>
  <c r="D539" i="2"/>
  <c r="D540" i="2"/>
  <c r="D541" i="2"/>
  <c r="D542" i="2"/>
  <c r="D543" i="2"/>
  <c r="D544" i="2"/>
  <c r="D545" i="2"/>
  <c r="D546" i="2"/>
  <c r="D547" i="2"/>
  <c r="D548" i="2"/>
  <c r="D549" i="2"/>
  <c r="D550" i="2"/>
  <c r="D551" i="2"/>
  <c r="D552" i="2"/>
  <c r="D553" i="2"/>
  <c r="D554" i="2"/>
  <c r="D555" i="2"/>
  <c r="D556" i="2"/>
  <c r="D557" i="2"/>
  <c r="D558" i="2"/>
  <c r="D559" i="2"/>
  <c r="D560" i="2"/>
  <c r="D561" i="2"/>
  <c r="D562" i="2"/>
  <c r="D563" i="2"/>
  <c r="D564" i="2"/>
  <c r="D565" i="2"/>
  <c r="D566" i="2"/>
  <c r="D567" i="2"/>
  <c r="D568" i="2"/>
  <c r="D569" i="2"/>
  <c r="D570" i="2"/>
  <c r="D571" i="2"/>
  <c r="D572" i="2"/>
  <c r="D573" i="2"/>
  <c r="D574" i="2"/>
  <c r="D575" i="2"/>
  <c r="D576" i="2"/>
  <c r="D577" i="2"/>
  <c r="D578" i="2"/>
  <c r="D579" i="2"/>
  <c r="D580" i="2"/>
  <c r="D581" i="2"/>
  <c r="D582" i="2"/>
  <c r="D583" i="2"/>
  <c r="D584" i="2"/>
  <c r="D585" i="2"/>
  <c r="D586" i="2"/>
  <c r="D587" i="2"/>
  <c r="D588" i="2"/>
  <c r="D589" i="2"/>
  <c r="D590" i="2"/>
  <c r="D591" i="2"/>
  <c r="D592" i="2"/>
  <c r="D593" i="2"/>
  <c r="D594" i="2"/>
  <c r="D595" i="2"/>
  <c r="D596" i="2"/>
  <c r="D597" i="2"/>
  <c r="D598" i="2"/>
  <c r="D599" i="2"/>
  <c r="D600" i="2"/>
  <c r="D601" i="2"/>
  <c r="D602" i="2"/>
  <c r="D603" i="2"/>
  <c r="D604" i="2"/>
  <c r="D605" i="2"/>
  <c r="D606" i="2"/>
  <c r="D607" i="2"/>
  <c r="D608" i="2"/>
  <c r="D609" i="2"/>
  <c r="D610" i="2"/>
  <c r="D611" i="2"/>
  <c r="D612" i="2"/>
  <c r="D613" i="2"/>
  <c r="D614" i="2"/>
  <c r="D615" i="2"/>
  <c r="D616" i="2"/>
  <c r="D617" i="2"/>
  <c r="D618" i="2"/>
  <c r="D619" i="2"/>
  <c r="D620" i="2"/>
  <c r="D621" i="2"/>
  <c r="D622" i="2"/>
  <c r="D623" i="2"/>
  <c r="D624" i="2"/>
  <c r="D625" i="2"/>
  <c r="D626" i="2"/>
  <c r="D627" i="2"/>
  <c r="D628" i="2"/>
  <c r="D629" i="2"/>
  <c r="D630" i="2"/>
  <c r="D631" i="2"/>
  <c r="D632" i="2"/>
  <c r="D633" i="2"/>
  <c r="D634" i="2"/>
  <c r="D635" i="2"/>
  <c r="D636" i="2"/>
  <c r="D637" i="2"/>
  <c r="D638" i="2"/>
  <c r="D639" i="2"/>
  <c r="D640" i="2"/>
  <c r="D641" i="2"/>
  <c r="D642" i="2"/>
  <c r="D643" i="2"/>
  <c r="D644" i="2"/>
  <c r="D645" i="2"/>
  <c r="D646" i="2"/>
  <c r="D647" i="2"/>
  <c r="D648" i="2"/>
  <c r="D649" i="2"/>
  <c r="D650" i="2"/>
  <c r="D651" i="2"/>
  <c r="D652" i="2"/>
  <c r="D653" i="2"/>
  <c r="D654" i="2"/>
  <c r="D655" i="2"/>
  <c r="D656" i="2"/>
  <c r="D657" i="2"/>
  <c r="D658" i="2"/>
  <c r="D659" i="2"/>
  <c r="D660" i="2"/>
  <c r="D661" i="2"/>
  <c r="D662" i="2"/>
  <c r="D663" i="2"/>
  <c r="D664" i="2"/>
  <c r="D665" i="2"/>
  <c r="D666" i="2"/>
  <c r="D667" i="2"/>
  <c r="D668" i="2"/>
  <c r="D669" i="2"/>
  <c r="D670" i="2"/>
  <c r="D671" i="2"/>
  <c r="D672" i="2"/>
  <c r="D673" i="2"/>
  <c r="D674" i="2"/>
  <c r="D675" i="2"/>
  <c r="D676" i="2"/>
  <c r="D677" i="2"/>
  <c r="D678" i="2"/>
  <c r="D679" i="2"/>
  <c r="D680" i="2"/>
  <c r="D681" i="2"/>
  <c r="D682" i="2"/>
  <c r="D683" i="2"/>
  <c r="D684" i="2"/>
  <c r="D685" i="2"/>
  <c r="D686" i="2"/>
  <c r="D687" i="2"/>
  <c r="D688" i="2"/>
  <c r="D689" i="2"/>
  <c r="D690" i="2"/>
  <c r="D691" i="2"/>
  <c r="D692" i="2"/>
  <c r="D693" i="2"/>
  <c r="D694" i="2"/>
  <c r="D695" i="2"/>
  <c r="D696" i="2"/>
  <c r="D697" i="2"/>
  <c r="D698" i="2"/>
  <c r="D699" i="2"/>
  <c r="D700" i="2"/>
  <c r="D701" i="2"/>
  <c r="D702" i="2"/>
  <c r="D703" i="2"/>
  <c r="D704" i="2"/>
  <c r="D705" i="2"/>
  <c r="D706" i="2"/>
  <c r="D707" i="2"/>
  <c r="D708" i="2"/>
  <c r="D709" i="2"/>
  <c r="D710" i="2"/>
  <c r="D711" i="2"/>
  <c r="D712" i="2"/>
  <c r="D713" i="2"/>
  <c r="D714" i="2"/>
  <c r="D715" i="2"/>
  <c r="D716" i="2"/>
  <c r="D717" i="2"/>
  <c r="D718" i="2"/>
  <c r="D719" i="2"/>
  <c r="D720" i="2"/>
  <c r="D721" i="2"/>
  <c r="D722" i="2"/>
  <c r="D723" i="2"/>
  <c r="D724" i="2"/>
  <c r="D725" i="2"/>
  <c r="D726" i="2"/>
  <c r="D727" i="2"/>
  <c r="D728" i="2"/>
  <c r="D729" i="2"/>
  <c r="D730" i="2"/>
  <c r="D731" i="2"/>
  <c r="D732" i="2"/>
  <c r="D733" i="2"/>
  <c r="D734" i="2"/>
  <c r="D735" i="2"/>
  <c r="D736" i="2"/>
  <c r="D737" i="2"/>
  <c r="D738" i="2"/>
  <c r="D739" i="2"/>
  <c r="D740" i="2"/>
  <c r="D741" i="2"/>
  <c r="D742" i="2"/>
  <c r="D743" i="2"/>
  <c r="D744" i="2"/>
  <c r="D745" i="2"/>
  <c r="D746" i="2"/>
  <c r="D747" i="2"/>
  <c r="D748" i="2"/>
  <c r="D749" i="2"/>
  <c r="D750" i="2"/>
  <c r="D751" i="2"/>
  <c r="D752" i="2"/>
  <c r="D753" i="2"/>
  <c r="D754" i="2"/>
  <c r="D755" i="2"/>
  <c r="D756" i="2"/>
  <c r="D757" i="2"/>
  <c r="D758" i="2"/>
  <c r="D759" i="2"/>
  <c r="D760" i="2"/>
  <c r="D761" i="2"/>
  <c r="D762" i="2"/>
  <c r="D763" i="2"/>
  <c r="D764" i="2"/>
  <c r="D765" i="2"/>
  <c r="D766" i="2"/>
  <c r="D767" i="2"/>
  <c r="D768" i="2"/>
  <c r="D769" i="2"/>
  <c r="D770" i="2"/>
  <c r="D771" i="2"/>
  <c r="D772" i="2"/>
  <c r="D773" i="2"/>
  <c r="D774" i="2"/>
  <c r="D775" i="2"/>
  <c r="D776" i="2"/>
  <c r="D777" i="2"/>
  <c r="D778" i="2"/>
  <c r="D779" i="2"/>
  <c r="D780" i="2"/>
  <c r="D781" i="2"/>
  <c r="D782" i="2"/>
  <c r="D783" i="2"/>
  <c r="D784" i="2"/>
  <c r="D785" i="2"/>
  <c r="D786" i="2"/>
  <c r="D787" i="2"/>
  <c r="D788" i="2"/>
  <c r="D789" i="2"/>
  <c r="D790" i="2"/>
  <c r="D791" i="2"/>
  <c r="D792" i="2"/>
  <c r="D793" i="2"/>
  <c r="D794" i="2"/>
  <c r="D795" i="2"/>
  <c r="D796" i="2"/>
  <c r="D797" i="2"/>
  <c r="D798" i="2"/>
  <c r="D799" i="2"/>
  <c r="D800" i="2"/>
  <c r="D801" i="2"/>
  <c r="D802" i="2"/>
  <c r="D803" i="2"/>
  <c r="D804" i="2"/>
  <c r="D805" i="2"/>
  <c r="D806" i="2"/>
  <c r="D807" i="2"/>
  <c r="D808" i="2"/>
  <c r="D809" i="2"/>
  <c r="D810" i="2"/>
  <c r="D811" i="2"/>
  <c r="D812" i="2"/>
  <c r="D813" i="2"/>
  <c r="D814" i="2"/>
  <c r="D815" i="2"/>
  <c r="D816" i="2"/>
  <c r="D817" i="2"/>
  <c r="D818" i="2"/>
  <c r="D819" i="2"/>
  <c r="D820" i="2"/>
  <c r="D821" i="2"/>
  <c r="D822" i="2"/>
  <c r="D823" i="2"/>
  <c r="D824" i="2"/>
  <c r="D825" i="2"/>
  <c r="D826" i="2"/>
  <c r="D827" i="2"/>
  <c r="D828" i="2"/>
  <c r="D829" i="2"/>
  <c r="D830" i="2"/>
  <c r="D831" i="2"/>
  <c r="D832" i="2"/>
  <c r="D833" i="2"/>
  <c r="D834" i="2"/>
  <c r="D835" i="2"/>
  <c r="D836" i="2"/>
  <c r="D837" i="2"/>
  <c r="D838" i="2"/>
  <c r="D839" i="2"/>
  <c r="D840" i="2"/>
  <c r="D841" i="2"/>
  <c r="D842" i="2"/>
  <c r="D843" i="2"/>
  <c r="D844" i="2"/>
  <c r="D845" i="2"/>
  <c r="D846" i="2"/>
  <c r="D847" i="2"/>
  <c r="D848" i="2"/>
  <c r="D849" i="2"/>
  <c r="D850" i="2"/>
  <c r="D851" i="2"/>
  <c r="D852" i="2"/>
  <c r="D853" i="2"/>
  <c r="D854" i="2"/>
  <c r="D855" i="2"/>
  <c r="D856" i="2"/>
  <c r="D857" i="2"/>
  <c r="D858" i="2"/>
  <c r="D859" i="2"/>
  <c r="D860" i="2"/>
  <c r="D861" i="2"/>
  <c r="D862" i="2"/>
  <c r="D863" i="2"/>
  <c r="D864" i="2"/>
  <c r="D865" i="2"/>
  <c r="D866" i="2"/>
  <c r="D867" i="2"/>
  <c r="D868" i="2"/>
  <c r="D869" i="2"/>
  <c r="D870" i="2"/>
  <c r="D871" i="2"/>
  <c r="D872" i="2"/>
  <c r="D873" i="2"/>
  <c r="D874" i="2"/>
  <c r="D875" i="2"/>
  <c r="D876" i="2"/>
  <c r="D877" i="2"/>
  <c r="D878" i="2"/>
  <c r="D879" i="2"/>
  <c r="D880" i="2"/>
  <c r="D881" i="2"/>
  <c r="D882" i="2"/>
  <c r="D883" i="2"/>
  <c r="D884" i="2"/>
  <c r="D885" i="2"/>
  <c r="D886" i="2"/>
  <c r="D887" i="2"/>
  <c r="D888" i="2"/>
  <c r="D889" i="2"/>
  <c r="D890" i="2"/>
  <c r="D891" i="2"/>
  <c r="D892" i="2"/>
  <c r="D893" i="2"/>
  <c r="D894" i="2"/>
  <c r="D895" i="2"/>
  <c r="D896" i="2"/>
  <c r="D897" i="2"/>
  <c r="D898" i="2"/>
  <c r="D899" i="2"/>
  <c r="D900" i="2"/>
  <c r="D901" i="2"/>
  <c r="D902" i="2"/>
  <c r="D903" i="2"/>
  <c r="D904" i="2"/>
  <c r="D905" i="2"/>
  <c r="D906" i="2"/>
  <c r="D907" i="2"/>
  <c r="D908" i="2"/>
  <c r="D909" i="2"/>
  <c r="D910" i="2"/>
  <c r="D911" i="2"/>
  <c r="D912" i="2"/>
  <c r="D913" i="2"/>
  <c r="D914" i="2"/>
  <c r="D915" i="2"/>
  <c r="D916" i="2"/>
  <c r="D917" i="2"/>
  <c r="D918" i="2"/>
  <c r="D919" i="2"/>
  <c r="D920" i="2"/>
  <c r="D921" i="2"/>
  <c r="D922" i="2"/>
  <c r="D923" i="2"/>
  <c r="D924" i="2"/>
  <c r="D925" i="2"/>
  <c r="D926" i="2"/>
  <c r="D927" i="2"/>
  <c r="D928" i="2"/>
  <c r="D929" i="2"/>
  <c r="D930" i="2"/>
  <c r="D931" i="2"/>
  <c r="D932" i="2"/>
  <c r="D933" i="2"/>
  <c r="D934" i="2"/>
  <c r="D935" i="2"/>
  <c r="D936" i="2"/>
  <c r="D937" i="2"/>
  <c r="D938" i="2"/>
  <c r="D939" i="2"/>
  <c r="D940" i="2"/>
  <c r="D941" i="2"/>
  <c r="D942" i="2"/>
  <c r="D943" i="2"/>
  <c r="D944" i="2"/>
  <c r="D945" i="2"/>
  <c r="D946" i="2"/>
  <c r="D947" i="2"/>
  <c r="D948" i="2"/>
  <c r="D949" i="2"/>
  <c r="D950" i="2"/>
  <c r="D951" i="2"/>
  <c r="D952" i="2"/>
  <c r="D953" i="2"/>
  <c r="D954" i="2"/>
  <c r="D955" i="2"/>
  <c r="D956" i="2"/>
  <c r="D957" i="2"/>
  <c r="D958" i="2"/>
  <c r="D959" i="2"/>
  <c r="D960" i="2"/>
  <c r="D961" i="2"/>
  <c r="D962" i="2"/>
  <c r="D963" i="2"/>
  <c r="D964" i="2"/>
  <c r="D965" i="2"/>
  <c r="D966" i="2"/>
  <c r="D967" i="2"/>
  <c r="D968" i="2"/>
  <c r="D969" i="2"/>
  <c r="D970" i="2"/>
  <c r="D971" i="2"/>
  <c r="D972" i="2"/>
  <c r="D973" i="2"/>
  <c r="D974" i="2"/>
  <c r="D975" i="2"/>
  <c r="D976" i="2"/>
  <c r="D977" i="2"/>
  <c r="D978" i="2"/>
  <c r="D979" i="2"/>
  <c r="D980" i="2"/>
  <c r="D981" i="2"/>
  <c r="D982" i="2"/>
  <c r="D983" i="2"/>
  <c r="D984" i="2"/>
  <c r="D985" i="2"/>
  <c r="D986" i="2"/>
  <c r="D987" i="2"/>
  <c r="D988" i="2"/>
  <c r="D989" i="2"/>
  <c r="D990" i="2"/>
  <c r="D991" i="2"/>
  <c r="D992" i="2"/>
  <c r="D993" i="2"/>
  <c r="D994" i="2"/>
  <c r="D995" i="2"/>
  <c r="D996" i="2"/>
  <c r="D997" i="2"/>
  <c r="D998" i="2"/>
  <c r="D999" i="2"/>
  <c r="D1000" i="2"/>
  <c r="D1001" i="2"/>
  <c r="D1002" i="2"/>
  <c r="D1003" i="2"/>
  <c r="D1004" i="2"/>
  <c r="D1005" i="2"/>
  <c r="D1006" i="2"/>
  <c r="D1007" i="2"/>
  <c r="D1008" i="2"/>
  <c r="D1009" i="2"/>
  <c r="D1010" i="2"/>
  <c r="D1011" i="2"/>
  <c r="D1012" i="2"/>
  <c r="D1013" i="2"/>
  <c r="D1014" i="2"/>
  <c r="D1015" i="2"/>
  <c r="D1016" i="2"/>
  <c r="D1017" i="2"/>
  <c r="D1018" i="2"/>
  <c r="D1019" i="2"/>
  <c r="D1020" i="2"/>
  <c r="D1021" i="2"/>
  <c r="D1022" i="2"/>
  <c r="D1023" i="2"/>
  <c r="D1024" i="2"/>
  <c r="D1025" i="2"/>
  <c r="D1026" i="2"/>
  <c r="D1027" i="2"/>
  <c r="D1028" i="2"/>
  <c r="D1029" i="2"/>
  <c r="D1030" i="2"/>
  <c r="D1031" i="2"/>
  <c r="D1032" i="2"/>
  <c r="D1033" i="2"/>
  <c r="D1034" i="2"/>
  <c r="D1035" i="2"/>
  <c r="D1036" i="2"/>
  <c r="D1037" i="2"/>
  <c r="D1038" i="2"/>
  <c r="D1039" i="2"/>
  <c r="D1040" i="2"/>
  <c r="D1041" i="2"/>
  <c r="D1042" i="2"/>
  <c r="D1043" i="2"/>
  <c r="D1044" i="2"/>
  <c r="D1045" i="2"/>
  <c r="D1046" i="2"/>
  <c r="D1047" i="2"/>
  <c r="D1048" i="2"/>
  <c r="D1049" i="2"/>
  <c r="D1050" i="2"/>
  <c r="D1051" i="2"/>
  <c r="D1052" i="2"/>
  <c r="D1053" i="2"/>
  <c r="D1054" i="2"/>
  <c r="D1055" i="2"/>
  <c r="D1056" i="2"/>
  <c r="D1057" i="2"/>
  <c r="D1058" i="2"/>
  <c r="D1059" i="2"/>
  <c r="D1060" i="2"/>
  <c r="D1061" i="2"/>
  <c r="D1062" i="2"/>
  <c r="D1063" i="2"/>
  <c r="D1064" i="2"/>
  <c r="D1065" i="2"/>
  <c r="D1066" i="2"/>
  <c r="D1067" i="2"/>
  <c r="D1068" i="2"/>
  <c r="D1069" i="2"/>
  <c r="D1070" i="2"/>
  <c r="D1071" i="2"/>
  <c r="D1072" i="2"/>
  <c r="D1073" i="2"/>
  <c r="D1074" i="2"/>
  <c r="D1075" i="2"/>
  <c r="D1076" i="2"/>
  <c r="D1077" i="2"/>
  <c r="D1078" i="2"/>
  <c r="D1079" i="2"/>
  <c r="D1080" i="2"/>
  <c r="D1081" i="2"/>
  <c r="D1082" i="2"/>
  <c r="D1083" i="2"/>
  <c r="D1084" i="2"/>
  <c r="D1085" i="2"/>
  <c r="D1086" i="2"/>
  <c r="D1087" i="2"/>
  <c r="D1088" i="2"/>
  <c r="D1089" i="2"/>
  <c r="D1090" i="2"/>
  <c r="D1091" i="2"/>
  <c r="D1092" i="2"/>
  <c r="D1093" i="2"/>
  <c r="D1094" i="2"/>
  <c r="D1095" i="2"/>
  <c r="D1096" i="2"/>
  <c r="D1097" i="2"/>
  <c r="D1098" i="2"/>
  <c r="D1099" i="2"/>
  <c r="D1100" i="2"/>
  <c r="D1101" i="2"/>
  <c r="D1102" i="2"/>
  <c r="D1103" i="2"/>
  <c r="D1104" i="2"/>
  <c r="D1105" i="2"/>
  <c r="D1106" i="2"/>
  <c r="D1107" i="2"/>
  <c r="D1108" i="2"/>
  <c r="D1109" i="2"/>
  <c r="D1110" i="2"/>
  <c r="D1111" i="2"/>
  <c r="D1112" i="2"/>
  <c r="D1113" i="2"/>
  <c r="D1114" i="2"/>
  <c r="D1115" i="2"/>
  <c r="D1116" i="2"/>
  <c r="D1117" i="2"/>
  <c r="D1118" i="2"/>
  <c r="D1119" i="2"/>
  <c r="D1120" i="2"/>
  <c r="D1121" i="2"/>
  <c r="D1122" i="2"/>
  <c r="D1123" i="2"/>
  <c r="D1124" i="2"/>
  <c r="D1125" i="2"/>
  <c r="D1126" i="2"/>
  <c r="D1127" i="2"/>
  <c r="D1128" i="2"/>
  <c r="D1129" i="2"/>
  <c r="D1130" i="2"/>
  <c r="D1131" i="2"/>
  <c r="D1132" i="2"/>
  <c r="D1133" i="2"/>
  <c r="D1134" i="2"/>
  <c r="D1135" i="2"/>
  <c r="D1136" i="2"/>
  <c r="D1137" i="2"/>
  <c r="D1138" i="2"/>
  <c r="D1139" i="2"/>
  <c r="D1140" i="2"/>
  <c r="D1141" i="2"/>
  <c r="D1142" i="2"/>
  <c r="D1143" i="2"/>
  <c r="D1144" i="2"/>
  <c r="D1145" i="2"/>
  <c r="D1146" i="2"/>
  <c r="D1147" i="2"/>
  <c r="D1148" i="2"/>
  <c r="D1149" i="2"/>
  <c r="D1150" i="2"/>
  <c r="D1151" i="2"/>
  <c r="D1152" i="2"/>
  <c r="D1153" i="2"/>
  <c r="D1154" i="2"/>
  <c r="D1155" i="2"/>
  <c r="D1156" i="2"/>
  <c r="D1157" i="2"/>
  <c r="D1158" i="2"/>
  <c r="D1159" i="2"/>
  <c r="D1160" i="2"/>
  <c r="D1161" i="2"/>
  <c r="D1162" i="2"/>
  <c r="D1163" i="2"/>
  <c r="D1164" i="2"/>
  <c r="D1165" i="2"/>
  <c r="D1166" i="2"/>
  <c r="D1167" i="2"/>
  <c r="D1168" i="2"/>
  <c r="D1169" i="2"/>
  <c r="D1170" i="2"/>
  <c r="D1171" i="2"/>
  <c r="D1172" i="2"/>
  <c r="D1173" i="2"/>
  <c r="D1174" i="2"/>
  <c r="D1175" i="2"/>
  <c r="D1176" i="2"/>
  <c r="D1177" i="2"/>
  <c r="D1178" i="2"/>
  <c r="D1179" i="2"/>
  <c r="D1180" i="2"/>
  <c r="D1181" i="2"/>
  <c r="D1182" i="2"/>
  <c r="D1183" i="2"/>
  <c r="D1184" i="2"/>
  <c r="D1185" i="2"/>
  <c r="D1186" i="2"/>
  <c r="D1187" i="2"/>
  <c r="D1188" i="2"/>
  <c r="D1189" i="2"/>
  <c r="D1190" i="2"/>
  <c r="D1191" i="2"/>
  <c r="D1192" i="2"/>
  <c r="D1193" i="2"/>
  <c r="D1194" i="2"/>
  <c r="D1195" i="2"/>
  <c r="D1196" i="2"/>
  <c r="D1197" i="2"/>
  <c r="D1198" i="2"/>
  <c r="D1199" i="2"/>
  <c r="D1200" i="2"/>
  <c r="D1201" i="2"/>
  <c r="D1202" i="2"/>
  <c r="D1203" i="2"/>
  <c r="D1204" i="2"/>
  <c r="D1205" i="2"/>
  <c r="D1206" i="2"/>
  <c r="D1207" i="2"/>
  <c r="D1208" i="2"/>
  <c r="D1209" i="2"/>
  <c r="D1210" i="2"/>
  <c r="D1211" i="2"/>
  <c r="D1212" i="2"/>
  <c r="D1213" i="2"/>
  <c r="D1214" i="2"/>
  <c r="D1215" i="2"/>
  <c r="D1216" i="2"/>
  <c r="D1217" i="2"/>
  <c r="D1218" i="2"/>
  <c r="D1219" i="2"/>
  <c r="D1220" i="2"/>
  <c r="D1221" i="2"/>
  <c r="D1222" i="2"/>
  <c r="D1223" i="2"/>
  <c r="D1224" i="2"/>
  <c r="D1225" i="2"/>
  <c r="D1226" i="2"/>
  <c r="D1227" i="2"/>
  <c r="D1228" i="2"/>
  <c r="D1229" i="2"/>
  <c r="D1230" i="2"/>
  <c r="D1231" i="2"/>
  <c r="D1232" i="2"/>
  <c r="D1233" i="2"/>
  <c r="D1234" i="2"/>
  <c r="D1235" i="2"/>
  <c r="D1236" i="2"/>
  <c r="D1237" i="2"/>
  <c r="D1238" i="2"/>
  <c r="D1239" i="2"/>
  <c r="D1240" i="2"/>
  <c r="D1241" i="2"/>
  <c r="D1242" i="2"/>
  <c r="D1243" i="2"/>
  <c r="D1244" i="2"/>
  <c r="D1245" i="2"/>
  <c r="D1246" i="2"/>
  <c r="D1247" i="2"/>
  <c r="D1248" i="2"/>
  <c r="D1249" i="2"/>
  <c r="D1250" i="2"/>
  <c r="D1251" i="2"/>
  <c r="D1252" i="2"/>
  <c r="D1253" i="2"/>
  <c r="D1254" i="2"/>
  <c r="D1255" i="2"/>
  <c r="D1256" i="2"/>
  <c r="D1257" i="2"/>
  <c r="D1258" i="2"/>
  <c r="D1259" i="2"/>
  <c r="D1260" i="2"/>
  <c r="D1261" i="2"/>
  <c r="D1262" i="2"/>
  <c r="D1263" i="2"/>
  <c r="D1264" i="2"/>
  <c r="D1265" i="2"/>
  <c r="D1266" i="2"/>
  <c r="D1267" i="2"/>
  <c r="D1268" i="2"/>
  <c r="D1269" i="2"/>
  <c r="D1270" i="2"/>
  <c r="D1271" i="2"/>
  <c r="D1272" i="2"/>
  <c r="D1273" i="2"/>
  <c r="D1274" i="2"/>
  <c r="D1275" i="2"/>
  <c r="D1276" i="2"/>
  <c r="D1277" i="2"/>
  <c r="D1278" i="2"/>
  <c r="D1279" i="2"/>
  <c r="D1280" i="2"/>
  <c r="D1281" i="2"/>
  <c r="D1282" i="2"/>
  <c r="D1283" i="2"/>
  <c r="D1284" i="2"/>
  <c r="D1285" i="2"/>
  <c r="D1286" i="2"/>
  <c r="D1287" i="2"/>
  <c r="D1288" i="2"/>
  <c r="D1289" i="2"/>
  <c r="D1290" i="2"/>
  <c r="D1291" i="2"/>
  <c r="D1292" i="2"/>
  <c r="D1293" i="2"/>
  <c r="D1294" i="2"/>
  <c r="D1295" i="2"/>
  <c r="D1296" i="2"/>
  <c r="D1297" i="2"/>
  <c r="D1298" i="2"/>
  <c r="D1299" i="2"/>
  <c r="D1300" i="2"/>
  <c r="D1301" i="2"/>
  <c r="D1302" i="2"/>
  <c r="D1303" i="2"/>
  <c r="D1304" i="2"/>
  <c r="D1305" i="2"/>
  <c r="D1306" i="2"/>
  <c r="D1307" i="2"/>
  <c r="D1308" i="2"/>
  <c r="D1309" i="2"/>
  <c r="D1310" i="2"/>
  <c r="D1311" i="2"/>
  <c r="D1312" i="2"/>
  <c r="D1313" i="2"/>
  <c r="D1314" i="2"/>
  <c r="D1315" i="2"/>
  <c r="D1316" i="2"/>
  <c r="D1317" i="2"/>
  <c r="D1318" i="2"/>
  <c r="D1319" i="2"/>
  <c r="D1320" i="2"/>
  <c r="D1321" i="2"/>
  <c r="D1322" i="2"/>
  <c r="D1323" i="2"/>
  <c r="D1324" i="2"/>
  <c r="D1325" i="2"/>
  <c r="D1326" i="2"/>
  <c r="D1327" i="2"/>
  <c r="D1328" i="2"/>
  <c r="D1329" i="2"/>
  <c r="D1330" i="2"/>
  <c r="D1331" i="2"/>
  <c r="D1332" i="2"/>
  <c r="D1333" i="2"/>
  <c r="D1334" i="2"/>
  <c r="D1335" i="2"/>
  <c r="D1336" i="2"/>
  <c r="D1337" i="2"/>
  <c r="D1338" i="2"/>
  <c r="D1339" i="2"/>
  <c r="D1340" i="2"/>
  <c r="D1341" i="2"/>
  <c r="D1342" i="2"/>
  <c r="D1343" i="2"/>
  <c r="D1344" i="2"/>
  <c r="D1345" i="2"/>
  <c r="D1346" i="2"/>
  <c r="D1347" i="2"/>
  <c r="D1348" i="2"/>
  <c r="D1349" i="2"/>
  <c r="D1350" i="2"/>
  <c r="D1351" i="2"/>
  <c r="D1352" i="2"/>
  <c r="D1353" i="2"/>
  <c r="D1354" i="2"/>
  <c r="D1355" i="2"/>
  <c r="D1356" i="2"/>
  <c r="D1357" i="2"/>
  <c r="D1358" i="2"/>
  <c r="D1359" i="2"/>
  <c r="D1360" i="2"/>
  <c r="D1361" i="2"/>
  <c r="D1362" i="2"/>
  <c r="D1363" i="2"/>
  <c r="D1364" i="2"/>
  <c r="D1365" i="2"/>
  <c r="D1366" i="2"/>
  <c r="D1367" i="2"/>
  <c r="D1368" i="2"/>
  <c r="D1369" i="2"/>
  <c r="D1370" i="2"/>
  <c r="D1371" i="2"/>
  <c r="D1372" i="2"/>
  <c r="D1373" i="2"/>
  <c r="D1374" i="2"/>
  <c r="D1375" i="2"/>
  <c r="D1376" i="2"/>
  <c r="D1377" i="2"/>
  <c r="D1378" i="2"/>
  <c r="D1379" i="2"/>
  <c r="D1380" i="2"/>
  <c r="D1381" i="2"/>
  <c r="D1382" i="2"/>
  <c r="D1383" i="2"/>
  <c r="D1384" i="2"/>
  <c r="D1385" i="2"/>
  <c r="D1386" i="2"/>
  <c r="D1387" i="2"/>
  <c r="D1388" i="2"/>
  <c r="D1389" i="2"/>
  <c r="D1390" i="2"/>
  <c r="D1391" i="2"/>
  <c r="D1392" i="2"/>
  <c r="D1393" i="2"/>
  <c r="D1394" i="2"/>
  <c r="D1395" i="2"/>
  <c r="D1396" i="2"/>
  <c r="D1397" i="2"/>
  <c r="D1398" i="2"/>
  <c r="D1399" i="2"/>
  <c r="D1400" i="2"/>
  <c r="D1401" i="2"/>
  <c r="D1402" i="2"/>
  <c r="D1403" i="2"/>
  <c r="D1404" i="2"/>
  <c r="D1405" i="2"/>
  <c r="D1406" i="2"/>
  <c r="D1407" i="2"/>
  <c r="D1408" i="2"/>
  <c r="D1409" i="2"/>
  <c r="D1410" i="2"/>
  <c r="D1411" i="2"/>
  <c r="D1412" i="2"/>
  <c r="D1413" i="2"/>
  <c r="D1414" i="2"/>
  <c r="D1415" i="2"/>
  <c r="D1416" i="2"/>
  <c r="D1417" i="2"/>
  <c r="D1418" i="2"/>
  <c r="D1419" i="2"/>
  <c r="D1420" i="2"/>
  <c r="D1421" i="2"/>
  <c r="D1422" i="2"/>
  <c r="D1423" i="2"/>
  <c r="D1424" i="2"/>
  <c r="D1425" i="2"/>
  <c r="D1426" i="2"/>
  <c r="D1427" i="2"/>
  <c r="D1428" i="2"/>
  <c r="D1429" i="2"/>
  <c r="D1430" i="2"/>
  <c r="D1431" i="2"/>
  <c r="D1432" i="2"/>
  <c r="D1433" i="2"/>
  <c r="D1434" i="2"/>
  <c r="D1435" i="2"/>
  <c r="D1436" i="2"/>
  <c r="D1437" i="2"/>
  <c r="D1438" i="2"/>
  <c r="D1439" i="2"/>
  <c r="D1440" i="2"/>
  <c r="D1441" i="2"/>
  <c r="D1442" i="2"/>
  <c r="D1443" i="2"/>
  <c r="D1444" i="2"/>
  <c r="D1445" i="2"/>
  <c r="D1446" i="2"/>
  <c r="D1447" i="2"/>
  <c r="D1448" i="2"/>
  <c r="D1449" i="2"/>
  <c r="D1450" i="2"/>
  <c r="D1451" i="2"/>
  <c r="D1452" i="2"/>
  <c r="D1453" i="2"/>
  <c r="D1454" i="2"/>
  <c r="D1455" i="2"/>
  <c r="D1456" i="2"/>
  <c r="D1457" i="2"/>
  <c r="D1458" i="2"/>
  <c r="D1459" i="2"/>
  <c r="D1460" i="2"/>
  <c r="D1461" i="2"/>
  <c r="D1462" i="2"/>
  <c r="D1463" i="2"/>
  <c r="D1464" i="2"/>
  <c r="D1465" i="2"/>
  <c r="D1466" i="2"/>
  <c r="D1467" i="2"/>
  <c r="D1468" i="2"/>
  <c r="D1469" i="2"/>
  <c r="D1470" i="2"/>
  <c r="D1471" i="2"/>
  <c r="D1472" i="2"/>
  <c r="D1473" i="2"/>
  <c r="D1474" i="2"/>
  <c r="D1475" i="2"/>
  <c r="D1476" i="2"/>
  <c r="D1477" i="2"/>
  <c r="D1478" i="2"/>
  <c r="D1479" i="2"/>
  <c r="D1480" i="2"/>
  <c r="D1481" i="2"/>
  <c r="D1482" i="2"/>
  <c r="D1483" i="2"/>
  <c r="D1484" i="2"/>
  <c r="D1485" i="2"/>
  <c r="D1486" i="2"/>
  <c r="D1487" i="2"/>
  <c r="D1488" i="2"/>
  <c r="D1489" i="2"/>
  <c r="D1490" i="2"/>
  <c r="D1491" i="2"/>
  <c r="D1492" i="2"/>
  <c r="D1493" i="2"/>
  <c r="D1494" i="2"/>
  <c r="D1495" i="2"/>
  <c r="D1496" i="2"/>
  <c r="D1497" i="2"/>
  <c r="D1498" i="2"/>
  <c r="D1499" i="2"/>
  <c r="D1500" i="2"/>
  <c r="D1501" i="2"/>
  <c r="D1502" i="2"/>
  <c r="D1503" i="2"/>
  <c r="D1504" i="2"/>
  <c r="D1505" i="2"/>
  <c r="D1506" i="2"/>
  <c r="D1507" i="2"/>
  <c r="D1508" i="2"/>
  <c r="D1509" i="2"/>
  <c r="D1510" i="2"/>
  <c r="D1511" i="2"/>
  <c r="D1512" i="2"/>
  <c r="D1513" i="2"/>
  <c r="D1514" i="2"/>
  <c r="D1515" i="2"/>
  <c r="D1516" i="2"/>
  <c r="D1517" i="2"/>
  <c r="D1518" i="2"/>
  <c r="D1519" i="2"/>
  <c r="D1520" i="2"/>
  <c r="D1521" i="2"/>
  <c r="D1522" i="2"/>
  <c r="D1523" i="2"/>
  <c r="D1524" i="2"/>
  <c r="D1525" i="2"/>
  <c r="D1526" i="2"/>
  <c r="D1527" i="2"/>
  <c r="D1528" i="2"/>
  <c r="D1529" i="2"/>
  <c r="D1530" i="2"/>
  <c r="D1531" i="2"/>
  <c r="D1532" i="2"/>
  <c r="D1533" i="2"/>
  <c r="D1534" i="2"/>
  <c r="D1535" i="2"/>
  <c r="D1536" i="2"/>
  <c r="D1537" i="2"/>
  <c r="D1538" i="2"/>
  <c r="D1539" i="2"/>
  <c r="D1540" i="2"/>
  <c r="D1541" i="2"/>
  <c r="D1542" i="2"/>
  <c r="D1543" i="2"/>
  <c r="D1544" i="2"/>
  <c r="D1545" i="2"/>
  <c r="D1546" i="2"/>
  <c r="D1547" i="2"/>
  <c r="D1548" i="2"/>
  <c r="D1549" i="2"/>
  <c r="D1550" i="2"/>
  <c r="D1551" i="2"/>
  <c r="D1552" i="2"/>
  <c r="D1553" i="2"/>
  <c r="D1554" i="2"/>
  <c r="D1555" i="2"/>
  <c r="D1556" i="2"/>
  <c r="D1557" i="2"/>
  <c r="D1558" i="2"/>
  <c r="D1559" i="2"/>
  <c r="D1560" i="2"/>
  <c r="D1561" i="2"/>
  <c r="D1562" i="2"/>
  <c r="D1563" i="2"/>
  <c r="D1564" i="2"/>
  <c r="D1565" i="2"/>
  <c r="D1566" i="2"/>
  <c r="D1567" i="2"/>
  <c r="D1568" i="2"/>
  <c r="D1569" i="2"/>
  <c r="D1570" i="2"/>
  <c r="D1571" i="2"/>
  <c r="D1572" i="2"/>
  <c r="D1573" i="2"/>
  <c r="D1574" i="2"/>
  <c r="D1575" i="2"/>
  <c r="D1576" i="2"/>
  <c r="D1577" i="2"/>
  <c r="D1578" i="2"/>
  <c r="D1579" i="2"/>
  <c r="D1580" i="2"/>
  <c r="D1581" i="2"/>
  <c r="D1582" i="2"/>
  <c r="D1583" i="2"/>
  <c r="D1584" i="2"/>
  <c r="D1585" i="2"/>
  <c r="D1586" i="2"/>
  <c r="D1587" i="2"/>
  <c r="D1588" i="2"/>
  <c r="D1589" i="2"/>
  <c r="D1590" i="2"/>
  <c r="D1591" i="2"/>
  <c r="D1592" i="2"/>
  <c r="D1593" i="2"/>
  <c r="D1594" i="2"/>
  <c r="D1595" i="2"/>
  <c r="D1596" i="2"/>
  <c r="D1597" i="2"/>
  <c r="D1598" i="2"/>
  <c r="D1599" i="2"/>
  <c r="D1600" i="2"/>
  <c r="D1601" i="2"/>
  <c r="D1602" i="2"/>
  <c r="D1603" i="2"/>
  <c r="D1604" i="2"/>
  <c r="D1605" i="2"/>
  <c r="D1606" i="2"/>
  <c r="D1607" i="2"/>
  <c r="D1608" i="2"/>
  <c r="D1609" i="2"/>
  <c r="D1610" i="2"/>
  <c r="D1611" i="2"/>
  <c r="D1612" i="2"/>
  <c r="D1613" i="2"/>
  <c r="D1614" i="2"/>
  <c r="D1615" i="2"/>
  <c r="D1616" i="2"/>
  <c r="D1617" i="2"/>
  <c r="D1618" i="2"/>
  <c r="D1619" i="2"/>
  <c r="D1620" i="2"/>
  <c r="D1621" i="2"/>
  <c r="D1622" i="2"/>
  <c r="D1623" i="2"/>
  <c r="D1624" i="2"/>
  <c r="D1625" i="2"/>
  <c r="D1626" i="2"/>
  <c r="D1627" i="2"/>
  <c r="D1628" i="2"/>
  <c r="D1629" i="2"/>
  <c r="D1630" i="2"/>
  <c r="D1631" i="2"/>
  <c r="D1632" i="2"/>
  <c r="D1633" i="2"/>
  <c r="D1634" i="2"/>
  <c r="D1635" i="2"/>
  <c r="D1636" i="2"/>
  <c r="D1637" i="2"/>
  <c r="D1638" i="2"/>
  <c r="D1639" i="2"/>
  <c r="D1640" i="2"/>
  <c r="D1641" i="2"/>
  <c r="D1642" i="2"/>
  <c r="D1643" i="2"/>
  <c r="D1644" i="2"/>
  <c r="D1645" i="2"/>
  <c r="D1646" i="2"/>
  <c r="D1647" i="2"/>
  <c r="D1648" i="2"/>
  <c r="D1649" i="2"/>
  <c r="D1650" i="2"/>
  <c r="D1651" i="2"/>
  <c r="D1652" i="2"/>
  <c r="D1653" i="2"/>
  <c r="D1654" i="2"/>
  <c r="D1655" i="2"/>
  <c r="D1656" i="2"/>
  <c r="D1657" i="2"/>
  <c r="D1658" i="2"/>
  <c r="D1659" i="2"/>
  <c r="D1660" i="2"/>
  <c r="D1661" i="2"/>
  <c r="D1662" i="2"/>
  <c r="D1663" i="2"/>
  <c r="D1664" i="2"/>
  <c r="D1665" i="2"/>
  <c r="D1666" i="2"/>
  <c r="D1667" i="2"/>
  <c r="D1668" i="2"/>
  <c r="D1669" i="2"/>
  <c r="D1670" i="2"/>
  <c r="D1671" i="2"/>
  <c r="D1672" i="2"/>
  <c r="D1673" i="2"/>
  <c r="D1674" i="2"/>
  <c r="D1675" i="2"/>
  <c r="D1676" i="2"/>
  <c r="D1677" i="2"/>
  <c r="D1678" i="2"/>
  <c r="D1679" i="2"/>
  <c r="D1680" i="2"/>
  <c r="D1681" i="2"/>
  <c r="D1682" i="2"/>
  <c r="D1683" i="2"/>
  <c r="D1684" i="2"/>
  <c r="D1685" i="2"/>
  <c r="D1686" i="2"/>
  <c r="D1687" i="2"/>
  <c r="D1688" i="2"/>
  <c r="D1689" i="2"/>
  <c r="D1690" i="2"/>
  <c r="D1691" i="2"/>
  <c r="D1692" i="2"/>
  <c r="D1693" i="2"/>
  <c r="D1694" i="2"/>
  <c r="D1695" i="2"/>
  <c r="D1696" i="2"/>
  <c r="D1697" i="2"/>
  <c r="D1698" i="2"/>
  <c r="D1699" i="2"/>
  <c r="D1700" i="2"/>
  <c r="D1701" i="2"/>
  <c r="D1702" i="2"/>
  <c r="D1703" i="2"/>
  <c r="D1704" i="2"/>
  <c r="D1705" i="2"/>
  <c r="D1706" i="2"/>
  <c r="D1707" i="2"/>
  <c r="D1708" i="2"/>
  <c r="D1709" i="2"/>
  <c r="D1710" i="2"/>
  <c r="D1711" i="2"/>
  <c r="D1712" i="2"/>
  <c r="D1713" i="2"/>
  <c r="D1714" i="2"/>
  <c r="D1715" i="2"/>
  <c r="D1716" i="2"/>
  <c r="D1717" i="2"/>
  <c r="D1718" i="2"/>
  <c r="D1719" i="2"/>
  <c r="D1720" i="2"/>
  <c r="D1721" i="2"/>
  <c r="D1722" i="2"/>
  <c r="D1723" i="2"/>
  <c r="D1724" i="2"/>
  <c r="D1725" i="2"/>
  <c r="D1726" i="2"/>
  <c r="D1727" i="2"/>
  <c r="D1728" i="2"/>
  <c r="D1729" i="2"/>
  <c r="D1730" i="2"/>
  <c r="D1731" i="2"/>
  <c r="D1732" i="2"/>
  <c r="D1733" i="2"/>
  <c r="D1734" i="2"/>
  <c r="D1735" i="2"/>
  <c r="D1736" i="2"/>
  <c r="D1737" i="2"/>
  <c r="D1738" i="2"/>
  <c r="D1739" i="2"/>
  <c r="D1740" i="2"/>
  <c r="D1741" i="2"/>
  <c r="D1742" i="2"/>
  <c r="D1743" i="2"/>
  <c r="D1744" i="2"/>
  <c r="D1745" i="2"/>
  <c r="D1746" i="2"/>
  <c r="D1747" i="2"/>
  <c r="D1748" i="2"/>
  <c r="D1749" i="2"/>
  <c r="D1750" i="2"/>
  <c r="D1751" i="2"/>
  <c r="D1752" i="2"/>
  <c r="D1753" i="2"/>
  <c r="D1754" i="2"/>
  <c r="D1755" i="2"/>
  <c r="D1756" i="2"/>
  <c r="D1757" i="2"/>
  <c r="D1758" i="2"/>
  <c r="D1759" i="2"/>
  <c r="D1760" i="2"/>
  <c r="D1761" i="2"/>
  <c r="D1762" i="2"/>
  <c r="D1763" i="2"/>
  <c r="D1764" i="2"/>
  <c r="D1765" i="2"/>
  <c r="D1766" i="2"/>
  <c r="D1767" i="2"/>
  <c r="D1768" i="2"/>
  <c r="D1769" i="2"/>
  <c r="D1770" i="2"/>
  <c r="D1771" i="2"/>
  <c r="D1772" i="2"/>
  <c r="D1773" i="2"/>
  <c r="D1774" i="2"/>
  <c r="D1775" i="2"/>
  <c r="D1776" i="2"/>
  <c r="D1777" i="2"/>
  <c r="D1778" i="2"/>
  <c r="D1779" i="2"/>
  <c r="D1780" i="2"/>
  <c r="D1781" i="2"/>
  <c r="D1782" i="2"/>
  <c r="D1783" i="2"/>
  <c r="D1784" i="2"/>
  <c r="D1785" i="2"/>
  <c r="D1786" i="2"/>
  <c r="D1787" i="2"/>
  <c r="D1788" i="2"/>
  <c r="D1789" i="2"/>
  <c r="D1790" i="2"/>
  <c r="D1791" i="2"/>
  <c r="D1792" i="2"/>
  <c r="D1793" i="2"/>
  <c r="D1794" i="2"/>
  <c r="D1795" i="2"/>
  <c r="D1796" i="2"/>
  <c r="D1797" i="2"/>
  <c r="D1798" i="2"/>
  <c r="D1799" i="2"/>
  <c r="D1800" i="2"/>
  <c r="D1801" i="2"/>
  <c r="D1802" i="2"/>
  <c r="D1803" i="2"/>
  <c r="D1804" i="2"/>
  <c r="D1805" i="2"/>
  <c r="D1806" i="2"/>
  <c r="D1807" i="2"/>
  <c r="D1808" i="2"/>
  <c r="D1809" i="2"/>
  <c r="D1810" i="2"/>
  <c r="D1811" i="2"/>
  <c r="D1812" i="2"/>
  <c r="D1813" i="2"/>
  <c r="D1814" i="2"/>
  <c r="D1815" i="2"/>
  <c r="D1816" i="2"/>
  <c r="D1817" i="2"/>
  <c r="D1818" i="2"/>
  <c r="D1819" i="2"/>
  <c r="D1820" i="2"/>
  <c r="D1821" i="2"/>
  <c r="D1822" i="2"/>
  <c r="D1823" i="2"/>
  <c r="D1824" i="2"/>
  <c r="D1825" i="2"/>
  <c r="D1826" i="2"/>
  <c r="D1827" i="2"/>
  <c r="D1828" i="2"/>
  <c r="D1829" i="2"/>
  <c r="D1830" i="2"/>
  <c r="D1831" i="2"/>
  <c r="D1832" i="2"/>
  <c r="D1833" i="2"/>
  <c r="D1834" i="2"/>
  <c r="D1835" i="2"/>
  <c r="D1836" i="2"/>
  <c r="D1837" i="2"/>
  <c r="D1838" i="2"/>
  <c r="D1839" i="2"/>
  <c r="D1840" i="2"/>
  <c r="D1841" i="2"/>
  <c r="D1842" i="2"/>
  <c r="D1843" i="2"/>
  <c r="D1844" i="2"/>
  <c r="D1845" i="2"/>
  <c r="D1846" i="2"/>
  <c r="D1847" i="2"/>
  <c r="D1848" i="2"/>
  <c r="D1849" i="2"/>
  <c r="D1850" i="2"/>
  <c r="D1851" i="2"/>
  <c r="D1852" i="2"/>
  <c r="D1853" i="2"/>
  <c r="D1854" i="2"/>
  <c r="D1855" i="2"/>
  <c r="D1856" i="2"/>
  <c r="D1857" i="2"/>
  <c r="D1858" i="2"/>
  <c r="D1859" i="2"/>
  <c r="D1860" i="2"/>
  <c r="D1861" i="2"/>
  <c r="D1862" i="2"/>
  <c r="D1863" i="2"/>
  <c r="D1864" i="2"/>
  <c r="D1865" i="2"/>
  <c r="D1866" i="2"/>
  <c r="D1867" i="2"/>
  <c r="D1868" i="2"/>
  <c r="D1869" i="2"/>
  <c r="D1870" i="2"/>
  <c r="D1871" i="2"/>
  <c r="D1872" i="2"/>
  <c r="D1873" i="2"/>
  <c r="D1874" i="2"/>
  <c r="D1875" i="2"/>
  <c r="D1876" i="2"/>
  <c r="D1877" i="2"/>
  <c r="D1878" i="2"/>
  <c r="D1879" i="2"/>
  <c r="D1880" i="2"/>
  <c r="D1881" i="2"/>
  <c r="D1882" i="2"/>
  <c r="D1883" i="2"/>
  <c r="D1884" i="2"/>
  <c r="D1885" i="2"/>
  <c r="D1886" i="2"/>
  <c r="D1887" i="2"/>
  <c r="D1888" i="2"/>
  <c r="D1889" i="2"/>
  <c r="D1890" i="2"/>
  <c r="D1891" i="2"/>
  <c r="D1892" i="2"/>
  <c r="D1893" i="2"/>
  <c r="D1894" i="2"/>
  <c r="D1895" i="2"/>
  <c r="D1896" i="2"/>
  <c r="D1897" i="2"/>
  <c r="D1898" i="2"/>
  <c r="D1899" i="2"/>
  <c r="D1900" i="2"/>
  <c r="D1901" i="2"/>
  <c r="D1902" i="2"/>
  <c r="D1903" i="2"/>
  <c r="D1904" i="2"/>
  <c r="D1905" i="2"/>
  <c r="D1906" i="2"/>
  <c r="D1907" i="2"/>
  <c r="D1908" i="2"/>
  <c r="D1909" i="2"/>
  <c r="D1910" i="2"/>
  <c r="D1911" i="2"/>
  <c r="D1912" i="2"/>
  <c r="D1913" i="2"/>
  <c r="D1914" i="2"/>
  <c r="D1915" i="2"/>
  <c r="D1916" i="2"/>
  <c r="D1917" i="2"/>
  <c r="D1918" i="2"/>
  <c r="D1919" i="2"/>
  <c r="D1920" i="2"/>
  <c r="D1921" i="2"/>
  <c r="D1922" i="2"/>
  <c r="D1923" i="2"/>
  <c r="D1924" i="2"/>
  <c r="D1925" i="2"/>
  <c r="D1926" i="2"/>
  <c r="D1927" i="2"/>
  <c r="D1928" i="2"/>
  <c r="D1929" i="2"/>
  <c r="D1930" i="2"/>
  <c r="D1931" i="2"/>
  <c r="D1932" i="2"/>
  <c r="D1933" i="2"/>
  <c r="D1934" i="2"/>
  <c r="D1935" i="2"/>
  <c r="D1936" i="2"/>
  <c r="D1937" i="2"/>
  <c r="D1938" i="2"/>
  <c r="D1939" i="2"/>
  <c r="D1940" i="2"/>
  <c r="D1941" i="2"/>
  <c r="D1942" i="2"/>
  <c r="D1943" i="2"/>
  <c r="D1944" i="2"/>
  <c r="D1945" i="2"/>
  <c r="D1946" i="2"/>
  <c r="D1947" i="2"/>
  <c r="D1948" i="2"/>
  <c r="D1949" i="2"/>
  <c r="D1950" i="2"/>
  <c r="D1951" i="2"/>
  <c r="D1952" i="2"/>
  <c r="D1953" i="2"/>
  <c r="D1954" i="2"/>
  <c r="D1955" i="2"/>
  <c r="D1956" i="2"/>
  <c r="D1957" i="2"/>
  <c r="D1958" i="2"/>
  <c r="D1959" i="2"/>
  <c r="D1960" i="2"/>
  <c r="D1961" i="2"/>
  <c r="D1962" i="2"/>
  <c r="D1963" i="2"/>
  <c r="D1964" i="2"/>
  <c r="D1965" i="2"/>
  <c r="D1966" i="2"/>
  <c r="D1967" i="2"/>
  <c r="D1968" i="2"/>
  <c r="D1969" i="2"/>
  <c r="D1970" i="2"/>
  <c r="D1971" i="2"/>
  <c r="D1972" i="2"/>
  <c r="D1973" i="2"/>
  <c r="D1974" i="2"/>
  <c r="D1975" i="2"/>
  <c r="D1976" i="2"/>
  <c r="D1977" i="2"/>
  <c r="D1978" i="2"/>
  <c r="D1979" i="2"/>
  <c r="D1980" i="2"/>
  <c r="D1981" i="2"/>
  <c r="D1982" i="2"/>
  <c r="D1983" i="2"/>
  <c r="D1984" i="2"/>
  <c r="D1985" i="2"/>
  <c r="D1986" i="2"/>
  <c r="D1987" i="2"/>
  <c r="D1988" i="2"/>
  <c r="D1989" i="2"/>
  <c r="D1990" i="2"/>
  <c r="D1991" i="2"/>
  <c r="D1992" i="2"/>
  <c r="D1993" i="2"/>
  <c r="D1994" i="2"/>
  <c r="D1995" i="2"/>
  <c r="D1996" i="2"/>
  <c r="D1997" i="2"/>
  <c r="D1998" i="2"/>
  <c r="D1999" i="2"/>
  <c r="D2000" i="2"/>
  <c r="D2001" i="2"/>
  <c r="D4" i="2"/>
  <c r="D5" i="2"/>
  <c r="D6" i="2"/>
  <c r="D7" i="2"/>
  <c r="D8" i="2"/>
  <c r="D9" i="2"/>
  <c r="D10" i="2"/>
  <c r="D11" i="2"/>
  <c r="D12" i="2"/>
  <c r="D13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14" i="2"/>
  <c r="G27" i="2"/>
  <c r="G28" i="2"/>
  <c r="C7" i="3"/>
  <c r="C6" i="3"/>
  <c r="G6" i="3"/>
  <c r="C8" i="3"/>
  <c r="G8" i="3"/>
  <c r="C9" i="3"/>
  <c r="D9" i="3"/>
  <c r="F9" i="3"/>
  <c r="G9" i="3"/>
  <c r="C10" i="3"/>
  <c r="G10" i="3"/>
  <c r="C11" i="3"/>
  <c r="G11" i="3"/>
  <c r="C12" i="3"/>
  <c r="G12" i="3"/>
  <c r="C13" i="3"/>
  <c r="G13" i="3"/>
  <c r="C14" i="3"/>
  <c r="F14" i="3"/>
  <c r="G14" i="3"/>
  <c r="C15" i="3"/>
  <c r="D15" i="3"/>
  <c r="F15" i="3"/>
  <c r="G15" i="3"/>
  <c r="C16" i="3"/>
  <c r="D16" i="3"/>
  <c r="G16" i="3"/>
  <c r="C17" i="3"/>
  <c r="D17" i="3"/>
  <c r="G17" i="3"/>
  <c r="C18" i="3"/>
  <c r="D18" i="3"/>
  <c r="G18" i="3"/>
  <c r="C19" i="3"/>
  <c r="D19" i="3"/>
  <c r="G19" i="3"/>
  <c r="C20" i="3"/>
  <c r="G20" i="3"/>
  <c r="C21" i="3"/>
  <c r="G21" i="3"/>
  <c r="C22" i="3"/>
  <c r="G22" i="3"/>
  <c r="C23" i="3"/>
  <c r="G23" i="3"/>
  <c r="C24" i="3"/>
  <c r="C25" i="3"/>
  <c r="G25" i="3"/>
  <c r="C26" i="3"/>
  <c r="D26" i="3"/>
  <c r="G26" i="3"/>
  <c r="C27" i="3"/>
  <c r="G27" i="3"/>
  <c r="C28" i="3"/>
  <c r="D28" i="3"/>
  <c r="G28" i="3"/>
  <c r="C29" i="3"/>
  <c r="D29" i="3"/>
  <c r="G29" i="3"/>
  <c r="C30" i="3"/>
  <c r="D30" i="3"/>
  <c r="G30" i="3"/>
  <c r="C31" i="3"/>
  <c r="G31" i="3"/>
  <c r="C32" i="3"/>
  <c r="G32" i="3"/>
  <c r="C33" i="3"/>
  <c r="D33" i="3"/>
  <c r="G33" i="3"/>
  <c r="C34" i="3"/>
  <c r="D34" i="3"/>
  <c r="G34" i="3"/>
  <c r="C35" i="3"/>
  <c r="G35" i="3"/>
  <c r="C36" i="3"/>
  <c r="G36" i="3"/>
  <c r="C37" i="3"/>
  <c r="D37" i="3"/>
  <c r="F37" i="3"/>
  <c r="G37" i="3"/>
  <c r="C38" i="3"/>
  <c r="G38" i="3"/>
  <c r="C39" i="3"/>
  <c r="D39" i="3"/>
  <c r="F39" i="3"/>
  <c r="G39" i="3"/>
  <c r="C40" i="3"/>
  <c r="D40" i="3"/>
  <c r="F40" i="3"/>
  <c r="G40" i="3"/>
  <c r="C41" i="3"/>
  <c r="D41" i="3"/>
  <c r="F41" i="3"/>
  <c r="G41" i="3"/>
  <c r="C42" i="3"/>
  <c r="D42" i="3"/>
  <c r="F42" i="3"/>
  <c r="G42" i="3"/>
  <c r="C43" i="3"/>
  <c r="D43" i="3"/>
  <c r="F43" i="3"/>
  <c r="G43" i="3"/>
  <c r="C44" i="3"/>
  <c r="D44" i="3"/>
  <c r="F44" i="3"/>
  <c r="G44" i="3"/>
  <c r="C45" i="3"/>
  <c r="D45" i="3"/>
  <c r="F45" i="3"/>
  <c r="G45" i="3"/>
  <c r="C46" i="3"/>
  <c r="D46" i="3"/>
  <c r="F46" i="3"/>
  <c r="G46" i="3"/>
  <c r="C47" i="3"/>
  <c r="D47" i="3"/>
  <c r="F47" i="3"/>
  <c r="G47" i="3"/>
  <c r="C48" i="3"/>
  <c r="D48" i="3"/>
  <c r="F48" i="3"/>
  <c r="G48" i="3"/>
  <c r="C49" i="3"/>
  <c r="D49" i="3"/>
  <c r="F49" i="3"/>
  <c r="G49" i="3"/>
  <c r="C50" i="3"/>
  <c r="D50" i="3"/>
  <c r="F50" i="3"/>
  <c r="G50" i="3"/>
  <c r="C51" i="3"/>
  <c r="D51" i="3"/>
  <c r="F51" i="3"/>
  <c r="G51" i="3"/>
  <c r="C52" i="3"/>
  <c r="D52" i="3"/>
  <c r="F52" i="3"/>
  <c r="G52" i="3"/>
  <c r="C53" i="3"/>
  <c r="D53" i="3"/>
  <c r="F53" i="3"/>
  <c r="G53" i="3"/>
  <c r="C54" i="3"/>
  <c r="D54" i="3"/>
  <c r="F54" i="3"/>
  <c r="G54" i="3"/>
  <c r="C55" i="3"/>
  <c r="D55" i="3"/>
  <c r="F55" i="3"/>
  <c r="G55" i="3"/>
  <c r="C56" i="3"/>
  <c r="D56" i="3"/>
  <c r="F56" i="3"/>
  <c r="G56" i="3"/>
  <c r="C57" i="3"/>
  <c r="D57" i="3"/>
  <c r="F57" i="3"/>
  <c r="G57" i="3"/>
  <c r="C58" i="3"/>
  <c r="D58" i="3"/>
  <c r="F58" i="3"/>
  <c r="G58" i="3"/>
  <c r="C59" i="3"/>
  <c r="D59" i="3"/>
  <c r="F59" i="3"/>
  <c r="G59" i="3"/>
  <c r="C60" i="3"/>
  <c r="D60" i="3"/>
  <c r="F60" i="3"/>
  <c r="G60" i="3"/>
  <c r="C61" i="3"/>
  <c r="D61" i="3"/>
  <c r="F61" i="3"/>
  <c r="G61" i="3"/>
  <c r="C62" i="3"/>
  <c r="D62" i="3"/>
  <c r="F62" i="3"/>
  <c r="G62" i="3"/>
  <c r="C63" i="3"/>
  <c r="D63" i="3"/>
  <c r="F63" i="3"/>
  <c r="G63" i="3"/>
  <c r="C64" i="3"/>
  <c r="D64" i="3"/>
  <c r="F64" i="3"/>
  <c r="G64" i="3"/>
  <c r="C65" i="3"/>
  <c r="D65" i="3"/>
  <c r="F65" i="3"/>
  <c r="G65" i="3"/>
  <c r="C66" i="3"/>
  <c r="D66" i="3"/>
  <c r="F66" i="3"/>
  <c r="G66" i="3"/>
  <c r="C67" i="3"/>
  <c r="D67" i="3"/>
  <c r="F67" i="3"/>
  <c r="G67" i="3"/>
  <c r="C68" i="3"/>
  <c r="D68" i="3"/>
  <c r="F68" i="3"/>
  <c r="G68" i="3"/>
  <c r="C69" i="3"/>
  <c r="D69" i="3"/>
  <c r="F69" i="3"/>
  <c r="G69" i="3"/>
  <c r="C70" i="3"/>
  <c r="D70" i="3"/>
  <c r="F70" i="3"/>
  <c r="G70" i="3"/>
  <c r="C71" i="3"/>
  <c r="D71" i="3"/>
  <c r="F71" i="3"/>
  <c r="G71" i="3"/>
  <c r="C72" i="3"/>
  <c r="D72" i="3"/>
  <c r="F72" i="3"/>
  <c r="G72" i="3"/>
  <c r="C73" i="3"/>
  <c r="D73" i="3"/>
  <c r="F73" i="3"/>
  <c r="G73" i="3"/>
  <c r="C74" i="3"/>
  <c r="D74" i="3"/>
  <c r="F74" i="3"/>
  <c r="G74" i="3"/>
  <c r="C75" i="3"/>
  <c r="D75" i="3"/>
  <c r="F75" i="3"/>
  <c r="G75" i="3"/>
  <c r="C76" i="3"/>
  <c r="D76" i="3"/>
  <c r="F76" i="3"/>
  <c r="G76" i="3"/>
  <c r="C77" i="3"/>
  <c r="D77" i="3"/>
  <c r="F77" i="3"/>
  <c r="G77" i="3"/>
  <c r="C78" i="3"/>
  <c r="D78" i="3"/>
  <c r="F78" i="3"/>
  <c r="G78" i="3"/>
  <c r="C79" i="3"/>
  <c r="D79" i="3"/>
  <c r="F79" i="3"/>
  <c r="G79" i="3"/>
  <c r="C80" i="3"/>
  <c r="D80" i="3"/>
  <c r="F80" i="3"/>
  <c r="G80" i="3"/>
  <c r="C81" i="3"/>
  <c r="D81" i="3"/>
  <c r="F81" i="3"/>
  <c r="G81" i="3"/>
  <c r="C82" i="3"/>
  <c r="D82" i="3"/>
  <c r="F82" i="3"/>
  <c r="G82" i="3"/>
  <c r="C83" i="3"/>
  <c r="D83" i="3"/>
  <c r="F83" i="3"/>
  <c r="G83" i="3"/>
  <c r="C84" i="3"/>
  <c r="D84" i="3"/>
  <c r="F84" i="3"/>
  <c r="G84" i="3"/>
  <c r="C85" i="3"/>
  <c r="D85" i="3"/>
  <c r="F85" i="3"/>
  <c r="G85" i="3"/>
  <c r="C86" i="3"/>
  <c r="D86" i="3"/>
  <c r="F86" i="3"/>
  <c r="G86" i="3"/>
  <c r="C87" i="3"/>
  <c r="D87" i="3"/>
  <c r="F87" i="3"/>
  <c r="G87" i="3"/>
  <c r="C88" i="3"/>
  <c r="D88" i="3"/>
  <c r="F88" i="3"/>
  <c r="G88" i="3"/>
  <c r="C89" i="3"/>
  <c r="D89" i="3"/>
  <c r="F89" i="3"/>
  <c r="G89" i="3"/>
  <c r="C90" i="3"/>
  <c r="D90" i="3"/>
  <c r="F90" i="3"/>
  <c r="G90" i="3"/>
  <c r="C91" i="3"/>
  <c r="D91" i="3"/>
  <c r="F91" i="3"/>
  <c r="G91" i="3"/>
  <c r="C92" i="3"/>
  <c r="D92" i="3"/>
  <c r="F92" i="3"/>
  <c r="G92" i="3"/>
  <c r="C93" i="3"/>
  <c r="D93" i="3"/>
  <c r="F93" i="3"/>
  <c r="G93" i="3"/>
  <c r="C94" i="3"/>
  <c r="D94" i="3"/>
  <c r="F94" i="3"/>
  <c r="G94" i="3"/>
  <c r="C95" i="3"/>
  <c r="D95" i="3"/>
  <c r="F95" i="3"/>
  <c r="G95" i="3"/>
  <c r="C96" i="3"/>
  <c r="D96" i="3"/>
  <c r="F96" i="3"/>
  <c r="G96" i="3"/>
  <c r="C97" i="3"/>
  <c r="D97" i="3"/>
  <c r="F97" i="3"/>
  <c r="G97" i="3"/>
  <c r="C98" i="3"/>
  <c r="D98" i="3"/>
  <c r="F98" i="3"/>
  <c r="G98" i="3"/>
  <c r="C99" i="3"/>
  <c r="D99" i="3"/>
  <c r="F99" i="3"/>
  <c r="G99" i="3"/>
  <c r="C100" i="3"/>
  <c r="D100" i="3"/>
  <c r="F100" i="3"/>
  <c r="G100" i="3"/>
  <c r="C101" i="3"/>
  <c r="D101" i="3"/>
  <c r="F101" i="3"/>
  <c r="G101" i="3"/>
  <c r="C102" i="3"/>
  <c r="D102" i="3"/>
  <c r="F102" i="3"/>
  <c r="G102" i="3"/>
  <c r="C103" i="3"/>
  <c r="D103" i="3"/>
  <c r="F103" i="3"/>
  <c r="G103" i="3"/>
  <c r="C104" i="3"/>
  <c r="D104" i="3"/>
  <c r="F104" i="3"/>
  <c r="G104" i="3"/>
  <c r="C105" i="3"/>
  <c r="D105" i="3"/>
  <c r="F105" i="3"/>
  <c r="G105" i="3"/>
  <c r="C106" i="3"/>
  <c r="D106" i="3"/>
  <c r="F106" i="3"/>
  <c r="G106" i="3"/>
  <c r="C107" i="3"/>
  <c r="D107" i="3"/>
  <c r="F107" i="3"/>
  <c r="G107" i="3"/>
  <c r="C108" i="3"/>
  <c r="D108" i="3"/>
  <c r="F108" i="3"/>
  <c r="G108" i="3"/>
  <c r="C109" i="3"/>
  <c r="D109" i="3"/>
  <c r="F109" i="3"/>
  <c r="G109" i="3"/>
  <c r="C110" i="3"/>
  <c r="D110" i="3"/>
  <c r="F110" i="3"/>
  <c r="G110" i="3"/>
  <c r="C111" i="3"/>
  <c r="D111" i="3"/>
  <c r="F111" i="3"/>
  <c r="G111" i="3"/>
  <c r="C112" i="3"/>
  <c r="D112" i="3"/>
  <c r="F112" i="3"/>
  <c r="G112" i="3"/>
  <c r="C113" i="3"/>
  <c r="D113" i="3"/>
  <c r="F113" i="3"/>
  <c r="G113" i="3"/>
  <c r="C114" i="3"/>
  <c r="D114" i="3"/>
  <c r="F114" i="3"/>
  <c r="G114" i="3"/>
  <c r="C115" i="3"/>
  <c r="D115" i="3"/>
  <c r="F115" i="3"/>
  <c r="G115" i="3"/>
  <c r="C116" i="3"/>
  <c r="D116" i="3"/>
  <c r="F116" i="3"/>
  <c r="G116" i="3"/>
  <c r="C117" i="3"/>
  <c r="D117" i="3"/>
  <c r="F117" i="3"/>
  <c r="G117" i="3"/>
  <c r="C118" i="3"/>
  <c r="D118" i="3"/>
  <c r="F118" i="3"/>
  <c r="G118" i="3"/>
  <c r="C119" i="3"/>
  <c r="D119" i="3"/>
  <c r="F119" i="3"/>
  <c r="G119" i="3"/>
  <c r="C120" i="3"/>
  <c r="D120" i="3"/>
  <c r="F120" i="3"/>
  <c r="G120" i="3"/>
  <c r="C121" i="3"/>
  <c r="D121" i="3"/>
  <c r="F121" i="3"/>
  <c r="G121" i="3"/>
  <c r="C122" i="3"/>
  <c r="D122" i="3"/>
  <c r="F122" i="3"/>
  <c r="G122" i="3"/>
  <c r="C123" i="3"/>
  <c r="D123" i="3"/>
  <c r="F123" i="3"/>
  <c r="G123" i="3"/>
  <c r="C124" i="3"/>
  <c r="D124" i="3"/>
  <c r="F124" i="3"/>
  <c r="G124" i="3"/>
  <c r="C125" i="3"/>
  <c r="D125" i="3"/>
  <c r="F125" i="3"/>
  <c r="G125" i="3"/>
  <c r="C126" i="3"/>
  <c r="D126" i="3"/>
  <c r="F126" i="3"/>
  <c r="G126" i="3"/>
  <c r="C127" i="3"/>
  <c r="D127" i="3"/>
  <c r="F127" i="3"/>
  <c r="G127" i="3"/>
  <c r="C128" i="3"/>
  <c r="D128" i="3"/>
  <c r="F128" i="3"/>
  <c r="G128" i="3"/>
  <c r="C129" i="3"/>
  <c r="D129" i="3"/>
  <c r="F129" i="3"/>
  <c r="G129" i="3"/>
  <c r="C130" i="3"/>
  <c r="D130" i="3"/>
  <c r="F130" i="3"/>
  <c r="G130" i="3"/>
  <c r="C131" i="3"/>
  <c r="D131" i="3"/>
  <c r="F131" i="3"/>
  <c r="G131" i="3"/>
  <c r="C132" i="3"/>
  <c r="D132" i="3"/>
  <c r="F132" i="3"/>
  <c r="G132" i="3"/>
  <c r="C133" i="3"/>
  <c r="D133" i="3"/>
  <c r="F133" i="3"/>
  <c r="G133" i="3"/>
  <c r="C134" i="3"/>
  <c r="D134" i="3"/>
  <c r="F134" i="3"/>
  <c r="G134" i="3"/>
  <c r="C135" i="3"/>
  <c r="D135" i="3"/>
  <c r="F135" i="3"/>
  <c r="G135" i="3"/>
  <c r="C136" i="3"/>
  <c r="D136" i="3"/>
  <c r="F136" i="3"/>
  <c r="G136" i="3"/>
  <c r="C137" i="3"/>
  <c r="D137" i="3"/>
  <c r="F137" i="3"/>
  <c r="G137" i="3"/>
  <c r="C138" i="3"/>
  <c r="D138" i="3"/>
  <c r="F138" i="3"/>
  <c r="G138" i="3"/>
  <c r="C139" i="3"/>
  <c r="D139" i="3"/>
  <c r="F139" i="3"/>
  <c r="G139" i="3"/>
  <c r="C140" i="3"/>
  <c r="D140" i="3"/>
  <c r="F140" i="3"/>
  <c r="G140" i="3"/>
  <c r="C141" i="3"/>
  <c r="D141" i="3"/>
  <c r="F141" i="3"/>
  <c r="G141" i="3"/>
  <c r="C142" i="3"/>
  <c r="D142" i="3"/>
  <c r="F142" i="3"/>
  <c r="G142" i="3"/>
  <c r="C143" i="3"/>
  <c r="D143" i="3"/>
  <c r="F143" i="3"/>
  <c r="G143" i="3"/>
  <c r="C144" i="3"/>
  <c r="D144" i="3"/>
  <c r="F144" i="3"/>
  <c r="G144" i="3"/>
  <c r="C145" i="3"/>
  <c r="D145" i="3"/>
  <c r="F145" i="3"/>
  <c r="G145" i="3"/>
  <c r="C146" i="3"/>
  <c r="D146" i="3"/>
  <c r="F146" i="3"/>
  <c r="G146" i="3"/>
  <c r="C147" i="3"/>
  <c r="D147" i="3"/>
  <c r="F147" i="3"/>
  <c r="G147" i="3"/>
  <c r="C148" i="3"/>
  <c r="D148" i="3"/>
  <c r="F148" i="3"/>
  <c r="G148" i="3"/>
  <c r="C149" i="3"/>
  <c r="D149" i="3"/>
  <c r="F149" i="3"/>
  <c r="G149" i="3"/>
  <c r="C150" i="3"/>
  <c r="D150" i="3"/>
  <c r="F150" i="3"/>
  <c r="G150" i="3"/>
  <c r="C151" i="3"/>
  <c r="D151" i="3"/>
  <c r="F151" i="3"/>
  <c r="G151" i="3"/>
  <c r="C152" i="3"/>
  <c r="D152" i="3"/>
  <c r="F152" i="3"/>
  <c r="G152" i="3"/>
  <c r="C153" i="3"/>
  <c r="D153" i="3"/>
  <c r="F153" i="3"/>
  <c r="G153" i="3"/>
  <c r="C154" i="3"/>
  <c r="D154" i="3"/>
  <c r="F154" i="3"/>
  <c r="G154" i="3"/>
  <c r="C155" i="3"/>
  <c r="D155" i="3"/>
  <c r="F155" i="3"/>
  <c r="G155" i="3"/>
  <c r="C156" i="3"/>
  <c r="D156" i="3"/>
  <c r="F156" i="3"/>
  <c r="G156" i="3"/>
  <c r="C157" i="3"/>
  <c r="D157" i="3"/>
  <c r="F157" i="3"/>
  <c r="G157" i="3"/>
  <c r="C158" i="3"/>
  <c r="D158" i="3"/>
  <c r="F158" i="3"/>
  <c r="G158" i="3"/>
  <c r="C159" i="3"/>
  <c r="D159" i="3"/>
  <c r="F159" i="3"/>
  <c r="G159" i="3"/>
  <c r="C160" i="3"/>
  <c r="D160" i="3"/>
  <c r="F160" i="3"/>
  <c r="G160" i="3"/>
  <c r="C161" i="3"/>
  <c r="D161" i="3"/>
  <c r="F161" i="3"/>
  <c r="G161" i="3"/>
  <c r="C162" i="3"/>
  <c r="D162" i="3"/>
  <c r="F162" i="3"/>
  <c r="G162" i="3"/>
  <c r="C163" i="3"/>
  <c r="D163" i="3"/>
  <c r="F163" i="3"/>
  <c r="G163" i="3"/>
  <c r="C164" i="3"/>
  <c r="D164" i="3"/>
  <c r="F164" i="3"/>
  <c r="G164" i="3"/>
  <c r="C165" i="3"/>
  <c r="D165" i="3"/>
  <c r="F165" i="3"/>
  <c r="G165" i="3"/>
  <c r="C166" i="3"/>
  <c r="D166" i="3"/>
  <c r="F166" i="3"/>
  <c r="G166" i="3"/>
  <c r="C167" i="3"/>
  <c r="D167" i="3"/>
  <c r="F167" i="3"/>
  <c r="G167" i="3"/>
  <c r="C168" i="3"/>
  <c r="D168" i="3"/>
  <c r="F168" i="3"/>
  <c r="G168" i="3"/>
  <c r="C169" i="3"/>
  <c r="D169" i="3"/>
  <c r="F169" i="3"/>
  <c r="G169" i="3"/>
  <c r="C170" i="3"/>
  <c r="D170" i="3"/>
  <c r="F170" i="3"/>
  <c r="G170" i="3"/>
  <c r="C171" i="3"/>
  <c r="D171" i="3"/>
  <c r="F171" i="3"/>
  <c r="G171" i="3"/>
  <c r="C172" i="3"/>
  <c r="D172" i="3"/>
  <c r="F172" i="3"/>
  <c r="G172" i="3"/>
  <c r="C173" i="3"/>
  <c r="D173" i="3"/>
  <c r="F173" i="3"/>
  <c r="G173" i="3"/>
  <c r="C174" i="3"/>
  <c r="D174" i="3"/>
  <c r="F174" i="3"/>
  <c r="G174" i="3"/>
  <c r="C175" i="3"/>
  <c r="D175" i="3"/>
  <c r="F175" i="3"/>
  <c r="G175" i="3"/>
  <c r="C176" i="3"/>
  <c r="D176" i="3"/>
  <c r="F176" i="3"/>
  <c r="G176" i="3"/>
  <c r="C177" i="3"/>
  <c r="D177" i="3"/>
  <c r="F177" i="3"/>
  <c r="G177" i="3"/>
  <c r="C178" i="3"/>
  <c r="D178" i="3"/>
  <c r="F178" i="3"/>
  <c r="G178" i="3"/>
  <c r="C179" i="3"/>
  <c r="D179" i="3"/>
  <c r="F179" i="3"/>
  <c r="G179" i="3"/>
  <c r="C180" i="3"/>
  <c r="D180" i="3"/>
  <c r="F180" i="3"/>
  <c r="G180" i="3"/>
  <c r="C181" i="3"/>
  <c r="D181" i="3"/>
  <c r="F181" i="3"/>
  <c r="G181" i="3"/>
  <c r="C182" i="3"/>
  <c r="D182" i="3"/>
  <c r="F182" i="3"/>
  <c r="G182" i="3"/>
  <c r="C183" i="3"/>
  <c r="D183" i="3"/>
  <c r="F183" i="3"/>
  <c r="G183" i="3"/>
  <c r="C184" i="3"/>
  <c r="D184" i="3"/>
  <c r="F184" i="3"/>
  <c r="G184" i="3"/>
  <c r="C185" i="3"/>
  <c r="D185" i="3"/>
  <c r="F185" i="3"/>
  <c r="G185" i="3"/>
  <c r="C186" i="3"/>
  <c r="D186" i="3"/>
  <c r="F186" i="3"/>
  <c r="G186" i="3"/>
  <c r="C187" i="3"/>
  <c r="D187" i="3"/>
  <c r="F187" i="3"/>
  <c r="G187" i="3"/>
  <c r="C188" i="3"/>
  <c r="D188" i="3"/>
  <c r="F188" i="3"/>
  <c r="G188" i="3"/>
  <c r="C189" i="3"/>
  <c r="D189" i="3"/>
  <c r="F189" i="3"/>
  <c r="G189" i="3"/>
  <c r="C190" i="3"/>
  <c r="D190" i="3"/>
  <c r="F190" i="3"/>
  <c r="G190" i="3"/>
  <c r="C191" i="3"/>
  <c r="D191" i="3"/>
  <c r="F191" i="3"/>
  <c r="G191" i="3"/>
  <c r="C192" i="3"/>
  <c r="D192" i="3"/>
  <c r="F192" i="3"/>
  <c r="G192" i="3"/>
  <c r="C193" i="3"/>
  <c r="D193" i="3"/>
  <c r="F193" i="3"/>
  <c r="G193" i="3"/>
  <c r="C194" i="3"/>
  <c r="D194" i="3"/>
  <c r="F194" i="3"/>
  <c r="G194" i="3"/>
  <c r="C195" i="3"/>
  <c r="D195" i="3"/>
  <c r="F195" i="3"/>
  <c r="G195" i="3"/>
  <c r="C196" i="3"/>
  <c r="D196" i="3"/>
  <c r="F196" i="3"/>
  <c r="G196" i="3"/>
  <c r="C197" i="3"/>
  <c r="D197" i="3"/>
  <c r="F197" i="3"/>
  <c r="G197" i="3"/>
  <c r="C198" i="3"/>
  <c r="D198" i="3"/>
  <c r="F198" i="3"/>
  <c r="G198" i="3"/>
  <c r="C199" i="3"/>
  <c r="D199" i="3"/>
  <c r="F199" i="3"/>
  <c r="G199" i="3"/>
  <c r="C200" i="3"/>
  <c r="D200" i="3"/>
  <c r="F200" i="3"/>
  <c r="G200" i="3"/>
  <c r="C201" i="3"/>
  <c r="D201" i="3"/>
  <c r="F201" i="3"/>
  <c r="G201" i="3"/>
  <c r="C202" i="3"/>
  <c r="D202" i="3"/>
  <c r="F202" i="3"/>
  <c r="G202" i="3"/>
  <c r="C203" i="3"/>
  <c r="D203" i="3"/>
  <c r="F203" i="3"/>
  <c r="G203" i="3"/>
  <c r="C204" i="3"/>
  <c r="D204" i="3"/>
  <c r="F204" i="3"/>
  <c r="G204" i="3"/>
  <c r="C205" i="3"/>
  <c r="D205" i="3"/>
  <c r="F205" i="3"/>
  <c r="G205" i="3"/>
  <c r="C206" i="3"/>
  <c r="D206" i="3"/>
  <c r="F206" i="3"/>
  <c r="G206" i="3"/>
  <c r="C207" i="3"/>
  <c r="D207" i="3"/>
  <c r="F207" i="3"/>
  <c r="G207" i="3"/>
  <c r="C208" i="3"/>
  <c r="D208" i="3"/>
  <c r="F208" i="3"/>
  <c r="G208" i="3"/>
  <c r="C209" i="3"/>
  <c r="D209" i="3"/>
  <c r="F209" i="3"/>
  <c r="G209" i="3"/>
  <c r="C210" i="3"/>
  <c r="D210" i="3"/>
  <c r="F210" i="3"/>
  <c r="G210" i="3"/>
  <c r="C211" i="3"/>
  <c r="D211" i="3"/>
  <c r="F211" i="3"/>
  <c r="G211" i="3"/>
  <c r="C212" i="3"/>
  <c r="D212" i="3"/>
  <c r="F212" i="3"/>
  <c r="G212" i="3"/>
  <c r="C213" i="3"/>
  <c r="D213" i="3"/>
  <c r="F213" i="3"/>
  <c r="G213" i="3"/>
  <c r="C214" i="3"/>
  <c r="D214" i="3"/>
  <c r="F214" i="3"/>
  <c r="G214" i="3"/>
  <c r="C215" i="3"/>
  <c r="D215" i="3"/>
  <c r="F215" i="3"/>
  <c r="G215" i="3"/>
  <c r="C216" i="3"/>
  <c r="D216" i="3"/>
  <c r="F216" i="3"/>
  <c r="G216" i="3"/>
  <c r="C217" i="3"/>
  <c r="D217" i="3"/>
  <c r="F217" i="3"/>
  <c r="G217" i="3"/>
  <c r="C218" i="3"/>
  <c r="D218" i="3"/>
  <c r="F218" i="3"/>
  <c r="G218" i="3"/>
  <c r="C219" i="3"/>
  <c r="D219" i="3"/>
  <c r="F219" i="3"/>
  <c r="G219" i="3"/>
  <c r="C220" i="3"/>
  <c r="D220" i="3"/>
  <c r="F220" i="3"/>
  <c r="G220" i="3"/>
  <c r="C221" i="3"/>
  <c r="D221" i="3"/>
  <c r="F221" i="3"/>
  <c r="G221" i="3"/>
  <c r="C222" i="3"/>
  <c r="D222" i="3"/>
  <c r="F222" i="3"/>
  <c r="G222" i="3"/>
  <c r="C223" i="3"/>
  <c r="D223" i="3"/>
  <c r="F223" i="3"/>
  <c r="G223" i="3"/>
  <c r="C224" i="3"/>
  <c r="D224" i="3"/>
  <c r="F224" i="3"/>
  <c r="G224" i="3"/>
  <c r="C225" i="3"/>
  <c r="D225" i="3"/>
  <c r="F225" i="3"/>
  <c r="G225" i="3"/>
  <c r="C226" i="3"/>
  <c r="D226" i="3"/>
  <c r="F226" i="3"/>
  <c r="G226" i="3"/>
  <c r="C227" i="3"/>
  <c r="D227" i="3"/>
  <c r="F227" i="3"/>
  <c r="G227" i="3"/>
  <c r="C228" i="3"/>
  <c r="D228" i="3"/>
  <c r="F228" i="3"/>
  <c r="G228" i="3"/>
  <c r="C229" i="3"/>
  <c r="D229" i="3"/>
  <c r="F229" i="3"/>
  <c r="G229" i="3"/>
  <c r="C230" i="3"/>
  <c r="D230" i="3"/>
  <c r="F230" i="3"/>
  <c r="G230" i="3"/>
  <c r="C231" i="3"/>
  <c r="D231" i="3"/>
  <c r="F231" i="3"/>
  <c r="G231" i="3"/>
  <c r="C232" i="3"/>
  <c r="D232" i="3"/>
  <c r="F232" i="3"/>
  <c r="G232" i="3"/>
  <c r="C233" i="3"/>
  <c r="D233" i="3"/>
  <c r="F233" i="3"/>
  <c r="G233" i="3"/>
  <c r="C234" i="3"/>
  <c r="D234" i="3"/>
  <c r="F234" i="3"/>
  <c r="G234" i="3"/>
  <c r="C235" i="3"/>
  <c r="D235" i="3"/>
  <c r="F235" i="3"/>
  <c r="G235" i="3"/>
  <c r="C236" i="3"/>
  <c r="D236" i="3"/>
  <c r="F236" i="3"/>
  <c r="G236" i="3"/>
  <c r="C237" i="3"/>
  <c r="D237" i="3"/>
  <c r="F237" i="3"/>
  <c r="G237" i="3"/>
  <c r="C238" i="3"/>
  <c r="D238" i="3"/>
  <c r="F238" i="3"/>
  <c r="G238" i="3"/>
  <c r="C239" i="3"/>
  <c r="D239" i="3"/>
  <c r="F239" i="3"/>
  <c r="G239" i="3"/>
  <c r="C240" i="3"/>
  <c r="D240" i="3"/>
  <c r="F240" i="3"/>
  <c r="G240" i="3"/>
  <c r="C241" i="3"/>
  <c r="D241" i="3"/>
  <c r="F241" i="3"/>
  <c r="G241" i="3"/>
  <c r="C242" i="3"/>
  <c r="D242" i="3"/>
  <c r="F242" i="3"/>
  <c r="G242" i="3"/>
  <c r="C243" i="3"/>
  <c r="D243" i="3"/>
  <c r="F243" i="3"/>
  <c r="G243" i="3"/>
  <c r="C244" i="3"/>
  <c r="D244" i="3"/>
  <c r="F244" i="3"/>
  <c r="G244" i="3"/>
  <c r="C245" i="3"/>
  <c r="D245" i="3"/>
  <c r="F245" i="3"/>
  <c r="G245" i="3"/>
  <c r="C246" i="3"/>
  <c r="D246" i="3"/>
  <c r="F246" i="3"/>
  <c r="G246" i="3"/>
  <c r="C247" i="3"/>
  <c r="D247" i="3"/>
  <c r="F247" i="3"/>
  <c r="G247" i="3"/>
  <c r="C248" i="3"/>
  <c r="D248" i="3"/>
  <c r="F248" i="3"/>
  <c r="G248" i="3"/>
  <c r="C249" i="3"/>
  <c r="D249" i="3"/>
  <c r="F249" i="3"/>
  <c r="G249" i="3"/>
  <c r="C250" i="3"/>
  <c r="D250" i="3"/>
  <c r="F250" i="3"/>
  <c r="G250" i="3"/>
  <c r="C251" i="3"/>
  <c r="D251" i="3"/>
  <c r="F251" i="3"/>
  <c r="G251" i="3"/>
  <c r="C252" i="3"/>
  <c r="D252" i="3"/>
  <c r="F252" i="3"/>
  <c r="G252" i="3"/>
  <c r="C253" i="3"/>
  <c r="D253" i="3"/>
  <c r="F253" i="3"/>
  <c r="G253" i="3"/>
  <c r="C254" i="3"/>
  <c r="D254" i="3"/>
  <c r="F254" i="3"/>
  <c r="G254" i="3"/>
  <c r="C255" i="3"/>
  <c r="D255" i="3"/>
  <c r="F255" i="3"/>
  <c r="G255" i="3"/>
  <c r="C256" i="3"/>
  <c r="D256" i="3"/>
  <c r="F256" i="3"/>
  <c r="G256" i="3"/>
  <c r="C257" i="3"/>
  <c r="D257" i="3"/>
  <c r="F257" i="3"/>
  <c r="G257" i="3"/>
  <c r="C258" i="3"/>
  <c r="D258" i="3"/>
  <c r="F258" i="3"/>
  <c r="G258" i="3"/>
  <c r="C259" i="3"/>
  <c r="D259" i="3"/>
  <c r="F259" i="3"/>
  <c r="G259" i="3"/>
  <c r="C260" i="3"/>
  <c r="D260" i="3"/>
  <c r="F260" i="3"/>
  <c r="G260" i="3"/>
  <c r="C261" i="3"/>
  <c r="D261" i="3"/>
  <c r="F261" i="3"/>
  <c r="G261" i="3"/>
  <c r="C262" i="3"/>
  <c r="D262" i="3"/>
  <c r="F262" i="3"/>
  <c r="G262" i="3"/>
  <c r="C263" i="3"/>
  <c r="D263" i="3"/>
  <c r="F263" i="3"/>
  <c r="G263" i="3"/>
  <c r="C264" i="3"/>
  <c r="D264" i="3"/>
  <c r="F264" i="3"/>
  <c r="G264" i="3"/>
  <c r="C265" i="3"/>
  <c r="D265" i="3"/>
  <c r="F265" i="3"/>
  <c r="G265" i="3"/>
  <c r="C266" i="3"/>
  <c r="D266" i="3"/>
  <c r="F266" i="3"/>
  <c r="G266" i="3"/>
  <c r="C267" i="3"/>
  <c r="D267" i="3"/>
  <c r="F267" i="3"/>
  <c r="G267" i="3"/>
  <c r="C268" i="3"/>
  <c r="D268" i="3"/>
  <c r="F268" i="3"/>
  <c r="G268" i="3"/>
  <c r="C269" i="3"/>
  <c r="D269" i="3"/>
  <c r="F269" i="3"/>
  <c r="G269" i="3"/>
  <c r="C270" i="3"/>
  <c r="D270" i="3"/>
  <c r="F270" i="3"/>
  <c r="G270" i="3"/>
  <c r="C271" i="3"/>
  <c r="D271" i="3"/>
  <c r="F271" i="3"/>
  <c r="G271" i="3"/>
  <c r="C272" i="3"/>
  <c r="D272" i="3"/>
  <c r="F272" i="3"/>
  <c r="G272" i="3"/>
  <c r="C273" i="3"/>
  <c r="D273" i="3"/>
  <c r="F273" i="3"/>
  <c r="G273" i="3"/>
  <c r="C274" i="3"/>
  <c r="D274" i="3"/>
  <c r="F274" i="3"/>
  <c r="G274" i="3"/>
  <c r="C275" i="3"/>
  <c r="D275" i="3"/>
  <c r="F275" i="3"/>
  <c r="G275" i="3"/>
  <c r="C276" i="3"/>
  <c r="D276" i="3"/>
  <c r="F276" i="3"/>
  <c r="G276" i="3"/>
  <c r="C277" i="3"/>
  <c r="D277" i="3"/>
  <c r="F277" i="3"/>
  <c r="G277" i="3"/>
  <c r="C278" i="3"/>
  <c r="D278" i="3"/>
  <c r="F278" i="3"/>
  <c r="G278" i="3"/>
  <c r="C279" i="3"/>
  <c r="D279" i="3"/>
  <c r="F279" i="3"/>
  <c r="G279" i="3"/>
  <c r="C280" i="3"/>
  <c r="D280" i="3"/>
  <c r="F280" i="3"/>
  <c r="G280" i="3"/>
  <c r="C281" i="3"/>
  <c r="D281" i="3"/>
  <c r="F281" i="3"/>
  <c r="G281" i="3"/>
  <c r="C282" i="3"/>
  <c r="D282" i="3"/>
  <c r="F282" i="3"/>
  <c r="G282" i="3"/>
  <c r="C283" i="3"/>
  <c r="D283" i="3"/>
  <c r="F283" i="3"/>
  <c r="G283" i="3"/>
  <c r="C284" i="3"/>
  <c r="D284" i="3"/>
  <c r="F284" i="3"/>
  <c r="G284" i="3"/>
  <c r="C285" i="3"/>
  <c r="D285" i="3"/>
  <c r="F285" i="3"/>
  <c r="G285" i="3"/>
  <c r="C286" i="3"/>
  <c r="D286" i="3"/>
  <c r="F286" i="3"/>
  <c r="G286" i="3"/>
  <c r="C287" i="3"/>
  <c r="D287" i="3"/>
  <c r="F287" i="3"/>
  <c r="G287" i="3"/>
  <c r="C288" i="3"/>
  <c r="D288" i="3"/>
  <c r="F288" i="3"/>
  <c r="G288" i="3"/>
  <c r="C289" i="3"/>
  <c r="D289" i="3"/>
  <c r="F289" i="3"/>
  <c r="G289" i="3"/>
  <c r="C290" i="3"/>
  <c r="D290" i="3"/>
  <c r="F290" i="3"/>
  <c r="G290" i="3"/>
  <c r="C291" i="3"/>
  <c r="D291" i="3"/>
  <c r="F291" i="3"/>
  <c r="G291" i="3"/>
  <c r="C292" i="3"/>
  <c r="D292" i="3"/>
  <c r="F292" i="3"/>
  <c r="G292" i="3"/>
  <c r="C293" i="3"/>
  <c r="D293" i="3"/>
  <c r="F293" i="3"/>
  <c r="G293" i="3"/>
  <c r="C294" i="3"/>
  <c r="D294" i="3"/>
  <c r="F294" i="3"/>
  <c r="G294" i="3"/>
  <c r="C295" i="3"/>
  <c r="D295" i="3"/>
  <c r="F295" i="3"/>
  <c r="G295" i="3"/>
  <c r="C296" i="3"/>
  <c r="D296" i="3"/>
  <c r="F296" i="3"/>
  <c r="G296" i="3"/>
  <c r="C297" i="3"/>
  <c r="D297" i="3"/>
  <c r="F297" i="3"/>
  <c r="G297" i="3"/>
  <c r="C298" i="3"/>
  <c r="D298" i="3"/>
  <c r="F298" i="3"/>
  <c r="G298" i="3"/>
  <c r="C299" i="3"/>
  <c r="D299" i="3"/>
  <c r="F299" i="3"/>
  <c r="G299" i="3"/>
  <c r="C300" i="3"/>
  <c r="D300" i="3"/>
  <c r="F300" i="3"/>
  <c r="G300" i="3"/>
  <c r="C301" i="3"/>
  <c r="D301" i="3"/>
  <c r="F301" i="3"/>
  <c r="G301" i="3"/>
  <c r="C302" i="3"/>
  <c r="D302" i="3"/>
  <c r="F302" i="3"/>
  <c r="G302" i="3"/>
  <c r="C303" i="3"/>
  <c r="D303" i="3"/>
  <c r="F303" i="3"/>
  <c r="G303" i="3"/>
  <c r="C304" i="3"/>
  <c r="D304" i="3"/>
  <c r="F304" i="3"/>
  <c r="G304" i="3"/>
  <c r="C305" i="3"/>
  <c r="D305" i="3"/>
  <c r="F305" i="3"/>
  <c r="G305" i="3"/>
  <c r="C306" i="3"/>
  <c r="D306" i="3"/>
  <c r="F306" i="3"/>
  <c r="G306" i="3"/>
  <c r="C307" i="3"/>
  <c r="D307" i="3"/>
  <c r="F307" i="3"/>
  <c r="G307" i="3"/>
  <c r="C308" i="3"/>
  <c r="D308" i="3"/>
  <c r="F308" i="3"/>
  <c r="G308" i="3"/>
  <c r="C309" i="3"/>
  <c r="D309" i="3"/>
  <c r="F309" i="3"/>
  <c r="G309" i="3"/>
  <c r="C310" i="3"/>
  <c r="D310" i="3"/>
  <c r="F310" i="3"/>
  <c r="G310" i="3"/>
  <c r="C311" i="3"/>
  <c r="D311" i="3"/>
  <c r="F311" i="3"/>
  <c r="G311" i="3"/>
  <c r="C312" i="3"/>
  <c r="D312" i="3"/>
  <c r="F312" i="3"/>
  <c r="G312" i="3"/>
  <c r="C313" i="3"/>
  <c r="D313" i="3"/>
  <c r="F313" i="3"/>
  <c r="G313" i="3"/>
  <c r="C314" i="3"/>
  <c r="D314" i="3"/>
  <c r="F314" i="3"/>
  <c r="G314" i="3"/>
  <c r="C315" i="3"/>
  <c r="D315" i="3"/>
  <c r="F315" i="3"/>
  <c r="G315" i="3"/>
  <c r="C316" i="3"/>
  <c r="D316" i="3"/>
  <c r="F316" i="3"/>
  <c r="G316" i="3"/>
  <c r="C317" i="3"/>
  <c r="D317" i="3"/>
  <c r="F317" i="3"/>
  <c r="G317" i="3"/>
  <c r="C318" i="3"/>
  <c r="D318" i="3"/>
  <c r="F318" i="3"/>
  <c r="G318" i="3"/>
  <c r="C319" i="3"/>
  <c r="D319" i="3"/>
  <c r="F319" i="3"/>
  <c r="G319" i="3"/>
  <c r="C320" i="3"/>
  <c r="D320" i="3"/>
  <c r="F320" i="3"/>
  <c r="G320" i="3"/>
  <c r="C321" i="3"/>
  <c r="D321" i="3"/>
  <c r="F321" i="3"/>
  <c r="G321" i="3"/>
  <c r="C322" i="3"/>
  <c r="D322" i="3"/>
  <c r="F322" i="3"/>
  <c r="G322" i="3"/>
  <c r="C323" i="3"/>
  <c r="D323" i="3"/>
  <c r="F323" i="3"/>
  <c r="G323" i="3"/>
  <c r="C324" i="3"/>
  <c r="D324" i="3"/>
  <c r="F324" i="3"/>
  <c r="G324" i="3"/>
  <c r="C325" i="3"/>
  <c r="D325" i="3"/>
  <c r="F325" i="3"/>
  <c r="G325" i="3"/>
  <c r="C326" i="3"/>
  <c r="D326" i="3"/>
  <c r="F326" i="3"/>
  <c r="G326" i="3"/>
  <c r="C327" i="3"/>
  <c r="D327" i="3"/>
  <c r="F327" i="3"/>
  <c r="G327" i="3"/>
  <c r="C328" i="3"/>
  <c r="D328" i="3"/>
  <c r="F328" i="3"/>
  <c r="G328" i="3"/>
  <c r="C329" i="3"/>
  <c r="D329" i="3"/>
  <c r="F329" i="3"/>
  <c r="G329" i="3"/>
  <c r="C330" i="3"/>
  <c r="D330" i="3"/>
  <c r="F330" i="3"/>
  <c r="G330" i="3"/>
  <c r="C331" i="3"/>
  <c r="D331" i="3"/>
  <c r="F331" i="3"/>
  <c r="G331" i="3"/>
  <c r="C332" i="3"/>
  <c r="D332" i="3"/>
  <c r="F332" i="3"/>
  <c r="G332" i="3"/>
  <c r="C333" i="3"/>
  <c r="D333" i="3"/>
  <c r="F333" i="3"/>
  <c r="G333" i="3"/>
  <c r="C334" i="3"/>
  <c r="D334" i="3"/>
  <c r="F334" i="3"/>
  <c r="G334" i="3"/>
  <c r="C335" i="3"/>
  <c r="D335" i="3"/>
  <c r="F335" i="3"/>
  <c r="G335" i="3"/>
  <c r="C336" i="3"/>
  <c r="D336" i="3"/>
  <c r="F336" i="3"/>
  <c r="G336" i="3"/>
  <c r="C337" i="3"/>
  <c r="D337" i="3"/>
  <c r="F337" i="3"/>
  <c r="G337" i="3"/>
  <c r="C338" i="3"/>
  <c r="D338" i="3"/>
  <c r="F338" i="3"/>
  <c r="G338" i="3"/>
  <c r="C339" i="3"/>
  <c r="D339" i="3"/>
  <c r="F339" i="3"/>
  <c r="G339" i="3"/>
  <c r="C340" i="3"/>
  <c r="D340" i="3"/>
  <c r="F340" i="3"/>
  <c r="G340" i="3"/>
  <c r="C341" i="3"/>
  <c r="D341" i="3"/>
  <c r="F341" i="3"/>
  <c r="G341" i="3"/>
  <c r="C342" i="3"/>
  <c r="D342" i="3"/>
  <c r="F342" i="3"/>
  <c r="G342" i="3"/>
  <c r="C343" i="3"/>
  <c r="D343" i="3"/>
  <c r="F343" i="3"/>
  <c r="G343" i="3"/>
  <c r="C344" i="3"/>
  <c r="D344" i="3"/>
  <c r="F344" i="3"/>
  <c r="G344" i="3"/>
  <c r="C345" i="3"/>
  <c r="D345" i="3"/>
  <c r="F345" i="3"/>
  <c r="G345" i="3"/>
  <c r="C346" i="3"/>
  <c r="D346" i="3"/>
  <c r="F346" i="3"/>
  <c r="G346" i="3"/>
  <c r="C347" i="3"/>
  <c r="D347" i="3"/>
  <c r="F347" i="3"/>
  <c r="G347" i="3"/>
  <c r="C348" i="3"/>
  <c r="D348" i="3"/>
  <c r="F348" i="3"/>
  <c r="G348" i="3"/>
  <c r="C349" i="3"/>
  <c r="D349" i="3"/>
  <c r="F349" i="3"/>
  <c r="G349" i="3"/>
  <c r="C350" i="3"/>
  <c r="D350" i="3"/>
  <c r="F350" i="3"/>
  <c r="G350" i="3"/>
  <c r="C351" i="3"/>
  <c r="D351" i="3"/>
  <c r="F351" i="3"/>
  <c r="G351" i="3"/>
  <c r="C352" i="3"/>
  <c r="D352" i="3"/>
  <c r="F352" i="3"/>
  <c r="G352" i="3"/>
  <c r="C353" i="3"/>
  <c r="D353" i="3"/>
  <c r="F353" i="3"/>
  <c r="G353" i="3"/>
  <c r="C354" i="3"/>
  <c r="D354" i="3"/>
  <c r="F354" i="3"/>
  <c r="G354" i="3"/>
  <c r="C355" i="3"/>
  <c r="D355" i="3"/>
  <c r="F355" i="3"/>
  <c r="G355" i="3"/>
  <c r="C356" i="3"/>
  <c r="D356" i="3"/>
  <c r="F356" i="3"/>
  <c r="G356" i="3"/>
  <c r="C357" i="3"/>
  <c r="D357" i="3"/>
  <c r="F357" i="3"/>
  <c r="G357" i="3"/>
  <c r="C358" i="3"/>
  <c r="D358" i="3"/>
  <c r="F358" i="3"/>
  <c r="G358" i="3"/>
  <c r="C359" i="3"/>
  <c r="D359" i="3"/>
  <c r="F359" i="3"/>
  <c r="G359" i="3"/>
  <c r="C360" i="3"/>
  <c r="D360" i="3"/>
  <c r="F360" i="3"/>
  <c r="G360" i="3"/>
  <c r="C361" i="3"/>
  <c r="D361" i="3"/>
  <c r="F361" i="3"/>
  <c r="G361" i="3"/>
  <c r="C362" i="3"/>
  <c r="D362" i="3"/>
  <c r="F362" i="3"/>
  <c r="G362" i="3"/>
  <c r="C363" i="3"/>
  <c r="D363" i="3"/>
  <c r="F363" i="3"/>
  <c r="G363" i="3"/>
  <c r="C364" i="3"/>
  <c r="D364" i="3"/>
  <c r="F364" i="3"/>
  <c r="G364" i="3"/>
  <c r="C365" i="3"/>
  <c r="D365" i="3"/>
  <c r="F365" i="3"/>
  <c r="G365" i="3"/>
  <c r="C366" i="3"/>
  <c r="D366" i="3"/>
  <c r="F366" i="3"/>
  <c r="G366" i="3"/>
  <c r="C367" i="3"/>
  <c r="D367" i="3"/>
  <c r="F367" i="3"/>
  <c r="G367" i="3"/>
  <c r="C368" i="3"/>
  <c r="D368" i="3"/>
  <c r="F368" i="3"/>
  <c r="G368" i="3"/>
  <c r="C369" i="3"/>
  <c r="D369" i="3"/>
  <c r="F369" i="3"/>
  <c r="G369" i="3"/>
  <c r="C370" i="3"/>
  <c r="D370" i="3"/>
  <c r="F370" i="3"/>
  <c r="G370" i="3"/>
  <c r="C371" i="3"/>
  <c r="D371" i="3"/>
  <c r="F371" i="3"/>
  <c r="G371" i="3"/>
  <c r="C372" i="3"/>
  <c r="D372" i="3"/>
  <c r="F372" i="3"/>
  <c r="G372" i="3"/>
  <c r="C373" i="3"/>
  <c r="D373" i="3"/>
  <c r="F373" i="3"/>
  <c r="G373" i="3"/>
  <c r="C374" i="3"/>
  <c r="D374" i="3"/>
  <c r="F374" i="3"/>
  <c r="G374" i="3"/>
  <c r="C375" i="3"/>
  <c r="D375" i="3"/>
  <c r="F375" i="3"/>
  <c r="G375" i="3"/>
  <c r="C376" i="3"/>
  <c r="D376" i="3"/>
  <c r="F376" i="3"/>
  <c r="G376" i="3"/>
  <c r="C377" i="3"/>
  <c r="D377" i="3"/>
  <c r="F377" i="3"/>
  <c r="G377" i="3"/>
  <c r="C378" i="3"/>
  <c r="D378" i="3"/>
  <c r="F378" i="3"/>
  <c r="G378" i="3"/>
  <c r="C379" i="3"/>
  <c r="D379" i="3"/>
  <c r="F379" i="3"/>
  <c r="G379" i="3"/>
  <c r="C380" i="3"/>
  <c r="D380" i="3"/>
  <c r="F380" i="3"/>
  <c r="G380" i="3"/>
  <c r="C381" i="3"/>
  <c r="D381" i="3"/>
  <c r="F381" i="3"/>
  <c r="G381" i="3"/>
  <c r="C382" i="3"/>
  <c r="D382" i="3"/>
  <c r="F382" i="3"/>
  <c r="G382" i="3"/>
  <c r="C383" i="3"/>
  <c r="D383" i="3"/>
  <c r="F383" i="3"/>
  <c r="G383" i="3"/>
  <c r="C384" i="3"/>
  <c r="D384" i="3"/>
  <c r="F384" i="3"/>
  <c r="G384" i="3"/>
  <c r="C385" i="3"/>
  <c r="D385" i="3"/>
  <c r="F385" i="3"/>
  <c r="G385" i="3"/>
  <c r="C386" i="3"/>
  <c r="D386" i="3"/>
  <c r="F386" i="3"/>
  <c r="G386" i="3"/>
  <c r="C387" i="3"/>
  <c r="D387" i="3"/>
  <c r="F387" i="3"/>
  <c r="G387" i="3"/>
  <c r="C388" i="3"/>
  <c r="D388" i="3"/>
  <c r="F388" i="3"/>
  <c r="G388" i="3"/>
  <c r="C389" i="3"/>
  <c r="D389" i="3"/>
  <c r="F389" i="3"/>
  <c r="G389" i="3"/>
  <c r="C390" i="3"/>
  <c r="D390" i="3"/>
  <c r="F390" i="3"/>
  <c r="G390" i="3"/>
  <c r="C391" i="3"/>
  <c r="D391" i="3"/>
  <c r="F391" i="3"/>
  <c r="G391" i="3"/>
  <c r="C392" i="3"/>
  <c r="D392" i="3"/>
  <c r="F392" i="3"/>
  <c r="G392" i="3"/>
  <c r="C393" i="3"/>
  <c r="D393" i="3"/>
  <c r="F393" i="3"/>
  <c r="G393" i="3"/>
  <c r="C394" i="3"/>
  <c r="D394" i="3"/>
  <c r="F394" i="3"/>
  <c r="G394" i="3"/>
  <c r="C395" i="3"/>
  <c r="D395" i="3"/>
  <c r="F395" i="3"/>
  <c r="G395" i="3"/>
  <c r="C396" i="3"/>
  <c r="D396" i="3"/>
  <c r="F396" i="3"/>
  <c r="G396" i="3"/>
  <c r="C397" i="3"/>
  <c r="D397" i="3"/>
  <c r="F397" i="3"/>
  <c r="G397" i="3"/>
  <c r="C398" i="3"/>
  <c r="D398" i="3"/>
  <c r="F398" i="3"/>
  <c r="G398" i="3"/>
  <c r="C399" i="3"/>
  <c r="D399" i="3"/>
  <c r="F399" i="3"/>
  <c r="G399" i="3"/>
  <c r="C400" i="3"/>
  <c r="D400" i="3"/>
  <c r="F400" i="3"/>
  <c r="G400" i="3"/>
  <c r="C401" i="3"/>
  <c r="D401" i="3"/>
  <c r="F401" i="3"/>
  <c r="G401" i="3"/>
  <c r="C402" i="3"/>
  <c r="D402" i="3"/>
  <c r="F402" i="3"/>
  <c r="G402" i="3"/>
  <c r="C403" i="3"/>
  <c r="D403" i="3"/>
  <c r="F403" i="3"/>
  <c r="G403" i="3"/>
  <c r="C404" i="3"/>
  <c r="D404" i="3"/>
  <c r="F404" i="3"/>
  <c r="G404" i="3"/>
  <c r="C405" i="3"/>
  <c r="D405" i="3"/>
  <c r="F405" i="3"/>
  <c r="G405" i="3"/>
  <c r="C406" i="3"/>
  <c r="D406" i="3"/>
  <c r="F406" i="3"/>
  <c r="G406" i="3"/>
  <c r="C407" i="3"/>
  <c r="D407" i="3"/>
  <c r="F407" i="3"/>
  <c r="G407" i="3"/>
  <c r="C408" i="3"/>
  <c r="D408" i="3"/>
  <c r="F408" i="3"/>
  <c r="G408" i="3"/>
  <c r="C409" i="3"/>
  <c r="D409" i="3"/>
  <c r="F409" i="3"/>
  <c r="G409" i="3"/>
  <c r="C410" i="3"/>
  <c r="D410" i="3"/>
  <c r="F410" i="3"/>
  <c r="G410" i="3"/>
  <c r="C411" i="3"/>
  <c r="D411" i="3"/>
  <c r="F411" i="3"/>
  <c r="G411" i="3"/>
  <c r="C412" i="3"/>
  <c r="D412" i="3"/>
  <c r="F412" i="3"/>
  <c r="G412" i="3"/>
  <c r="C413" i="3"/>
  <c r="D413" i="3"/>
  <c r="F413" i="3"/>
  <c r="G413" i="3"/>
  <c r="C414" i="3"/>
  <c r="D414" i="3"/>
  <c r="F414" i="3"/>
  <c r="G414" i="3"/>
  <c r="C415" i="3"/>
  <c r="D415" i="3"/>
  <c r="F415" i="3"/>
  <c r="G415" i="3"/>
  <c r="C416" i="3"/>
  <c r="D416" i="3"/>
  <c r="F416" i="3"/>
  <c r="G416" i="3"/>
  <c r="C417" i="3"/>
  <c r="D417" i="3"/>
  <c r="F417" i="3"/>
  <c r="G417" i="3"/>
  <c r="C418" i="3"/>
  <c r="D418" i="3"/>
  <c r="F418" i="3"/>
  <c r="G418" i="3"/>
  <c r="C419" i="3"/>
  <c r="D419" i="3"/>
  <c r="F419" i="3"/>
  <c r="G419" i="3"/>
  <c r="C420" i="3"/>
  <c r="D420" i="3"/>
  <c r="F420" i="3"/>
  <c r="G420" i="3"/>
  <c r="C421" i="3"/>
  <c r="D421" i="3"/>
  <c r="F421" i="3"/>
  <c r="G421" i="3"/>
  <c r="C422" i="3"/>
  <c r="D422" i="3"/>
  <c r="F422" i="3"/>
  <c r="G422" i="3"/>
  <c r="C423" i="3"/>
  <c r="D423" i="3"/>
  <c r="F423" i="3"/>
  <c r="G423" i="3"/>
  <c r="C424" i="3"/>
  <c r="D424" i="3"/>
  <c r="F424" i="3"/>
  <c r="G424" i="3"/>
  <c r="C425" i="3"/>
  <c r="D425" i="3"/>
  <c r="F425" i="3"/>
  <c r="G425" i="3"/>
  <c r="C426" i="3"/>
  <c r="D426" i="3"/>
  <c r="F426" i="3"/>
  <c r="G426" i="3"/>
  <c r="C427" i="3"/>
  <c r="D427" i="3"/>
  <c r="F427" i="3"/>
  <c r="G427" i="3"/>
  <c r="C428" i="3"/>
  <c r="D428" i="3"/>
  <c r="F428" i="3"/>
  <c r="G428" i="3"/>
  <c r="C429" i="3"/>
  <c r="D429" i="3"/>
  <c r="F429" i="3"/>
  <c r="G429" i="3"/>
  <c r="C430" i="3"/>
  <c r="D430" i="3"/>
  <c r="F430" i="3"/>
  <c r="G430" i="3"/>
  <c r="C431" i="3"/>
  <c r="D431" i="3"/>
  <c r="F431" i="3"/>
  <c r="G431" i="3"/>
  <c r="C432" i="3"/>
  <c r="D432" i="3"/>
  <c r="F432" i="3"/>
  <c r="G432" i="3"/>
  <c r="C433" i="3"/>
  <c r="D433" i="3"/>
  <c r="F433" i="3"/>
  <c r="G433" i="3"/>
  <c r="C434" i="3"/>
  <c r="D434" i="3"/>
  <c r="F434" i="3"/>
  <c r="G434" i="3"/>
  <c r="C435" i="3"/>
  <c r="D435" i="3"/>
  <c r="F435" i="3"/>
  <c r="G435" i="3"/>
  <c r="C436" i="3"/>
  <c r="D436" i="3"/>
  <c r="F436" i="3"/>
  <c r="G436" i="3"/>
  <c r="C437" i="3"/>
  <c r="D437" i="3"/>
  <c r="F437" i="3"/>
  <c r="G437" i="3"/>
  <c r="C438" i="3"/>
  <c r="D438" i="3"/>
  <c r="F438" i="3"/>
  <c r="G438" i="3"/>
  <c r="C439" i="3"/>
  <c r="D439" i="3"/>
  <c r="F439" i="3"/>
  <c r="G439" i="3"/>
  <c r="C440" i="3"/>
  <c r="D440" i="3"/>
  <c r="F440" i="3"/>
  <c r="G440" i="3"/>
  <c r="C441" i="3"/>
  <c r="D441" i="3"/>
  <c r="F441" i="3"/>
  <c r="G441" i="3"/>
  <c r="C442" i="3"/>
  <c r="D442" i="3"/>
  <c r="F442" i="3"/>
  <c r="G442" i="3"/>
  <c r="C443" i="3"/>
  <c r="D443" i="3"/>
  <c r="F443" i="3"/>
  <c r="G443" i="3"/>
  <c r="C444" i="3"/>
  <c r="D444" i="3"/>
  <c r="F444" i="3"/>
  <c r="G444" i="3"/>
  <c r="C445" i="3"/>
  <c r="D445" i="3"/>
  <c r="F445" i="3"/>
  <c r="G445" i="3"/>
  <c r="C446" i="3"/>
  <c r="D446" i="3"/>
  <c r="F446" i="3"/>
  <c r="G446" i="3"/>
  <c r="C447" i="3"/>
  <c r="D447" i="3"/>
  <c r="F447" i="3"/>
  <c r="G447" i="3"/>
  <c r="C448" i="3"/>
  <c r="D448" i="3"/>
  <c r="F448" i="3"/>
  <c r="G448" i="3"/>
  <c r="C449" i="3"/>
  <c r="D449" i="3"/>
  <c r="F449" i="3"/>
  <c r="G449" i="3"/>
  <c r="C450" i="3"/>
  <c r="D450" i="3"/>
  <c r="F450" i="3"/>
  <c r="G450" i="3"/>
  <c r="C451" i="3"/>
  <c r="D451" i="3"/>
  <c r="F451" i="3"/>
  <c r="G451" i="3"/>
  <c r="C452" i="3"/>
  <c r="D452" i="3"/>
  <c r="F452" i="3"/>
  <c r="G452" i="3"/>
  <c r="C453" i="3"/>
  <c r="D453" i="3"/>
  <c r="F453" i="3"/>
  <c r="G453" i="3"/>
  <c r="C454" i="3"/>
  <c r="D454" i="3"/>
  <c r="F454" i="3"/>
  <c r="G454" i="3"/>
  <c r="C455" i="3"/>
  <c r="D455" i="3"/>
  <c r="F455" i="3"/>
  <c r="G455" i="3"/>
  <c r="C456" i="3"/>
  <c r="D456" i="3"/>
  <c r="F456" i="3"/>
  <c r="G456" i="3"/>
  <c r="C457" i="3"/>
  <c r="D457" i="3"/>
  <c r="F457" i="3"/>
  <c r="G457" i="3"/>
  <c r="C458" i="3"/>
  <c r="D458" i="3"/>
  <c r="F458" i="3"/>
  <c r="G458" i="3"/>
  <c r="C459" i="3"/>
  <c r="D459" i="3"/>
  <c r="F459" i="3"/>
  <c r="G459" i="3"/>
  <c r="C460" i="3"/>
  <c r="D460" i="3"/>
  <c r="F460" i="3"/>
  <c r="G460" i="3"/>
  <c r="C461" i="3"/>
  <c r="D461" i="3"/>
  <c r="F461" i="3"/>
  <c r="G461" i="3"/>
  <c r="C462" i="3"/>
  <c r="D462" i="3"/>
  <c r="F462" i="3"/>
  <c r="G462" i="3"/>
  <c r="C463" i="3"/>
  <c r="D463" i="3"/>
  <c r="F463" i="3"/>
  <c r="G463" i="3"/>
  <c r="C464" i="3"/>
  <c r="D464" i="3"/>
  <c r="F464" i="3"/>
  <c r="G464" i="3"/>
  <c r="C465" i="3"/>
  <c r="D465" i="3"/>
  <c r="F465" i="3"/>
  <c r="G465" i="3"/>
  <c r="C466" i="3"/>
  <c r="D466" i="3"/>
  <c r="F466" i="3"/>
  <c r="G466" i="3"/>
  <c r="C467" i="3"/>
  <c r="D467" i="3"/>
  <c r="F467" i="3"/>
  <c r="G467" i="3"/>
  <c r="C468" i="3"/>
  <c r="D468" i="3"/>
  <c r="F468" i="3"/>
  <c r="G468" i="3"/>
  <c r="C469" i="3"/>
  <c r="D469" i="3"/>
  <c r="F469" i="3"/>
  <c r="G469" i="3"/>
  <c r="C470" i="3"/>
  <c r="D470" i="3"/>
  <c r="F470" i="3"/>
  <c r="G470" i="3"/>
  <c r="C471" i="3"/>
  <c r="D471" i="3"/>
  <c r="F471" i="3"/>
  <c r="G471" i="3"/>
  <c r="C472" i="3"/>
  <c r="D472" i="3"/>
  <c r="F472" i="3"/>
  <c r="G472" i="3"/>
  <c r="C473" i="3"/>
  <c r="D473" i="3"/>
  <c r="F473" i="3"/>
  <c r="G473" i="3"/>
  <c r="C474" i="3"/>
  <c r="D474" i="3"/>
  <c r="F474" i="3"/>
  <c r="G474" i="3"/>
  <c r="C475" i="3"/>
  <c r="D475" i="3"/>
  <c r="F475" i="3"/>
  <c r="G475" i="3"/>
  <c r="C476" i="3"/>
  <c r="D476" i="3"/>
  <c r="F476" i="3"/>
  <c r="G476" i="3"/>
  <c r="C477" i="3"/>
  <c r="D477" i="3"/>
  <c r="F477" i="3"/>
  <c r="G477" i="3"/>
  <c r="C478" i="3"/>
  <c r="D478" i="3"/>
  <c r="F478" i="3"/>
  <c r="G478" i="3"/>
  <c r="C479" i="3"/>
  <c r="D479" i="3"/>
  <c r="F479" i="3"/>
  <c r="G479" i="3"/>
  <c r="C480" i="3"/>
  <c r="D480" i="3"/>
  <c r="F480" i="3"/>
  <c r="G480" i="3"/>
  <c r="C481" i="3"/>
  <c r="D481" i="3"/>
  <c r="F481" i="3"/>
  <c r="G481" i="3"/>
  <c r="C482" i="3"/>
  <c r="D482" i="3"/>
  <c r="F482" i="3"/>
  <c r="G482" i="3"/>
  <c r="C483" i="3"/>
  <c r="D483" i="3"/>
  <c r="F483" i="3"/>
  <c r="G483" i="3"/>
  <c r="C484" i="3"/>
  <c r="D484" i="3"/>
  <c r="F484" i="3"/>
  <c r="G484" i="3"/>
  <c r="C485" i="3"/>
  <c r="D485" i="3"/>
  <c r="F485" i="3"/>
  <c r="G485" i="3"/>
  <c r="C486" i="3"/>
  <c r="D486" i="3"/>
  <c r="F486" i="3"/>
  <c r="G486" i="3"/>
  <c r="C487" i="3"/>
  <c r="D487" i="3"/>
  <c r="F487" i="3"/>
  <c r="G487" i="3"/>
  <c r="C488" i="3"/>
  <c r="D488" i="3"/>
  <c r="F488" i="3"/>
  <c r="G488" i="3"/>
  <c r="C489" i="3"/>
  <c r="D489" i="3"/>
  <c r="F489" i="3"/>
  <c r="G489" i="3"/>
  <c r="C490" i="3"/>
  <c r="D490" i="3"/>
  <c r="F490" i="3"/>
  <c r="G490" i="3"/>
  <c r="C491" i="3"/>
  <c r="D491" i="3"/>
  <c r="F491" i="3"/>
  <c r="G491" i="3"/>
  <c r="C492" i="3"/>
  <c r="D492" i="3"/>
  <c r="F492" i="3"/>
  <c r="G492" i="3"/>
  <c r="C493" i="3"/>
  <c r="D493" i="3"/>
  <c r="F493" i="3"/>
  <c r="G493" i="3"/>
  <c r="C494" i="3"/>
  <c r="D494" i="3"/>
  <c r="F494" i="3"/>
  <c r="G494" i="3"/>
  <c r="C495" i="3"/>
  <c r="D495" i="3"/>
  <c r="F495" i="3"/>
  <c r="G495" i="3"/>
  <c r="C496" i="3"/>
  <c r="D496" i="3"/>
  <c r="F496" i="3"/>
  <c r="G496" i="3"/>
  <c r="C497" i="3"/>
  <c r="D497" i="3"/>
  <c r="F497" i="3"/>
  <c r="G497" i="3"/>
  <c r="C498" i="3"/>
  <c r="D498" i="3"/>
  <c r="F498" i="3"/>
  <c r="G498" i="3"/>
  <c r="C499" i="3"/>
  <c r="D499" i="3"/>
  <c r="F499" i="3"/>
  <c r="G499" i="3"/>
  <c r="C500" i="3"/>
  <c r="D500" i="3"/>
  <c r="F500" i="3"/>
  <c r="G500" i="3"/>
  <c r="C501" i="3"/>
  <c r="D501" i="3"/>
  <c r="F501" i="3"/>
  <c r="G501" i="3"/>
  <c r="C502" i="3"/>
  <c r="D502" i="3"/>
  <c r="F502" i="3"/>
  <c r="G502" i="3"/>
  <c r="C503" i="3"/>
  <c r="D503" i="3"/>
  <c r="F503" i="3"/>
  <c r="G503" i="3"/>
  <c r="C504" i="3"/>
  <c r="D504" i="3"/>
  <c r="F504" i="3"/>
  <c r="G504" i="3"/>
  <c r="C505" i="3"/>
  <c r="D505" i="3"/>
  <c r="F505" i="3"/>
  <c r="G505" i="3"/>
  <c r="C506" i="3"/>
  <c r="D506" i="3"/>
  <c r="F506" i="3"/>
  <c r="G506" i="3"/>
  <c r="C507" i="3"/>
  <c r="D507" i="3"/>
  <c r="F507" i="3"/>
  <c r="G507" i="3"/>
  <c r="C508" i="3"/>
  <c r="D508" i="3"/>
  <c r="F508" i="3"/>
  <c r="G508" i="3"/>
  <c r="C509" i="3"/>
  <c r="D509" i="3"/>
  <c r="F509" i="3"/>
  <c r="G509" i="3"/>
  <c r="C510" i="3"/>
  <c r="D510" i="3"/>
  <c r="F510" i="3"/>
  <c r="G510" i="3"/>
  <c r="C511" i="3"/>
  <c r="D511" i="3"/>
  <c r="F511" i="3"/>
  <c r="G511" i="3"/>
  <c r="C512" i="3"/>
  <c r="D512" i="3"/>
  <c r="F512" i="3"/>
  <c r="G512" i="3"/>
  <c r="C513" i="3"/>
  <c r="D513" i="3"/>
  <c r="F513" i="3"/>
  <c r="G513" i="3"/>
  <c r="C514" i="3"/>
  <c r="D514" i="3"/>
  <c r="F514" i="3"/>
  <c r="G514" i="3"/>
  <c r="C515" i="3"/>
  <c r="D515" i="3"/>
  <c r="F515" i="3"/>
  <c r="G515" i="3"/>
  <c r="C516" i="3"/>
  <c r="D516" i="3"/>
  <c r="F516" i="3"/>
  <c r="G516" i="3"/>
  <c r="C517" i="3"/>
  <c r="D517" i="3"/>
  <c r="F517" i="3"/>
  <c r="G517" i="3"/>
  <c r="C518" i="3"/>
  <c r="D518" i="3"/>
  <c r="F518" i="3"/>
  <c r="G518" i="3"/>
  <c r="C519" i="3"/>
  <c r="D519" i="3"/>
  <c r="F519" i="3"/>
  <c r="G519" i="3"/>
  <c r="C520" i="3"/>
  <c r="D520" i="3"/>
  <c r="F520" i="3"/>
  <c r="G520" i="3"/>
  <c r="C521" i="3"/>
  <c r="D521" i="3"/>
  <c r="F521" i="3"/>
  <c r="G521" i="3"/>
  <c r="C522" i="3"/>
  <c r="D522" i="3"/>
  <c r="F522" i="3"/>
  <c r="G522" i="3"/>
  <c r="C523" i="3"/>
  <c r="D523" i="3"/>
  <c r="F523" i="3"/>
  <c r="G523" i="3"/>
  <c r="C524" i="3"/>
  <c r="D524" i="3"/>
  <c r="F524" i="3"/>
  <c r="G524" i="3"/>
  <c r="C525" i="3"/>
  <c r="D525" i="3"/>
  <c r="F525" i="3"/>
  <c r="G525" i="3"/>
  <c r="C526" i="3"/>
  <c r="D526" i="3"/>
  <c r="F526" i="3"/>
  <c r="G526" i="3"/>
  <c r="C527" i="3"/>
  <c r="D527" i="3"/>
  <c r="F527" i="3"/>
  <c r="G527" i="3"/>
  <c r="C528" i="3"/>
  <c r="D528" i="3"/>
  <c r="F528" i="3"/>
  <c r="G528" i="3"/>
  <c r="C529" i="3"/>
  <c r="D529" i="3"/>
  <c r="F529" i="3"/>
  <c r="G529" i="3"/>
  <c r="C530" i="3"/>
  <c r="D530" i="3"/>
  <c r="F530" i="3"/>
  <c r="G530" i="3"/>
  <c r="C531" i="3"/>
  <c r="D531" i="3"/>
  <c r="F531" i="3"/>
  <c r="G531" i="3"/>
  <c r="C532" i="3"/>
  <c r="D532" i="3"/>
  <c r="F532" i="3"/>
  <c r="G532" i="3"/>
  <c r="C533" i="3"/>
  <c r="D533" i="3"/>
  <c r="F533" i="3"/>
  <c r="G533" i="3"/>
  <c r="C534" i="3"/>
  <c r="D534" i="3"/>
  <c r="F534" i="3"/>
  <c r="G534" i="3"/>
  <c r="C535" i="3"/>
  <c r="D535" i="3"/>
  <c r="F535" i="3"/>
  <c r="G535" i="3"/>
  <c r="C536" i="3"/>
  <c r="D536" i="3"/>
  <c r="F536" i="3"/>
  <c r="G536" i="3"/>
  <c r="C537" i="3"/>
  <c r="D537" i="3"/>
  <c r="F537" i="3"/>
  <c r="G537" i="3"/>
  <c r="C538" i="3"/>
  <c r="D538" i="3"/>
  <c r="F538" i="3"/>
  <c r="G538" i="3"/>
  <c r="C539" i="3"/>
  <c r="D539" i="3"/>
  <c r="F539" i="3"/>
  <c r="G539" i="3"/>
  <c r="C540" i="3"/>
  <c r="D540" i="3"/>
  <c r="F540" i="3"/>
  <c r="G540" i="3"/>
  <c r="C541" i="3"/>
  <c r="D541" i="3"/>
  <c r="F541" i="3"/>
  <c r="G541" i="3"/>
  <c r="C542" i="3"/>
  <c r="D542" i="3"/>
  <c r="F542" i="3"/>
  <c r="G542" i="3"/>
  <c r="C543" i="3"/>
  <c r="D543" i="3"/>
  <c r="F543" i="3"/>
  <c r="G543" i="3"/>
  <c r="C544" i="3"/>
  <c r="D544" i="3"/>
  <c r="F544" i="3"/>
  <c r="G544" i="3"/>
  <c r="C545" i="3"/>
  <c r="D545" i="3"/>
  <c r="F545" i="3"/>
  <c r="G545" i="3"/>
  <c r="C546" i="3"/>
  <c r="D546" i="3"/>
  <c r="F546" i="3"/>
  <c r="G546" i="3"/>
  <c r="C547" i="3"/>
  <c r="D547" i="3"/>
  <c r="F547" i="3"/>
  <c r="G547" i="3"/>
  <c r="C548" i="3"/>
  <c r="D548" i="3"/>
  <c r="F548" i="3"/>
  <c r="G548" i="3"/>
  <c r="C549" i="3"/>
  <c r="D549" i="3"/>
  <c r="F549" i="3"/>
  <c r="G549" i="3"/>
  <c r="C550" i="3"/>
  <c r="D550" i="3"/>
  <c r="F550" i="3"/>
  <c r="G550" i="3"/>
  <c r="C551" i="3"/>
  <c r="D551" i="3"/>
  <c r="F551" i="3"/>
  <c r="G551" i="3"/>
  <c r="C552" i="3"/>
  <c r="D552" i="3"/>
  <c r="F552" i="3"/>
  <c r="G552" i="3"/>
  <c r="C553" i="3"/>
  <c r="D553" i="3"/>
  <c r="F553" i="3"/>
  <c r="G553" i="3"/>
  <c r="C554" i="3"/>
  <c r="D554" i="3"/>
  <c r="F554" i="3"/>
  <c r="G554" i="3"/>
  <c r="C555" i="3"/>
  <c r="D555" i="3"/>
  <c r="F555" i="3"/>
  <c r="G555" i="3"/>
  <c r="C556" i="3"/>
  <c r="D556" i="3"/>
  <c r="F556" i="3"/>
  <c r="G556" i="3"/>
  <c r="C557" i="3"/>
  <c r="D557" i="3"/>
  <c r="F557" i="3"/>
  <c r="G557" i="3"/>
  <c r="C558" i="3"/>
  <c r="D558" i="3"/>
  <c r="F558" i="3"/>
  <c r="G558" i="3"/>
  <c r="C559" i="3"/>
  <c r="D559" i="3"/>
  <c r="F559" i="3"/>
  <c r="G559" i="3"/>
  <c r="C560" i="3"/>
  <c r="D560" i="3"/>
  <c r="F560" i="3"/>
  <c r="G560" i="3"/>
  <c r="C561" i="3"/>
  <c r="D561" i="3"/>
  <c r="F561" i="3"/>
  <c r="G561" i="3"/>
  <c r="C562" i="3"/>
  <c r="D562" i="3"/>
  <c r="F562" i="3"/>
  <c r="G562" i="3"/>
  <c r="C563" i="3"/>
  <c r="D563" i="3"/>
  <c r="F563" i="3"/>
  <c r="G563" i="3"/>
  <c r="C564" i="3"/>
  <c r="D564" i="3"/>
  <c r="F564" i="3"/>
  <c r="G564" i="3"/>
  <c r="C565" i="3"/>
  <c r="D565" i="3"/>
  <c r="F565" i="3"/>
  <c r="G565" i="3"/>
  <c r="C566" i="3"/>
  <c r="D566" i="3"/>
  <c r="F566" i="3"/>
  <c r="G566" i="3"/>
  <c r="C567" i="3"/>
  <c r="D567" i="3"/>
  <c r="F567" i="3"/>
  <c r="G567" i="3"/>
  <c r="C568" i="3"/>
  <c r="D568" i="3"/>
  <c r="F568" i="3"/>
  <c r="G568" i="3"/>
  <c r="C569" i="3"/>
  <c r="D569" i="3"/>
  <c r="F569" i="3"/>
  <c r="G569" i="3"/>
  <c r="C570" i="3"/>
  <c r="D570" i="3"/>
  <c r="F570" i="3"/>
  <c r="G570" i="3"/>
  <c r="C571" i="3"/>
  <c r="D571" i="3"/>
  <c r="F571" i="3"/>
  <c r="G571" i="3"/>
  <c r="C572" i="3"/>
  <c r="D572" i="3"/>
  <c r="F572" i="3"/>
  <c r="G572" i="3"/>
  <c r="C573" i="3"/>
  <c r="D573" i="3"/>
  <c r="F573" i="3"/>
  <c r="G573" i="3"/>
  <c r="C574" i="3"/>
  <c r="D574" i="3"/>
  <c r="F574" i="3"/>
  <c r="G574" i="3"/>
  <c r="C575" i="3"/>
  <c r="D575" i="3"/>
  <c r="F575" i="3"/>
  <c r="G575" i="3"/>
  <c r="C576" i="3"/>
  <c r="D576" i="3"/>
  <c r="F576" i="3"/>
  <c r="G576" i="3"/>
  <c r="C577" i="3"/>
  <c r="D577" i="3"/>
  <c r="F577" i="3"/>
  <c r="G577" i="3"/>
  <c r="C578" i="3"/>
  <c r="D578" i="3"/>
  <c r="F578" i="3"/>
  <c r="G578" i="3"/>
  <c r="C579" i="3"/>
  <c r="D579" i="3"/>
  <c r="F579" i="3"/>
  <c r="G579" i="3"/>
  <c r="C580" i="3"/>
  <c r="D580" i="3"/>
  <c r="F580" i="3"/>
  <c r="G580" i="3"/>
  <c r="C581" i="3"/>
  <c r="D581" i="3"/>
  <c r="F581" i="3"/>
  <c r="G581" i="3"/>
  <c r="C582" i="3"/>
  <c r="D582" i="3"/>
  <c r="F582" i="3"/>
  <c r="G582" i="3"/>
  <c r="C583" i="3"/>
  <c r="D583" i="3"/>
  <c r="F583" i="3"/>
  <c r="G583" i="3"/>
  <c r="C584" i="3"/>
  <c r="D584" i="3"/>
  <c r="F584" i="3"/>
  <c r="G584" i="3"/>
  <c r="C585" i="3"/>
  <c r="D585" i="3"/>
  <c r="F585" i="3"/>
  <c r="G585" i="3"/>
  <c r="C586" i="3"/>
  <c r="D586" i="3"/>
  <c r="F586" i="3"/>
  <c r="G586" i="3"/>
  <c r="C587" i="3"/>
  <c r="D587" i="3"/>
  <c r="F587" i="3"/>
  <c r="G587" i="3"/>
  <c r="C588" i="3"/>
  <c r="D588" i="3"/>
  <c r="F588" i="3"/>
  <c r="G588" i="3"/>
  <c r="C589" i="3"/>
  <c r="D589" i="3"/>
  <c r="F589" i="3"/>
  <c r="G589" i="3"/>
  <c r="C590" i="3"/>
  <c r="D590" i="3"/>
  <c r="F590" i="3"/>
  <c r="G590" i="3"/>
  <c r="C591" i="3"/>
  <c r="D591" i="3"/>
  <c r="F591" i="3"/>
  <c r="G591" i="3"/>
  <c r="C592" i="3"/>
  <c r="D592" i="3"/>
  <c r="F592" i="3"/>
  <c r="G592" i="3"/>
  <c r="C593" i="3"/>
  <c r="D593" i="3"/>
  <c r="F593" i="3"/>
  <c r="G593" i="3"/>
  <c r="C594" i="3"/>
  <c r="D594" i="3"/>
  <c r="F594" i="3"/>
  <c r="G594" i="3"/>
  <c r="C595" i="3"/>
  <c r="D595" i="3"/>
  <c r="F595" i="3"/>
  <c r="G595" i="3"/>
  <c r="C596" i="3"/>
  <c r="D596" i="3"/>
  <c r="F596" i="3"/>
  <c r="G596" i="3"/>
  <c r="C597" i="3"/>
  <c r="D597" i="3"/>
  <c r="F597" i="3"/>
  <c r="G597" i="3"/>
  <c r="C598" i="3"/>
  <c r="D598" i="3"/>
  <c r="F598" i="3"/>
  <c r="G598" i="3"/>
  <c r="C599" i="3"/>
  <c r="D599" i="3"/>
  <c r="F599" i="3"/>
  <c r="G599" i="3"/>
  <c r="C600" i="3"/>
  <c r="D600" i="3"/>
  <c r="F600" i="3"/>
  <c r="G600" i="3"/>
  <c r="C601" i="3"/>
  <c r="D601" i="3"/>
  <c r="F601" i="3"/>
  <c r="G601" i="3"/>
  <c r="C602" i="3"/>
  <c r="D602" i="3"/>
  <c r="F602" i="3"/>
  <c r="G602" i="3"/>
  <c r="C603" i="3"/>
  <c r="D603" i="3"/>
  <c r="F603" i="3"/>
  <c r="G603" i="3"/>
  <c r="C604" i="3"/>
  <c r="D604" i="3"/>
  <c r="F604" i="3"/>
  <c r="G604" i="3"/>
  <c r="C605" i="3"/>
  <c r="D605" i="3"/>
  <c r="F605" i="3"/>
  <c r="G605" i="3"/>
  <c r="C606" i="3"/>
  <c r="D606" i="3"/>
  <c r="F606" i="3"/>
  <c r="G606" i="3"/>
  <c r="C607" i="3"/>
  <c r="D607" i="3"/>
  <c r="F607" i="3"/>
  <c r="G607" i="3"/>
  <c r="C608" i="3"/>
  <c r="D608" i="3"/>
  <c r="F608" i="3"/>
  <c r="G608" i="3"/>
  <c r="C609" i="3"/>
  <c r="D609" i="3"/>
  <c r="F609" i="3"/>
  <c r="G609" i="3"/>
  <c r="C610" i="3"/>
  <c r="D610" i="3"/>
  <c r="F610" i="3"/>
  <c r="G610" i="3"/>
  <c r="C611" i="3"/>
  <c r="D611" i="3"/>
  <c r="F611" i="3"/>
  <c r="G611" i="3"/>
  <c r="C612" i="3"/>
  <c r="D612" i="3"/>
  <c r="F612" i="3"/>
  <c r="G612" i="3"/>
  <c r="C613" i="3"/>
  <c r="D613" i="3"/>
  <c r="F613" i="3"/>
  <c r="G613" i="3"/>
  <c r="C614" i="3"/>
  <c r="D614" i="3"/>
  <c r="F614" i="3"/>
  <c r="G614" i="3"/>
  <c r="C615" i="3"/>
  <c r="D615" i="3"/>
  <c r="F615" i="3"/>
  <c r="G615" i="3"/>
  <c r="C616" i="3"/>
  <c r="D616" i="3"/>
  <c r="F616" i="3"/>
  <c r="G616" i="3"/>
  <c r="C617" i="3"/>
  <c r="D617" i="3"/>
  <c r="F617" i="3"/>
  <c r="G617" i="3"/>
  <c r="C618" i="3"/>
  <c r="D618" i="3"/>
  <c r="F618" i="3"/>
  <c r="G618" i="3"/>
  <c r="C619" i="3"/>
  <c r="D619" i="3"/>
  <c r="F619" i="3"/>
  <c r="G619" i="3"/>
  <c r="C620" i="3"/>
  <c r="D620" i="3"/>
  <c r="F620" i="3"/>
  <c r="G620" i="3"/>
  <c r="C621" i="3"/>
  <c r="D621" i="3"/>
  <c r="F621" i="3"/>
  <c r="G621" i="3"/>
  <c r="C622" i="3"/>
  <c r="D622" i="3"/>
  <c r="F622" i="3"/>
  <c r="G622" i="3"/>
  <c r="C623" i="3"/>
  <c r="D623" i="3"/>
  <c r="F623" i="3"/>
  <c r="G623" i="3"/>
  <c r="C624" i="3"/>
  <c r="D624" i="3"/>
  <c r="F624" i="3"/>
  <c r="G624" i="3"/>
  <c r="C625" i="3"/>
  <c r="D625" i="3"/>
  <c r="F625" i="3"/>
  <c r="G625" i="3"/>
  <c r="C626" i="3"/>
  <c r="D626" i="3"/>
  <c r="F626" i="3"/>
  <c r="G626" i="3"/>
  <c r="C627" i="3"/>
  <c r="D627" i="3"/>
  <c r="F627" i="3"/>
  <c r="G627" i="3"/>
  <c r="C628" i="3"/>
  <c r="D628" i="3"/>
  <c r="F628" i="3"/>
  <c r="G628" i="3"/>
  <c r="C629" i="3"/>
  <c r="D629" i="3"/>
  <c r="F629" i="3"/>
  <c r="G629" i="3"/>
  <c r="C630" i="3"/>
  <c r="D630" i="3"/>
  <c r="F630" i="3"/>
  <c r="G630" i="3"/>
  <c r="C631" i="3"/>
  <c r="D631" i="3"/>
  <c r="F631" i="3"/>
  <c r="G631" i="3"/>
  <c r="C632" i="3"/>
  <c r="D632" i="3"/>
  <c r="F632" i="3"/>
  <c r="G632" i="3"/>
  <c r="C633" i="3"/>
  <c r="D633" i="3"/>
  <c r="F633" i="3"/>
  <c r="G633" i="3"/>
  <c r="C634" i="3"/>
  <c r="D634" i="3"/>
  <c r="F634" i="3"/>
  <c r="G634" i="3"/>
  <c r="C635" i="3"/>
  <c r="D635" i="3"/>
  <c r="F635" i="3"/>
  <c r="G635" i="3"/>
  <c r="C636" i="3"/>
  <c r="D636" i="3"/>
  <c r="F636" i="3"/>
  <c r="G636" i="3"/>
  <c r="C637" i="3"/>
  <c r="D637" i="3"/>
  <c r="F637" i="3"/>
  <c r="G637" i="3"/>
  <c r="C638" i="3"/>
  <c r="D638" i="3"/>
  <c r="F638" i="3"/>
  <c r="G638" i="3"/>
  <c r="C639" i="3"/>
  <c r="D639" i="3"/>
  <c r="F639" i="3"/>
  <c r="G639" i="3"/>
  <c r="C640" i="3"/>
  <c r="D640" i="3"/>
  <c r="F640" i="3"/>
  <c r="G640" i="3"/>
  <c r="C641" i="3"/>
  <c r="D641" i="3"/>
  <c r="F641" i="3"/>
  <c r="G641" i="3"/>
  <c r="C642" i="3"/>
  <c r="D642" i="3"/>
  <c r="F642" i="3"/>
  <c r="G642" i="3"/>
  <c r="C643" i="3"/>
  <c r="D643" i="3"/>
  <c r="F643" i="3"/>
  <c r="G643" i="3"/>
  <c r="C644" i="3"/>
  <c r="D644" i="3"/>
  <c r="F644" i="3"/>
  <c r="G644" i="3"/>
  <c r="C645" i="3"/>
  <c r="D645" i="3"/>
  <c r="F645" i="3"/>
  <c r="G645" i="3"/>
  <c r="C646" i="3"/>
  <c r="D646" i="3"/>
  <c r="F646" i="3"/>
  <c r="G646" i="3"/>
  <c r="C647" i="3"/>
  <c r="D647" i="3"/>
  <c r="F647" i="3"/>
  <c r="G647" i="3"/>
  <c r="C648" i="3"/>
  <c r="D648" i="3"/>
  <c r="F648" i="3"/>
  <c r="G648" i="3"/>
  <c r="C649" i="3"/>
  <c r="D649" i="3"/>
  <c r="F649" i="3"/>
  <c r="G649" i="3"/>
  <c r="C650" i="3"/>
  <c r="D650" i="3"/>
  <c r="F650" i="3"/>
  <c r="G650" i="3"/>
  <c r="C651" i="3"/>
  <c r="D651" i="3"/>
  <c r="F651" i="3"/>
  <c r="G651" i="3"/>
  <c r="C652" i="3"/>
  <c r="D652" i="3"/>
  <c r="F652" i="3"/>
  <c r="G652" i="3"/>
  <c r="C653" i="3"/>
  <c r="D653" i="3"/>
  <c r="F653" i="3"/>
  <c r="G653" i="3"/>
  <c r="C654" i="3"/>
  <c r="D654" i="3"/>
  <c r="F654" i="3"/>
  <c r="G654" i="3"/>
  <c r="C655" i="3"/>
  <c r="D655" i="3"/>
  <c r="F655" i="3"/>
  <c r="G655" i="3"/>
  <c r="C656" i="3"/>
  <c r="D656" i="3"/>
  <c r="F656" i="3"/>
  <c r="G656" i="3"/>
  <c r="C657" i="3"/>
  <c r="D657" i="3"/>
  <c r="F657" i="3"/>
  <c r="G657" i="3"/>
  <c r="C658" i="3"/>
  <c r="D658" i="3"/>
  <c r="F658" i="3"/>
  <c r="G658" i="3"/>
  <c r="C659" i="3"/>
  <c r="D659" i="3"/>
  <c r="F659" i="3"/>
  <c r="G659" i="3"/>
  <c r="C660" i="3"/>
  <c r="D660" i="3"/>
  <c r="F660" i="3"/>
  <c r="G660" i="3"/>
  <c r="C661" i="3"/>
  <c r="D661" i="3"/>
  <c r="F661" i="3"/>
  <c r="G661" i="3"/>
  <c r="C662" i="3"/>
  <c r="D662" i="3"/>
  <c r="F662" i="3"/>
  <c r="G662" i="3"/>
  <c r="C663" i="3"/>
  <c r="D663" i="3"/>
  <c r="F663" i="3"/>
  <c r="G663" i="3"/>
  <c r="C664" i="3"/>
  <c r="D664" i="3"/>
  <c r="F664" i="3"/>
  <c r="G664" i="3"/>
  <c r="C665" i="3"/>
  <c r="D665" i="3"/>
  <c r="F665" i="3"/>
  <c r="G665" i="3"/>
  <c r="C666" i="3"/>
  <c r="D666" i="3"/>
  <c r="F666" i="3"/>
  <c r="G666" i="3"/>
  <c r="C667" i="3"/>
  <c r="D667" i="3"/>
  <c r="F667" i="3"/>
  <c r="G667" i="3"/>
  <c r="C668" i="3"/>
  <c r="D668" i="3"/>
  <c r="F668" i="3"/>
  <c r="G668" i="3"/>
  <c r="C669" i="3"/>
  <c r="D669" i="3"/>
  <c r="F669" i="3"/>
  <c r="G669" i="3"/>
  <c r="C670" i="3"/>
  <c r="D670" i="3"/>
  <c r="F670" i="3"/>
  <c r="G670" i="3"/>
  <c r="C671" i="3"/>
  <c r="D671" i="3"/>
  <c r="F671" i="3"/>
  <c r="G671" i="3"/>
  <c r="C672" i="3"/>
  <c r="D672" i="3"/>
  <c r="F672" i="3"/>
  <c r="G672" i="3"/>
  <c r="C673" i="3"/>
  <c r="D673" i="3"/>
  <c r="F673" i="3"/>
  <c r="G673" i="3"/>
  <c r="C674" i="3"/>
  <c r="D674" i="3"/>
  <c r="F674" i="3"/>
  <c r="G674" i="3"/>
  <c r="C675" i="3"/>
  <c r="D675" i="3"/>
  <c r="F675" i="3"/>
  <c r="G675" i="3"/>
  <c r="C676" i="3"/>
  <c r="D676" i="3"/>
  <c r="F676" i="3"/>
  <c r="G676" i="3"/>
  <c r="C677" i="3"/>
  <c r="D677" i="3"/>
  <c r="F677" i="3"/>
  <c r="G677" i="3"/>
  <c r="C678" i="3"/>
  <c r="D678" i="3"/>
  <c r="F678" i="3"/>
  <c r="G678" i="3"/>
  <c r="C679" i="3"/>
  <c r="D679" i="3"/>
  <c r="F679" i="3"/>
  <c r="G679" i="3"/>
  <c r="C680" i="3"/>
  <c r="D680" i="3"/>
  <c r="F680" i="3"/>
  <c r="G680" i="3"/>
  <c r="C681" i="3"/>
  <c r="D681" i="3"/>
  <c r="F681" i="3"/>
  <c r="G681" i="3"/>
  <c r="C682" i="3"/>
  <c r="D682" i="3"/>
  <c r="F682" i="3"/>
  <c r="G682" i="3"/>
  <c r="C683" i="3"/>
  <c r="D683" i="3"/>
  <c r="F683" i="3"/>
  <c r="G683" i="3"/>
  <c r="C684" i="3"/>
  <c r="D684" i="3"/>
  <c r="F684" i="3"/>
  <c r="G684" i="3"/>
  <c r="C685" i="3"/>
  <c r="D685" i="3"/>
  <c r="F685" i="3"/>
  <c r="G685" i="3"/>
  <c r="C686" i="3"/>
  <c r="D686" i="3"/>
  <c r="F686" i="3"/>
  <c r="G686" i="3"/>
  <c r="C687" i="3"/>
  <c r="D687" i="3"/>
  <c r="F687" i="3"/>
  <c r="G687" i="3"/>
  <c r="C688" i="3"/>
  <c r="D688" i="3"/>
  <c r="F688" i="3"/>
  <c r="G688" i="3"/>
  <c r="C689" i="3"/>
  <c r="D689" i="3"/>
  <c r="F689" i="3"/>
  <c r="G689" i="3"/>
  <c r="C690" i="3"/>
  <c r="D690" i="3"/>
  <c r="F690" i="3"/>
  <c r="G690" i="3"/>
  <c r="C691" i="3"/>
  <c r="D691" i="3"/>
  <c r="F691" i="3"/>
  <c r="G691" i="3"/>
  <c r="C692" i="3"/>
  <c r="D692" i="3"/>
  <c r="F692" i="3"/>
  <c r="G692" i="3"/>
  <c r="C693" i="3"/>
  <c r="D693" i="3"/>
  <c r="F693" i="3"/>
  <c r="G693" i="3"/>
  <c r="C694" i="3"/>
  <c r="D694" i="3"/>
  <c r="F694" i="3"/>
  <c r="G694" i="3"/>
  <c r="C695" i="3"/>
  <c r="D695" i="3"/>
  <c r="F695" i="3"/>
  <c r="G695" i="3"/>
  <c r="C696" i="3"/>
  <c r="D696" i="3"/>
  <c r="F696" i="3"/>
  <c r="G696" i="3"/>
  <c r="C697" i="3"/>
  <c r="D697" i="3"/>
  <c r="F697" i="3"/>
  <c r="G697" i="3"/>
  <c r="C698" i="3"/>
  <c r="D698" i="3"/>
  <c r="F698" i="3"/>
  <c r="G698" i="3"/>
  <c r="C699" i="3"/>
  <c r="D699" i="3"/>
  <c r="F699" i="3"/>
  <c r="G699" i="3"/>
  <c r="C700" i="3"/>
  <c r="D700" i="3"/>
  <c r="F700" i="3"/>
  <c r="G700" i="3"/>
  <c r="C701" i="3"/>
  <c r="D701" i="3"/>
  <c r="F701" i="3"/>
  <c r="G701" i="3"/>
  <c r="C702" i="3"/>
  <c r="D702" i="3"/>
  <c r="F702" i="3"/>
  <c r="G702" i="3"/>
  <c r="C703" i="3"/>
  <c r="D703" i="3"/>
  <c r="F703" i="3"/>
  <c r="G703" i="3"/>
  <c r="C704" i="3"/>
  <c r="D704" i="3"/>
  <c r="F704" i="3"/>
  <c r="G704" i="3"/>
  <c r="C705" i="3"/>
  <c r="D705" i="3"/>
  <c r="F705" i="3"/>
  <c r="G705" i="3"/>
  <c r="C706" i="3"/>
  <c r="D706" i="3"/>
  <c r="F706" i="3"/>
  <c r="G706" i="3"/>
  <c r="C707" i="3"/>
  <c r="D707" i="3"/>
  <c r="F707" i="3"/>
  <c r="G707" i="3"/>
  <c r="C708" i="3"/>
  <c r="D708" i="3"/>
  <c r="F708" i="3"/>
  <c r="G708" i="3"/>
  <c r="C709" i="3"/>
  <c r="D709" i="3"/>
  <c r="F709" i="3"/>
  <c r="G709" i="3"/>
  <c r="C710" i="3"/>
  <c r="D710" i="3"/>
  <c r="F710" i="3"/>
  <c r="G710" i="3"/>
  <c r="C711" i="3"/>
  <c r="D711" i="3"/>
  <c r="F711" i="3"/>
  <c r="G711" i="3"/>
  <c r="C712" i="3"/>
  <c r="D712" i="3"/>
  <c r="F712" i="3"/>
  <c r="G712" i="3"/>
  <c r="C713" i="3"/>
  <c r="D713" i="3"/>
  <c r="F713" i="3"/>
  <c r="G713" i="3"/>
  <c r="C714" i="3"/>
  <c r="D714" i="3"/>
  <c r="F714" i="3"/>
  <c r="G714" i="3"/>
  <c r="C715" i="3"/>
  <c r="D715" i="3"/>
  <c r="F715" i="3"/>
  <c r="G715" i="3"/>
  <c r="C716" i="3"/>
  <c r="D716" i="3"/>
  <c r="F716" i="3"/>
  <c r="G716" i="3"/>
  <c r="C717" i="3"/>
  <c r="D717" i="3"/>
  <c r="F717" i="3"/>
  <c r="G717" i="3"/>
  <c r="C718" i="3"/>
  <c r="D718" i="3"/>
  <c r="F718" i="3"/>
  <c r="G718" i="3"/>
  <c r="C719" i="3"/>
  <c r="D719" i="3"/>
  <c r="F719" i="3"/>
  <c r="G719" i="3"/>
  <c r="C720" i="3"/>
  <c r="D720" i="3"/>
  <c r="F720" i="3"/>
  <c r="G720" i="3"/>
  <c r="C721" i="3"/>
  <c r="D721" i="3"/>
  <c r="F721" i="3"/>
  <c r="G721" i="3"/>
  <c r="C722" i="3"/>
  <c r="D722" i="3"/>
  <c r="F722" i="3"/>
  <c r="G722" i="3"/>
  <c r="C723" i="3"/>
  <c r="D723" i="3"/>
  <c r="F723" i="3"/>
  <c r="G723" i="3"/>
  <c r="C724" i="3"/>
  <c r="D724" i="3"/>
  <c r="F724" i="3"/>
  <c r="G724" i="3"/>
  <c r="C725" i="3"/>
  <c r="D725" i="3"/>
  <c r="F725" i="3"/>
  <c r="G725" i="3"/>
  <c r="C726" i="3"/>
  <c r="D726" i="3"/>
  <c r="F726" i="3"/>
  <c r="G726" i="3"/>
  <c r="C727" i="3"/>
  <c r="D727" i="3"/>
  <c r="F727" i="3"/>
  <c r="G727" i="3"/>
  <c r="C728" i="3"/>
  <c r="D728" i="3"/>
  <c r="F728" i="3"/>
  <c r="G728" i="3"/>
  <c r="C729" i="3"/>
  <c r="D729" i="3"/>
  <c r="F729" i="3"/>
  <c r="G729" i="3"/>
  <c r="C730" i="3"/>
  <c r="D730" i="3"/>
  <c r="F730" i="3"/>
  <c r="G730" i="3"/>
  <c r="C731" i="3"/>
  <c r="D731" i="3"/>
  <c r="F731" i="3"/>
  <c r="G731" i="3"/>
  <c r="C732" i="3"/>
  <c r="D732" i="3"/>
  <c r="F732" i="3"/>
  <c r="G732" i="3"/>
  <c r="C733" i="3"/>
  <c r="D733" i="3"/>
  <c r="F733" i="3"/>
  <c r="G733" i="3"/>
  <c r="C734" i="3"/>
  <c r="D734" i="3"/>
  <c r="F734" i="3"/>
  <c r="G734" i="3"/>
  <c r="C735" i="3"/>
  <c r="D735" i="3"/>
  <c r="F735" i="3"/>
  <c r="G735" i="3"/>
  <c r="C736" i="3"/>
  <c r="D736" i="3"/>
  <c r="F736" i="3"/>
  <c r="G736" i="3"/>
  <c r="C737" i="3"/>
  <c r="D737" i="3"/>
  <c r="F737" i="3"/>
  <c r="G737" i="3"/>
  <c r="C738" i="3"/>
  <c r="D738" i="3"/>
  <c r="F738" i="3"/>
  <c r="G738" i="3"/>
  <c r="C739" i="3"/>
  <c r="D739" i="3"/>
  <c r="F739" i="3"/>
  <c r="G739" i="3"/>
  <c r="C740" i="3"/>
  <c r="D740" i="3"/>
  <c r="F740" i="3"/>
  <c r="G740" i="3"/>
  <c r="C741" i="3"/>
  <c r="D741" i="3"/>
  <c r="F741" i="3"/>
  <c r="G741" i="3"/>
  <c r="C742" i="3"/>
  <c r="D742" i="3"/>
  <c r="F742" i="3"/>
  <c r="G742" i="3"/>
  <c r="C743" i="3"/>
  <c r="D743" i="3"/>
  <c r="F743" i="3"/>
  <c r="G743" i="3"/>
  <c r="C744" i="3"/>
  <c r="D744" i="3"/>
  <c r="F744" i="3"/>
  <c r="G744" i="3"/>
  <c r="C745" i="3"/>
  <c r="D745" i="3"/>
  <c r="F745" i="3"/>
  <c r="G745" i="3"/>
  <c r="C746" i="3"/>
  <c r="D746" i="3"/>
  <c r="F746" i="3"/>
  <c r="G746" i="3"/>
  <c r="C747" i="3"/>
  <c r="D747" i="3"/>
  <c r="F747" i="3"/>
  <c r="G747" i="3"/>
  <c r="C748" i="3"/>
  <c r="D748" i="3"/>
  <c r="F748" i="3"/>
  <c r="G748" i="3"/>
  <c r="C749" i="3"/>
  <c r="D749" i="3"/>
  <c r="F749" i="3"/>
  <c r="G749" i="3"/>
  <c r="C750" i="3"/>
  <c r="D750" i="3"/>
  <c r="F750" i="3"/>
  <c r="G750" i="3"/>
  <c r="C751" i="3"/>
  <c r="D751" i="3"/>
  <c r="F751" i="3"/>
  <c r="G751" i="3"/>
  <c r="C752" i="3"/>
  <c r="D752" i="3"/>
  <c r="F752" i="3"/>
  <c r="G752" i="3"/>
  <c r="C753" i="3"/>
  <c r="D753" i="3"/>
  <c r="F753" i="3"/>
  <c r="G753" i="3"/>
  <c r="C754" i="3"/>
  <c r="D754" i="3"/>
  <c r="F754" i="3"/>
  <c r="G754" i="3"/>
  <c r="C755" i="3"/>
  <c r="D755" i="3"/>
  <c r="F755" i="3"/>
  <c r="G755" i="3"/>
  <c r="C756" i="3"/>
  <c r="D756" i="3"/>
  <c r="F756" i="3"/>
  <c r="G756" i="3"/>
  <c r="C757" i="3"/>
  <c r="D757" i="3"/>
  <c r="F757" i="3"/>
  <c r="G757" i="3"/>
  <c r="C758" i="3"/>
  <c r="D758" i="3"/>
  <c r="F758" i="3"/>
  <c r="G758" i="3"/>
  <c r="C759" i="3"/>
  <c r="D759" i="3"/>
  <c r="F759" i="3"/>
  <c r="G759" i="3"/>
  <c r="C760" i="3"/>
  <c r="D760" i="3"/>
  <c r="F760" i="3"/>
  <c r="G760" i="3"/>
  <c r="C761" i="3"/>
  <c r="D761" i="3"/>
  <c r="F761" i="3"/>
  <c r="G761" i="3"/>
  <c r="C762" i="3"/>
  <c r="D762" i="3"/>
  <c r="F762" i="3"/>
  <c r="G762" i="3"/>
  <c r="C763" i="3"/>
  <c r="D763" i="3"/>
  <c r="F763" i="3"/>
  <c r="G763" i="3"/>
  <c r="C764" i="3"/>
  <c r="D764" i="3"/>
  <c r="F764" i="3"/>
  <c r="G764" i="3"/>
  <c r="C765" i="3"/>
  <c r="D765" i="3"/>
  <c r="F765" i="3"/>
  <c r="G765" i="3"/>
  <c r="C766" i="3"/>
  <c r="D766" i="3"/>
  <c r="F766" i="3"/>
  <c r="G766" i="3"/>
  <c r="C767" i="3"/>
  <c r="D767" i="3"/>
  <c r="F767" i="3"/>
  <c r="G767" i="3"/>
  <c r="C768" i="3"/>
  <c r="D768" i="3"/>
  <c r="F768" i="3"/>
  <c r="G768" i="3"/>
  <c r="C769" i="3"/>
  <c r="D769" i="3"/>
  <c r="F769" i="3"/>
  <c r="G769" i="3"/>
  <c r="C770" i="3"/>
  <c r="D770" i="3"/>
  <c r="F770" i="3"/>
  <c r="G770" i="3"/>
  <c r="C771" i="3"/>
  <c r="D771" i="3"/>
  <c r="F771" i="3"/>
  <c r="G771" i="3"/>
  <c r="C772" i="3"/>
  <c r="D772" i="3"/>
  <c r="F772" i="3"/>
  <c r="G772" i="3"/>
  <c r="C773" i="3"/>
  <c r="D773" i="3"/>
  <c r="F773" i="3"/>
  <c r="G773" i="3"/>
  <c r="C774" i="3"/>
  <c r="D774" i="3"/>
  <c r="F774" i="3"/>
  <c r="G774" i="3"/>
  <c r="C775" i="3"/>
  <c r="D775" i="3"/>
  <c r="F775" i="3"/>
  <c r="G775" i="3"/>
  <c r="C776" i="3"/>
  <c r="D776" i="3"/>
  <c r="F776" i="3"/>
  <c r="G776" i="3"/>
  <c r="C777" i="3"/>
  <c r="D777" i="3"/>
  <c r="F777" i="3"/>
  <c r="G777" i="3"/>
  <c r="C778" i="3"/>
  <c r="D778" i="3"/>
  <c r="F778" i="3"/>
  <c r="G778" i="3"/>
  <c r="C779" i="3"/>
  <c r="D779" i="3"/>
  <c r="F779" i="3"/>
  <c r="G779" i="3"/>
  <c r="C780" i="3"/>
  <c r="D780" i="3"/>
  <c r="F780" i="3"/>
  <c r="G780" i="3"/>
  <c r="C781" i="3"/>
  <c r="D781" i="3"/>
  <c r="F781" i="3"/>
  <c r="G781" i="3"/>
  <c r="C782" i="3"/>
  <c r="D782" i="3"/>
  <c r="F782" i="3"/>
  <c r="G782" i="3"/>
  <c r="C783" i="3"/>
  <c r="D783" i="3"/>
  <c r="F783" i="3"/>
  <c r="G783" i="3"/>
  <c r="C784" i="3"/>
  <c r="D784" i="3"/>
  <c r="F784" i="3"/>
  <c r="G784" i="3"/>
  <c r="C785" i="3"/>
  <c r="D785" i="3"/>
  <c r="F785" i="3"/>
  <c r="G785" i="3"/>
  <c r="C786" i="3"/>
  <c r="D786" i="3"/>
  <c r="F786" i="3"/>
  <c r="G786" i="3"/>
  <c r="C787" i="3"/>
  <c r="D787" i="3"/>
  <c r="F787" i="3"/>
  <c r="G787" i="3"/>
  <c r="C788" i="3"/>
  <c r="D788" i="3"/>
  <c r="F788" i="3"/>
  <c r="G788" i="3"/>
  <c r="C789" i="3"/>
  <c r="D789" i="3"/>
  <c r="F789" i="3"/>
  <c r="G789" i="3"/>
  <c r="C790" i="3"/>
  <c r="D790" i="3"/>
  <c r="F790" i="3"/>
  <c r="G790" i="3"/>
  <c r="C791" i="3"/>
  <c r="D791" i="3"/>
  <c r="F791" i="3"/>
  <c r="G791" i="3"/>
  <c r="C792" i="3"/>
  <c r="D792" i="3"/>
  <c r="F792" i="3"/>
  <c r="G792" i="3"/>
  <c r="C793" i="3"/>
  <c r="D793" i="3"/>
  <c r="F793" i="3"/>
  <c r="G793" i="3"/>
  <c r="C794" i="3"/>
  <c r="D794" i="3"/>
  <c r="F794" i="3"/>
  <c r="G794" i="3"/>
  <c r="C795" i="3"/>
  <c r="D795" i="3"/>
  <c r="F795" i="3"/>
  <c r="G795" i="3"/>
  <c r="C796" i="3"/>
  <c r="D796" i="3"/>
  <c r="F796" i="3"/>
  <c r="G796" i="3"/>
  <c r="C797" i="3"/>
  <c r="D797" i="3"/>
  <c r="F797" i="3"/>
  <c r="G797" i="3"/>
  <c r="C798" i="3"/>
  <c r="D798" i="3"/>
  <c r="F798" i="3"/>
  <c r="G798" i="3"/>
  <c r="C799" i="3"/>
  <c r="D799" i="3"/>
  <c r="F799" i="3"/>
  <c r="G799" i="3"/>
  <c r="C800" i="3"/>
  <c r="D800" i="3"/>
  <c r="F800" i="3"/>
  <c r="G800" i="3"/>
  <c r="C801" i="3"/>
  <c r="D801" i="3"/>
  <c r="F801" i="3"/>
  <c r="G801" i="3"/>
  <c r="C802" i="3"/>
  <c r="D802" i="3"/>
  <c r="F802" i="3"/>
  <c r="G802" i="3"/>
  <c r="C803" i="3"/>
  <c r="D803" i="3"/>
  <c r="F803" i="3"/>
  <c r="G803" i="3"/>
  <c r="C804" i="3"/>
  <c r="D804" i="3"/>
  <c r="F804" i="3"/>
  <c r="G804" i="3"/>
  <c r="C805" i="3"/>
  <c r="D805" i="3"/>
  <c r="F805" i="3"/>
  <c r="G805" i="3"/>
  <c r="C806" i="3"/>
  <c r="D806" i="3"/>
  <c r="F806" i="3"/>
  <c r="G806" i="3"/>
  <c r="C807" i="3"/>
  <c r="D807" i="3"/>
  <c r="F807" i="3"/>
  <c r="G807" i="3"/>
  <c r="C808" i="3"/>
  <c r="D808" i="3"/>
  <c r="F808" i="3"/>
  <c r="G808" i="3"/>
  <c r="C809" i="3"/>
  <c r="D809" i="3"/>
  <c r="F809" i="3"/>
  <c r="G809" i="3"/>
  <c r="C810" i="3"/>
  <c r="D810" i="3"/>
  <c r="F810" i="3"/>
  <c r="G810" i="3"/>
  <c r="C811" i="3"/>
  <c r="D811" i="3"/>
  <c r="F811" i="3"/>
  <c r="G811" i="3"/>
  <c r="C812" i="3"/>
  <c r="D812" i="3"/>
  <c r="F812" i="3"/>
  <c r="G812" i="3"/>
  <c r="C813" i="3"/>
  <c r="D813" i="3"/>
  <c r="F813" i="3"/>
  <c r="G813" i="3"/>
  <c r="C814" i="3"/>
  <c r="D814" i="3"/>
  <c r="F814" i="3"/>
  <c r="G814" i="3"/>
  <c r="C815" i="3"/>
  <c r="D815" i="3"/>
  <c r="F815" i="3"/>
  <c r="G815" i="3"/>
  <c r="C816" i="3"/>
  <c r="D816" i="3"/>
  <c r="F816" i="3"/>
  <c r="G816" i="3"/>
  <c r="C817" i="3"/>
  <c r="D817" i="3"/>
  <c r="F817" i="3"/>
  <c r="G817" i="3"/>
  <c r="C818" i="3"/>
  <c r="D818" i="3"/>
  <c r="F818" i="3"/>
  <c r="G818" i="3"/>
  <c r="C819" i="3"/>
  <c r="D819" i="3"/>
  <c r="F819" i="3"/>
  <c r="G819" i="3"/>
  <c r="C820" i="3"/>
  <c r="D820" i="3"/>
  <c r="F820" i="3"/>
  <c r="G820" i="3"/>
  <c r="C821" i="3"/>
  <c r="D821" i="3"/>
  <c r="F821" i="3"/>
  <c r="G821" i="3"/>
  <c r="C822" i="3"/>
  <c r="D822" i="3"/>
  <c r="F822" i="3"/>
  <c r="G822" i="3"/>
  <c r="C823" i="3"/>
  <c r="D823" i="3"/>
  <c r="F823" i="3"/>
  <c r="G823" i="3"/>
  <c r="C824" i="3"/>
  <c r="D824" i="3"/>
  <c r="F824" i="3"/>
  <c r="G824" i="3"/>
  <c r="C825" i="3"/>
  <c r="D825" i="3"/>
  <c r="F825" i="3"/>
  <c r="G825" i="3"/>
  <c r="C826" i="3"/>
  <c r="D826" i="3"/>
  <c r="F826" i="3"/>
  <c r="G826" i="3"/>
  <c r="C827" i="3"/>
  <c r="D827" i="3"/>
  <c r="F827" i="3"/>
  <c r="G827" i="3"/>
  <c r="C828" i="3"/>
  <c r="D828" i="3"/>
  <c r="F828" i="3"/>
  <c r="G828" i="3"/>
  <c r="C829" i="3"/>
  <c r="D829" i="3"/>
  <c r="F829" i="3"/>
  <c r="G829" i="3"/>
  <c r="C830" i="3"/>
  <c r="D830" i="3"/>
  <c r="F830" i="3"/>
  <c r="G830" i="3"/>
  <c r="C831" i="3"/>
  <c r="D831" i="3"/>
  <c r="F831" i="3"/>
  <c r="G831" i="3"/>
  <c r="C832" i="3"/>
  <c r="D832" i="3"/>
  <c r="F832" i="3"/>
  <c r="G832" i="3"/>
  <c r="C833" i="3"/>
  <c r="D833" i="3"/>
  <c r="F833" i="3"/>
  <c r="G833" i="3"/>
  <c r="C834" i="3"/>
  <c r="D834" i="3"/>
  <c r="F834" i="3"/>
  <c r="G834" i="3"/>
  <c r="C835" i="3"/>
  <c r="D835" i="3"/>
  <c r="F835" i="3"/>
  <c r="G835" i="3"/>
  <c r="C836" i="3"/>
  <c r="D836" i="3"/>
  <c r="F836" i="3"/>
  <c r="G836" i="3"/>
  <c r="C837" i="3"/>
  <c r="D837" i="3"/>
  <c r="F837" i="3"/>
  <c r="G837" i="3"/>
  <c r="C838" i="3"/>
  <c r="D838" i="3"/>
  <c r="F838" i="3"/>
  <c r="G838" i="3"/>
  <c r="C839" i="3"/>
  <c r="D839" i="3"/>
  <c r="F839" i="3"/>
  <c r="G839" i="3"/>
  <c r="C840" i="3"/>
  <c r="D840" i="3"/>
  <c r="F840" i="3"/>
  <c r="G840" i="3"/>
  <c r="C841" i="3"/>
  <c r="D841" i="3"/>
  <c r="F841" i="3"/>
  <c r="G841" i="3"/>
  <c r="C842" i="3"/>
  <c r="D842" i="3"/>
  <c r="F842" i="3"/>
  <c r="G842" i="3"/>
  <c r="C843" i="3"/>
  <c r="D843" i="3"/>
  <c r="F843" i="3"/>
  <c r="G843" i="3"/>
  <c r="C844" i="3"/>
  <c r="D844" i="3"/>
  <c r="F844" i="3"/>
  <c r="G844" i="3"/>
  <c r="C845" i="3"/>
  <c r="D845" i="3"/>
  <c r="F845" i="3"/>
  <c r="G845" i="3"/>
  <c r="C846" i="3"/>
  <c r="D846" i="3"/>
  <c r="F846" i="3"/>
  <c r="G846" i="3"/>
  <c r="C847" i="3"/>
  <c r="D847" i="3"/>
  <c r="F847" i="3"/>
  <c r="G847" i="3"/>
  <c r="C848" i="3"/>
  <c r="D848" i="3"/>
  <c r="F848" i="3"/>
  <c r="G848" i="3"/>
  <c r="C849" i="3"/>
  <c r="D849" i="3"/>
  <c r="F849" i="3"/>
  <c r="G849" i="3"/>
  <c r="C850" i="3"/>
  <c r="D850" i="3"/>
  <c r="F850" i="3"/>
  <c r="G850" i="3"/>
  <c r="C851" i="3"/>
  <c r="D851" i="3"/>
  <c r="F851" i="3"/>
  <c r="G851" i="3"/>
  <c r="C852" i="3"/>
  <c r="D852" i="3"/>
  <c r="F852" i="3"/>
  <c r="G852" i="3"/>
  <c r="C853" i="3"/>
  <c r="D853" i="3"/>
  <c r="F853" i="3"/>
  <c r="G853" i="3"/>
  <c r="C854" i="3"/>
  <c r="D854" i="3"/>
  <c r="F854" i="3"/>
  <c r="G854" i="3"/>
  <c r="C855" i="3"/>
  <c r="D855" i="3"/>
  <c r="F855" i="3"/>
  <c r="G855" i="3"/>
  <c r="C856" i="3"/>
  <c r="D856" i="3"/>
  <c r="F856" i="3"/>
  <c r="G856" i="3"/>
  <c r="C857" i="3"/>
  <c r="D857" i="3"/>
  <c r="F857" i="3"/>
  <c r="G857" i="3"/>
  <c r="C858" i="3"/>
  <c r="D858" i="3"/>
  <c r="F858" i="3"/>
  <c r="G858" i="3"/>
  <c r="C859" i="3"/>
  <c r="D859" i="3"/>
  <c r="F859" i="3"/>
  <c r="G859" i="3"/>
  <c r="C860" i="3"/>
  <c r="D860" i="3"/>
  <c r="F860" i="3"/>
  <c r="G860" i="3"/>
  <c r="C861" i="3"/>
  <c r="D861" i="3"/>
  <c r="F861" i="3"/>
  <c r="G861" i="3"/>
  <c r="C862" i="3"/>
  <c r="D862" i="3"/>
  <c r="F862" i="3"/>
  <c r="G862" i="3"/>
  <c r="C863" i="3"/>
  <c r="D863" i="3"/>
  <c r="F863" i="3"/>
  <c r="G863" i="3"/>
  <c r="C864" i="3"/>
  <c r="D864" i="3"/>
  <c r="F864" i="3"/>
  <c r="G864" i="3"/>
  <c r="C865" i="3"/>
  <c r="D865" i="3"/>
  <c r="F865" i="3"/>
  <c r="G865" i="3"/>
  <c r="C866" i="3"/>
  <c r="D866" i="3"/>
  <c r="F866" i="3"/>
  <c r="G866" i="3"/>
  <c r="C867" i="3"/>
  <c r="D867" i="3"/>
  <c r="F867" i="3"/>
  <c r="G867" i="3"/>
  <c r="C868" i="3"/>
  <c r="D868" i="3"/>
  <c r="F868" i="3"/>
  <c r="G868" i="3"/>
  <c r="C869" i="3"/>
  <c r="D869" i="3"/>
  <c r="F869" i="3"/>
  <c r="G869" i="3"/>
  <c r="C870" i="3"/>
  <c r="D870" i="3"/>
  <c r="F870" i="3"/>
  <c r="G870" i="3"/>
  <c r="C871" i="3"/>
  <c r="D871" i="3"/>
  <c r="F871" i="3"/>
  <c r="G871" i="3"/>
  <c r="C872" i="3"/>
  <c r="D872" i="3"/>
  <c r="F872" i="3"/>
  <c r="G872" i="3"/>
  <c r="C873" i="3"/>
  <c r="D873" i="3"/>
  <c r="F873" i="3"/>
  <c r="G873" i="3"/>
  <c r="C874" i="3"/>
  <c r="D874" i="3"/>
  <c r="F874" i="3"/>
  <c r="G874" i="3"/>
  <c r="C875" i="3"/>
  <c r="D875" i="3"/>
  <c r="F875" i="3"/>
  <c r="G875" i="3"/>
  <c r="C876" i="3"/>
  <c r="D876" i="3"/>
  <c r="F876" i="3"/>
  <c r="G876" i="3"/>
  <c r="C877" i="3"/>
  <c r="D877" i="3"/>
  <c r="F877" i="3"/>
  <c r="G877" i="3"/>
  <c r="C878" i="3"/>
  <c r="D878" i="3"/>
  <c r="F878" i="3"/>
  <c r="G878" i="3"/>
  <c r="C879" i="3"/>
  <c r="D879" i="3"/>
  <c r="F879" i="3"/>
  <c r="G879" i="3"/>
  <c r="C880" i="3"/>
  <c r="D880" i="3"/>
  <c r="F880" i="3"/>
  <c r="G880" i="3"/>
  <c r="C881" i="3"/>
  <c r="D881" i="3"/>
  <c r="F881" i="3"/>
  <c r="G881" i="3"/>
  <c r="C882" i="3"/>
  <c r="D882" i="3"/>
  <c r="F882" i="3"/>
  <c r="G882" i="3"/>
  <c r="C883" i="3"/>
  <c r="D883" i="3"/>
  <c r="F883" i="3"/>
  <c r="G883" i="3"/>
  <c r="C884" i="3"/>
  <c r="D884" i="3"/>
  <c r="F884" i="3"/>
  <c r="G884" i="3"/>
  <c r="C885" i="3"/>
  <c r="D885" i="3"/>
  <c r="F885" i="3"/>
  <c r="G885" i="3"/>
  <c r="C886" i="3"/>
  <c r="D886" i="3"/>
  <c r="F886" i="3"/>
  <c r="G886" i="3"/>
  <c r="C887" i="3"/>
  <c r="D887" i="3"/>
  <c r="F887" i="3"/>
  <c r="G887" i="3"/>
  <c r="C888" i="3"/>
  <c r="D888" i="3"/>
  <c r="F888" i="3"/>
  <c r="G888" i="3"/>
  <c r="C889" i="3"/>
  <c r="D889" i="3"/>
  <c r="F889" i="3"/>
  <c r="G889" i="3"/>
  <c r="C890" i="3"/>
  <c r="D890" i="3"/>
  <c r="F890" i="3"/>
  <c r="G890" i="3"/>
  <c r="C891" i="3"/>
  <c r="D891" i="3"/>
  <c r="F891" i="3"/>
  <c r="G891" i="3"/>
  <c r="C892" i="3"/>
  <c r="D892" i="3"/>
  <c r="F892" i="3"/>
  <c r="G892" i="3"/>
  <c r="C893" i="3"/>
  <c r="D893" i="3"/>
  <c r="F893" i="3"/>
  <c r="G893" i="3"/>
  <c r="C894" i="3"/>
  <c r="D894" i="3"/>
  <c r="F894" i="3"/>
  <c r="G894" i="3"/>
  <c r="C895" i="3"/>
  <c r="D895" i="3"/>
  <c r="F895" i="3"/>
  <c r="G895" i="3"/>
  <c r="C896" i="3"/>
  <c r="D896" i="3"/>
  <c r="F896" i="3"/>
  <c r="G896" i="3"/>
  <c r="C897" i="3"/>
  <c r="D897" i="3"/>
  <c r="F897" i="3"/>
  <c r="G897" i="3"/>
  <c r="C898" i="3"/>
  <c r="D898" i="3"/>
  <c r="F898" i="3"/>
  <c r="G898" i="3"/>
  <c r="C899" i="3"/>
  <c r="D899" i="3"/>
  <c r="F899" i="3"/>
  <c r="G899" i="3"/>
  <c r="C900" i="3"/>
  <c r="D900" i="3"/>
  <c r="F900" i="3"/>
  <c r="G900" i="3"/>
  <c r="C901" i="3"/>
  <c r="D901" i="3"/>
  <c r="F901" i="3"/>
  <c r="G901" i="3"/>
  <c r="C902" i="3"/>
  <c r="D902" i="3"/>
  <c r="F902" i="3"/>
  <c r="G902" i="3"/>
  <c r="C903" i="3"/>
  <c r="D903" i="3"/>
  <c r="F903" i="3"/>
  <c r="G903" i="3"/>
  <c r="C904" i="3"/>
  <c r="D904" i="3"/>
  <c r="F904" i="3"/>
  <c r="G904" i="3"/>
  <c r="C905" i="3"/>
  <c r="D905" i="3"/>
  <c r="F905" i="3"/>
  <c r="G905" i="3"/>
  <c r="C906" i="3"/>
  <c r="D906" i="3"/>
  <c r="F906" i="3"/>
  <c r="G906" i="3"/>
  <c r="C907" i="3"/>
  <c r="D907" i="3"/>
  <c r="F907" i="3"/>
  <c r="G907" i="3"/>
  <c r="C908" i="3"/>
  <c r="D908" i="3"/>
  <c r="F908" i="3"/>
  <c r="G908" i="3"/>
  <c r="C909" i="3"/>
  <c r="D909" i="3"/>
  <c r="F909" i="3"/>
  <c r="G909" i="3"/>
  <c r="C910" i="3"/>
  <c r="D910" i="3"/>
  <c r="F910" i="3"/>
  <c r="G910" i="3"/>
  <c r="C911" i="3"/>
  <c r="D911" i="3"/>
  <c r="F911" i="3"/>
  <c r="G911" i="3"/>
  <c r="C912" i="3"/>
  <c r="D912" i="3"/>
  <c r="F912" i="3"/>
  <c r="G912" i="3"/>
  <c r="C913" i="3"/>
  <c r="D913" i="3"/>
  <c r="F913" i="3"/>
  <c r="G913" i="3"/>
  <c r="C914" i="3"/>
  <c r="D914" i="3"/>
  <c r="F914" i="3"/>
  <c r="G914" i="3"/>
  <c r="C915" i="3"/>
  <c r="D915" i="3"/>
  <c r="F915" i="3"/>
  <c r="G915" i="3"/>
  <c r="C916" i="3"/>
  <c r="D916" i="3"/>
  <c r="F916" i="3"/>
  <c r="G916" i="3"/>
  <c r="C917" i="3"/>
  <c r="D917" i="3"/>
  <c r="F917" i="3"/>
  <c r="G917" i="3"/>
  <c r="C918" i="3"/>
  <c r="D918" i="3"/>
  <c r="F918" i="3"/>
  <c r="G918" i="3"/>
  <c r="C919" i="3"/>
  <c r="D919" i="3"/>
  <c r="F919" i="3"/>
  <c r="G919" i="3"/>
  <c r="C920" i="3"/>
  <c r="D920" i="3"/>
  <c r="F920" i="3"/>
  <c r="G920" i="3"/>
  <c r="C921" i="3"/>
  <c r="D921" i="3"/>
  <c r="F921" i="3"/>
  <c r="G921" i="3"/>
  <c r="C922" i="3"/>
  <c r="D922" i="3"/>
  <c r="F922" i="3"/>
  <c r="G922" i="3"/>
  <c r="C923" i="3"/>
  <c r="D923" i="3"/>
  <c r="F923" i="3"/>
  <c r="G923" i="3"/>
  <c r="C924" i="3"/>
  <c r="D924" i="3"/>
  <c r="F924" i="3"/>
  <c r="G924" i="3"/>
  <c r="C925" i="3"/>
  <c r="D925" i="3"/>
  <c r="F925" i="3"/>
  <c r="G925" i="3"/>
  <c r="C926" i="3"/>
  <c r="D926" i="3"/>
  <c r="F926" i="3"/>
  <c r="G926" i="3"/>
  <c r="C927" i="3"/>
  <c r="D927" i="3"/>
  <c r="F927" i="3"/>
  <c r="G927" i="3"/>
  <c r="C928" i="3"/>
  <c r="D928" i="3"/>
  <c r="F928" i="3"/>
  <c r="G928" i="3"/>
  <c r="C929" i="3"/>
  <c r="D929" i="3"/>
  <c r="F929" i="3"/>
  <c r="G929" i="3"/>
  <c r="C930" i="3"/>
  <c r="D930" i="3"/>
  <c r="F930" i="3"/>
  <c r="G930" i="3"/>
  <c r="C931" i="3"/>
  <c r="D931" i="3"/>
  <c r="F931" i="3"/>
  <c r="G931" i="3"/>
  <c r="C932" i="3"/>
  <c r="D932" i="3"/>
  <c r="F932" i="3"/>
  <c r="G932" i="3"/>
  <c r="C933" i="3"/>
  <c r="D933" i="3"/>
  <c r="F933" i="3"/>
  <c r="G933" i="3"/>
  <c r="C934" i="3"/>
  <c r="D934" i="3"/>
  <c r="F934" i="3"/>
  <c r="G934" i="3"/>
  <c r="C935" i="3"/>
  <c r="D935" i="3"/>
  <c r="F935" i="3"/>
  <c r="G935" i="3"/>
  <c r="C936" i="3"/>
  <c r="D936" i="3"/>
  <c r="F936" i="3"/>
  <c r="G936" i="3"/>
  <c r="C937" i="3"/>
  <c r="D937" i="3"/>
  <c r="F937" i="3"/>
  <c r="G937" i="3"/>
  <c r="C938" i="3"/>
  <c r="D938" i="3"/>
  <c r="F938" i="3"/>
  <c r="G938" i="3"/>
  <c r="C939" i="3"/>
  <c r="D939" i="3"/>
  <c r="F939" i="3"/>
  <c r="G939" i="3"/>
  <c r="C940" i="3"/>
  <c r="D940" i="3"/>
  <c r="F940" i="3"/>
  <c r="G940" i="3"/>
  <c r="C941" i="3"/>
  <c r="D941" i="3"/>
  <c r="F941" i="3"/>
  <c r="G941" i="3"/>
  <c r="C942" i="3"/>
  <c r="D942" i="3"/>
  <c r="F942" i="3"/>
  <c r="G942" i="3"/>
  <c r="C943" i="3"/>
  <c r="D943" i="3"/>
  <c r="F943" i="3"/>
  <c r="G943" i="3"/>
  <c r="C944" i="3"/>
  <c r="D944" i="3"/>
  <c r="F944" i="3"/>
  <c r="G944" i="3"/>
  <c r="C945" i="3"/>
  <c r="D945" i="3"/>
  <c r="F945" i="3"/>
  <c r="G945" i="3"/>
  <c r="C946" i="3"/>
  <c r="D946" i="3"/>
  <c r="F946" i="3"/>
  <c r="G946" i="3"/>
  <c r="C947" i="3"/>
  <c r="D947" i="3"/>
  <c r="F947" i="3"/>
  <c r="G947" i="3"/>
  <c r="C948" i="3"/>
  <c r="D948" i="3"/>
  <c r="F948" i="3"/>
  <c r="G948" i="3"/>
  <c r="C949" i="3"/>
  <c r="D949" i="3"/>
  <c r="F949" i="3"/>
  <c r="G949" i="3"/>
  <c r="C950" i="3"/>
  <c r="D950" i="3"/>
  <c r="F950" i="3"/>
  <c r="G950" i="3"/>
  <c r="C951" i="3"/>
  <c r="D951" i="3"/>
  <c r="F951" i="3"/>
  <c r="G951" i="3"/>
  <c r="C952" i="3"/>
  <c r="D952" i="3"/>
  <c r="F952" i="3"/>
  <c r="G952" i="3"/>
  <c r="C953" i="3"/>
  <c r="D953" i="3"/>
  <c r="F953" i="3"/>
  <c r="G953" i="3"/>
  <c r="C954" i="3"/>
  <c r="D954" i="3"/>
  <c r="F954" i="3"/>
  <c r="G954" i="3"/>
  <c r="C955" i="3"/>
  <c r="D955" i="3"/>
  <c r="F955" i="3"/>
  <c r="G955" i="3"/>
  <c r="C956" i="3"/>
  <c r="D956" i="3"/>
  <c r="F956" i="3"/>
  <c r="G956" i="3"/>
  <c r="C957" i="3"/>
  <c r="D957" i="3"/>
  <c r="F957" i="3"/>
  <c r="G957" i="3"/>
  <c r="C958" i="3"/>
  <c r="D958" i="3"/>
  <c r="F958" i="3"/>
  <c r="G958" i="3"/>
  <c r="C959" i="3"/>
  <c r="D959" i="3"/>
  <c r="F959" i="3"/>
  <c r="G959" i="3"/>
  <c r="C960" i="3"/>
  <c r="D960" i="3"/>
  <c r="F960" i="3"/>
  <c r="G960" i="3"/>
  <c r="C961" i="3"/>
  <c r="D961" i="3"/>
  <c r="F961" i="3"/>
  <c r="G961" i="3"/>
  <c r="C962" i="3"/>
  <c r="D962" i="3"/>
  <c r="F962" i="3"/>
  <c r="G962" i="3"/>
  <c r="C963" i="3"/>
  <c r="D963" i="3"/>
  <c r="F963" i="3"/>
  <c r="G963" i="3"/>
  <c r="C964" i="3"/>
  <c r="D964" i="3"/>
  <c r="F964" i="3"/>
  <c r="G964" i="3"/>
  <c r="C965" i="3"/>
  <c r="D965" i="3"/>
  <c r="F965" i="3"/>
  <c r="G965" i="3"/>
  <c r="C966" i="3"/>
  <c r="D966" i="3"/>
  <c r="F966" i="3"/>
  <c r="G966" i="3"/>
  <c r="C967" i="3"/>
  <c r="D967" i="3"/>
  <c r="F967" i="3"/>
  <c r="G967" i="3"/>
  <c r="C968" i="3"/>
  <c r="D968" i="3"/>
  <c r="F968" i="3"/>
  <c r="G968" i="3"/>
  <c r="C969" i="3"/>
  <c r="D969" i="3"/>
  <c r="F969" i="3"/>
  <c r="G969" i="3"/>
  <c r="C970" i="3"/>
  <c r="D970" i="3"/>
  <c r="F970" i="3"/>
  <c r="G970" i="3"/>
  <c r="C971" i="3"/>
  <c r="D971" i="3"/>
  <c r="F971" i="3"/>
  <c r="G971" i="3"/>
  <c r="C972" i="3"/>
  <c r="D972" i="3"/>
  <c r="F972" i="3"/>
  <c r="G972" i="3"/>
  <c r="C973" i="3"/>
  <c r="D973" i="3"/>
  <c r="F973" i="3"/>
  <c r="G973" i="3"/>
  <c r="C974" i="3"/>
  <c r="D974" i="3"/>
  <c r="F974" i="3"/>
  <c r="G974" i="3"/>
  <c r="C975" i="3"/>
  <c r="D975" i="3"/>
  <c r="F975" i="3"/>
  <c r="G975" i="3"/>
  <c r="C976" i="3"/>
  <c r="D976" i="3"/>
  <c r="F976" i="3"/>
  <c r="G976" i="3"/>
  <c r="C977" i="3"/>
  <c r="D977" i="3"/>
  <c r="F977" i="3"/>
  <c r="G977" i="3"/>
  <c r="C978" i="3"/>
  <c r="D978" i="3"/>
  <c r="F978" i="3"/>
  <c r="G978" i="3"/>
  <c r="C979" i="3"/>
  <c r="D979" i="3"/>
  <c r="F979" i="3"/>
  <c r="G979" i="3"/>
  <c r="C980" i="3"/>
  <c r="D980" i="3"/>
  <c r="F980" i="3"/>
  <c r="G980" i="3"/>
  <c r="C981" i="3"/>
  <c r="D981" i="3"/>
  <c r="F981" i="3"/>
  <c r="G981" i="3"/>
  <c r="C982" i="3"/>
  <c r="D982" i="3"/>
  <c r="F982" i="3"/>
  <c r="G982" i="3"/>
  <c r="C983" i="3"/>
  <c r="D983" i="3"/>
  <c r="F983" i="3"/>
  <c r="G983" i="3"/>
  <c r="C984" i="3"/>
  <c r="D984" i="3"/>
  <c r="F984" i="3"/>
  <c r="G984" i="3"/>
  <c r="C985" i="3"/>
  <c r="D985" i="3"/>
  <c r="F985" i="3"/>
  <c r="G985" i="3"/>
  <c r="C986" i="3"/>
  <c r="D986" i="3"/>
  <c r="F986" i="3"/>
  <c r="G986" i="3"/>
  <c r="C987" i="3"/>
  <c r="D987" i="3"/>
  <c r="F987" i="3"/>
  <c r="G987" i="3"/>
  <c r="C988" i="3"/>
  <c r="D988" i="3"/>
  <c r="F988" i="3"/>
  <c r="G988" i="3"/>
  <c r="C989" i="3"/>
  <c r="D989" i="3"/>
  <c r="F989" i="3"/>
  <c r="G989" i="3"/>
  <c r="C990" i="3"/>
  <c r="D990" i="3"/>
  <c r="F990" i="3"/>
  <c r="G990" i="3"/>
  <c r="C991" i="3"/>
  <c r="D991" i="3"/>
  <c r="F991" i="3"/>
  <c r="G991" i="3"/>
  <c r="C992" i="3"/>
  <c r="D992" i="3"/>
  <c r="F992" i="3"/>
  <c r="G992" i="3"/>
  <c r="C993" i="3"/>
  <c r="D993" i="3"/>
  <c r="F993" i="3"/>
  <c r="G993" i="3"/>
  <c r="C994" i="3"/>
  <c r="D994" i="3"/>
  <c r="F994" i="3"/>
  <c r="G994" i="3"/>
  <c r="C995" i="3"/>
  <c r="D995" i="3"/>
  <c r="F995" i="3"/>
  <c r="G995" i="3"/>
  <c r="C996" i="3"/>
  <c r="D996" i="3"/>
  <c r="F996" i="3"/>
  <c r="G996" i="3"/>
  <c r="C997" i="3"/>
  <c r="D997" i="3"/>
  <c r="F997" i="3"/>
  <c r="G997" i="3"/>
  <c r="C998" i="3"/>
  <c r="D998" i="3"/>
  <c r="F998" i="3"/>
  <c r="G998" i="3"/>
  <c r="C999" i="3"/>
  <c r="D999" i="3"/>
  <c r="F999" i="3"/>
  <c r="G999" i="3"/>
  <c r="C1000" i="3"/>
  <c r="D1000" i="3"/>
  <c r="F1000" i="3"/>
  <c r="G1000" i="3"/>
  <c r="C1001" i="3"/>
  <c r="D1001" i="3"/>
  <c r="F1001" i="3"/>
  <c r="G1001" i="3"/>
  <c r="C1002" i="3"/>
  <c r="D1002" i="3"/>
  <c r="F1002" i="3"/>
  <c r="G1002" i="3"/>
  <c r="C1003" i="3"/>
  <c r="D1003" i="3"/>
  <c r="F1003" i="3"/>
  <c r="G1003" i="3"/>
  <c r="C1004" i="3"/>
  <c r="D1004" i="3"/>
  <c r="F1004" i="3"/>
  <c r="G1004" i="3"/>
  <c r="C1005" i="3"/>
  <c r="D1005" i="3"/>
  <c r="F1005" i="3"/>
  <c r="G1005" i="3"/>
  <c r="C1006" i="3"/>
  <c r="D1006" i="3"/>
  <c r="F1006" i="3"/>
  <c r="G1006" i="3"/>
  <c r="C1007" i="3"/>
  <c r="D1007" i="3"/>
  <c r="F1007" i="3"/>
  <c r="G1007" i="3"/>
  <c r="C1008" i="3"/>
  <c r="D1008" i="3"/>
  <c r="F1008" i="3"/>
  <c r="G1008" i="3"/>
  <c r="C1009" i="3"/>
  <c r="D1009" i="3"/>
  <c r="F1009" i="3"/>
  <c r="G1009" i="3"/>
  <c r="C1010" i="3"/>
  <c r="D1010" i="3"/>
  <c r="F1010" i="3"/>
  <c r="G1010" i="3"/>
  <c r="C1011" i="3"/>
  <c r="D1011" i="3"/>
  <c r="F1011" i="3"/>
  <c r="G1011" i="3"/>
  <c r="C1012" i="3"/>
  <c r="D1012" i="3"/>
  <c r="F1012" i="3"/>
  <c r="G1012" i="3"/>
  <c r="C1013" i="3"/>
  <c r="D1013" i="3"/>
  <c r="F1013" i="3"/>
  <c r="G1013" i="3"/>
  <c r="C1014" i="3"/>
  <c r="D1014" i="3"/>
  <c r="F1014" i="3"/>
  <c r="G1014" i="3"/>
  <c r="C1015" i="3"/>
  <c r="D1015" i="3"/>
  <c r="F1015" i="3"/>
  <c r="G1015" i="3"/>
  <c r="C1016" i="3"/>
  <c r="D1016" i="3"/>
  <c r="F1016" i="3"/>
  <c r="G1016" i="3"/>
  <c r="C1017" i="3"/>
  <c r="D1017" i="3"/>
  <c r="F1017" i="3"/>
  <c r="G1017" i="3"/>
  <c r="C1018" i="3"/>
  <c r="D1018" i="3"/>
  <c r="F1018" i="3"/>
  <c r="G1018" i="3"/>
  <c r="C1019" i="3"/>
  <c r="D1019" i="3"/>
  <c r="F1019" i="3"/>
  <c r="G1019" i="3"/>
  <c r="C1020" i="3"/>
  <c r="D1020" i="3"/>
  <c r="F1020" i="3"/>
  <c r="G1020" i="3"/>
  <c r="C1021" i="3"/>
  <c r="D1021" i="3"/>
  <c r="F1021" i="3"/>
  <c r="G1021" i="3"/>
  <c r="C1022" i="3"/>
  <c r="D1022" i="3"/>
  <c r="F1022" i="3"/>
  <c r="G1022" i="3"/>
  <c r="C1023" i="3"/>
  <c r="D1023" i="3"/>
  <c r="F1023" i="3"/>
  <c r="G1023" i="3"/>
  <c r="C1024" i="3"/>
  <c r="D1024" i="3"/>
  <c r="F1024" i="3"/>
  <c r="G1024" i="3"/>
  <c r="C1025" i="3"/>
  <c r="D1025" i="3"/>
  <c r="F1025" i="3"/>
  <c r="G1025" i="3"/>
  <c r="C1026" i="3"/>
  <c r="D1026" i="3"/>
  <c r="F1026" i="3"/>
  <c r="G1026" i="3"/>
  <c r="C1027" i="3"/>
  <c r="D1027" i="3"/>
  <c r="F1027" i="3"/>
  <c r="G1027" i="3"/>
  <c r="C1028" i="3"/>
  <c r="D1028" i="3"/>
  <c r="F1028" i="3"/>
  <c r="G1028" i="3"/>
  <c r="C1029" i="3"/>
  <c r="D1029" i="3"/>
  <c r="F1029" i="3"/>
  <c r="G1029" i="3"/>
  <c r="C1030" i="3"/>
  <c r="D1030" i="3"/>
  <c r="F1030" i="3"/>
  <c r="G1030" i="3"/>
  <c r="C1031" i="3"/>
  <c r="D1031" i="3"/>
  <c r="F1031" i="3"/>
  <c r="G1031" i="3"/>
  <c r="C1032" i="3"/>
  <c r="D1032" i="3"/>
  <c r="F1032" i="3"/>
  <c r="G1032" i="3"/>
  <c r="C1033" i="3"/>
  <c r="D1033" i="3"/>
  <c r="F1033" i="3"/>
  <c r="G1033" i="3"/>
  <c r="C1034" i="3"/>
  <c r="D1034" i="3"/>
  <c r="F1034" i="3"/>
  <c r="G1034" i="3"/>
  <c r="C1035" i="3"/>
  <c r="D1035" i="3"/>
  <c r="F1035" i="3"/>
  <c r="G1035" i="3"/>
  <c r="C1036" i="3"/>
  <c r="D1036" i="3"/>
  <c r="F1036" i="3"/>
  <c r="G1036" i="3"/>
  <c r="C1037" i="3"/>
  <c r="D1037" i="3"/>
  <c r="F1037" i="3"/>
  <c r="G1037" i="3"/>
  <c r="C1038" i="3"/>
  <c r="D1038" i="3"/>
  <c r="F1038" i="3"/>
  <c r="G1038" i="3"/>
  <c r="C1039" i="3"/>
  <c r="D1039" i="3"/>
  <c r="F1039" i="3"/>
  <c r="G1039" i="3"/>
  <c r="C1040" i="3"/>
  <c r="D1040" i="3"/>
  <c r="F1040" i="3"/>
  <c r="G1040" i="3"/>
  <c r="C1041" i="3"/>
  <c r="D1041" i="3"/>
  <c r="F1041" i="3"/>
  <c r="G1041" i="3"/>
  <c r="C1042" i="3"/>
  <c r="D1042" i="3"/>
  <c r="F1042" i="3"/>
  <c r="G1042" i="3"/>
  <c r="C1043" i="3"/>
  <c r="D1043" i="3"/>
  <c r="F1043" i="3"/>
  <c r="G1043" i="3"/>
  <c r="C1044" i="3"/>
  <c r="D1044" i="3"/>
  <c r="F1044" i="3"/>
  <c r="G1044" i="3"/>
  <c r="C1045" i="3"/>
  <c r="D1045" i="3"/>
  <c r="F1045" i="3"/>
  <c r="G1045" i="3"/>
  <c r="C1046" i="3"/>
  <c r="D1046" i="3"/>
  <c r="F1046" i="3"/>
  <c r="G1046" i="3"/>
  <c r="C1047" i="3"/>
  <c r="D1047" i="3"/>
  <c r="F1047" i="3"/>
  <c r="G1047" i="3"/>
  <c r="C1048" i="3"/>
  <c r="D1048" i="3"/>
  <c r="F1048" i="3"/>
  <c r="G1048" i="3"/>
  <c r="C1049" i="3"/>
  <c r="D1049" i="3"/>
  <c r="F1049" i="3"/>
  <c r="G1049" i="3"/>
  <c r="C1050" i="3"/>
  <c r="D1050" i="3"/>
  <c r="F1050" i="3"/>
  <c r="G1050" i="3"/>
  <c r="C1051" i="3"/>
  <c r="D1051" i="3"/>
  <c r="F1051" i="3"/>
  <c r="G1051" i="3"/>
  <c r="C1052" i="3"/>
  <c r="D1052" i="3"/>
  <c r="F1052" i="3"/>
  <c r="G1052" i="3"/>
  <c r="C1053" i="3"/>
  <c r="D1053" i="3"/>
  <c r="F1053" i="3"/>
  <c r="G1053" i="3"/>
  <c r="C1054" i="3"/>
  <c r="D1054" i="3"/>
  <c r="F1054" i="3"/>
  <c r="G1054" i="3"/>
  <c r="C1055" i="3"/>
  <c r="D1055" i="3"/>
  <c r="F1055" i="3"/>
  <c r="G1055" i="3"/>
  <c r="C1056" i="3"/>
  <c r="D1056" i="3"/>
  <c r="F1056" i="3"/>
  <c r="G1056" i="3"/>
  <c r="C1057" i="3"/>
  <c r="D1057" i="3"/>
  <c r="F1057" i="3"/>
  <c r="G1057" i="3"/>
  <c r="C1058" i="3"/>
  <c r="D1058" i="3"/>
  <c r="F1058" i="3"/>
  <c r="G1058" i="3"/>
  <c r="C1059" i="3"/>
  <c r="D1059" i="3"/>
  <c r="F1059" i="3"/>
  <c r="G1059" i="3"/>
  <c r="C1060" i="3"/>
  <c r="D1060" i="3"/>
  <c r="F1060" i="3"/>
  <c r="G1060" i="3"/>
  <c r="C1061" i="3"/>
  <c r="D1061" i="3"/>
  <c r="F1061" i="3"/>
  <c r="G1061" i="3"/>
  <c r="C1062" i="3"/>
  <c r="D1062" i="3"/>
  <c r="F1062" i="3"/>
  <c r="G1062" i="3"/>
  <c r="C1063" i="3"/>
  <c r="D1063" i="3"/>
  <c r="F1063" i="3"/>
  <c r="G1063" i="3"/>
  <c r="C1064" i="3"/>
  <c r="D1064" i="3"/>
  <c r="F1064" i="3"/>
  <c r="G1064" i="3"/>
  <c r="C1065" i="3"/>
  <c r="D1065" i="3"/>
  <c r="F1065" i="3"/>
  <c r="G1065" i="3"/>
  <c r="C1066" i="3"/>
  <c r="D1066" i="3"/>
  <c r="F1066" i="3"/>
  <c r="G1066" i="3"/>
  <c r="C1067" i="3"/>
  <c r="D1067" i="3"/>
  <c r="F1067" i="3"/>
  <c r="G1067" i="3"/>
  <c r="C1068" i="3"/>
  <c r="D1068" i="3"/>
  <c r="F1068" i="3"/>
  <c r="G1068" i="3"/>
  <c r="C1069" i="3"/>
  <c r="D1069" i="3"/>
  <c r="F1069" i="3"/>
  <c r="G1069" i="3"/>
  <c r="C1070" i="3"/>
  <c r="D1070" i="3"/>
  <c r="F1070" i="3"/>
  <c r="G1070" i="3"/>
  <c r="C1071" i="3"/>
  <c r="D1071" i="3"/>
  <c r="F1071" i="3"/>
  <c r="G1071" i="3"/>
  <c r="C1072" i="3"/>
  <c r="D1072" i="3"/>
  <c r="F1072" i="3"/>
  <c r="G1072" i="3"/>
  <c r="C1073" i="3"/>
  <c r="D1073" i="3"/>
  <c r="F1073" i="3"/>
  <c r="G1073" i="3"/>
  <c r="C1074" i="3"/>
  <c r="D1074" i="3"/>
  <c r="F1074" i="3"/>
  <c r="G1074" i="3"/>
  <c r="C1075" i="3"/>
  <c r="D1075" i="3"/>
  <c r="F1075" i="3"/>
  <c r="G1075" i="3"/>
  <c r="C1076" i="3"/>
  <c r="D1076" i="3"/>
  <c r="F1076" i="3"/>
  <c r="G1076" i="3"/>
  <c r="C1077" i="3"/>
  <c r="D1077" i="3"/>
  <c r="F1077" i="3"/>
  <c r="G1077" i="3"/>
  <c r="C1078" i="3"/>
  <c r="D1078" i="3"/>
  <c r="F1078" i="3"/>
  <c r="G1078" i="3"/>
  <c r="C1079" i="3"/>
  <c r="D1079" i="3"/>
  <c r="F1079" i="3"/>
  <c r="G1079" i="3"/>
  <c r="C1080" i="3"/>
  <c r="D1080" i="3"/>
  <c r="F1080" i="3"/>
  <c r="G1080" i="3"/>
  <c r="C1081" i="3"/>
  <c r="D1081" i="3"/>
  <c r="F1081" i="3"/>
  <c r="G1081" i="3"/>
  <c r="C1082" i="3"/>
  <c r="D1082" i="3"/>
  <c r="F1082" i="3"/>
  <c r="G1082" i="3"/>
  <c r="C1083" i="3"/>
  <c r="D1083" i="3"/>
  <c r="F1083" i="3"/>
  <c r="G1083" i="3"/>
  <c r="C1084" i="3"/>
  <c r="D1084" i="3"/>
  <c r="F1084" i="3"/>
  <c r="G1084" i="3"/>
  <c r="C1085" i="3"/>
  <c r="D1085" i="3"/>
  <c r="F1085" i="3"/>
  <c r="G1085" i="3"/>
  <c r="C1086" i="3"/>
  <c r="D1086" i="3"/>
  <c r="F1086" i="3"/>
  <c r="G1086" i="3"/>
  <c r="C1087" i="3"/>
  <c r="D1087" i="3"/>
  <c r="F1087" i="3"/>
  <c r="G1087" i="3"/>
  <c r="C1088" i="3"/>
  <c r="D1088" i="3"/>
  <c r="F1088" i="3"/>
  <c r="G1088" i="3"/>
  <c r="C1089" i="3"/>
  <c r="D1089" i="3"/>
  <c r="F1089" i="3"/>
  <c r="G1089" i="3"/>
  <c r="C1090" i="3"/>
  <c r="D1090" i="3"/>
  <c r="F1090" i="3"/>
  <c r="G1090" i="3"/>
  <c r="C1091" i="3"/>
  <c r="D1091" i="3"/>
  <c r="F1091" i="3"/>
  <c r="G1091" i="3"/>
  <c r="C1092" i="3"/>
  <c r="D1092" i="3"/>
  <c r="F1092" i="3"/>
  <c r="G1092" i="3"/>
  <c r="C1093" i="3"/>
  <c r="D1093" i="3"/>
  <c r="F1093" i="3"/>
  <c r="G1093" i="3"/>
  <c r="C1094" i="3"/>
  <c r="D1094" i="3"/>
  <c r="F1094" i="3"/>
  <c r="G1094" i="3"/>
  <c r="C1095" i="3"/>
  <c r="D1095" i="3"/>
  <c r="F1095" i="3"/>
  <c r="G1095" i="3"/>
  <c r="C1096" i="3"/>
  <c r="D1096" i="3"/>
  <c r="F1096" i="3"/>
  <c r="G1096" i="3"/>
  <c r="C1097" i="3"/>
  <c r="D1097" i="3"/>
  <c r="F1097" i="3"/>
  <c r="G1097" i="3"/>
  <c r="C1098" i="3"/>
  <c r="D1098" i="3"/>
  <c r="F1098" i="3"/>
  <c r="G1098" i="3"/>
  <c r="C1099" i="3"/>
  <c r="D1099" i="3"/>
  <c r="F1099" i="3"/>
  <c r="G1099" i="3"/>
  <c r="C1100" i="3"/>
  <c r="D1100" i="3"/>
  <c r="F1100" i="3"/>
  <c r="G1100" i="3"/>
  <c r="C1101" i="3"/>
  <c r="D1101" i="3"/>
  <c r="F1101" i="3"/>
  <c r="G1101" i="3"/>
  <c r="C1102" i="3"/>
  <c r="D1102" i="3"/>
  <c r="F1102" i="3"/>
  <c r="G1102" i="3"/>
  <c r="C1103" i="3"/>
  <c r="D1103" i="3"/>
  <c r="F1103" i="3"/>
  <c r="G1103" i="3"/>
  <c r="C1104" i="3"/>
  <c r="D1104" i="3"/>
  <c r="F1104" i="3"/>
  <c r="G1104" i="3"/>
  <c r="C1105" i="3"/>
  <c r="D1105" i="3"/>
  <c r="F1105" i="3"/>
  <c r="G1105" i="3"/>
  <c r="C1106" i="3"/>
  <c r="D1106" i="3"/>
  <c r="F1106" i="3"/>
  <c r="G1106" i="3"/>
  <c r="C1107" i="3"/>
  <c r="D1107" i="3"/>
  <c r="F1107" i="3"/>
  <c r="G1107" i="3"/>
  <c r="C1108" i="3"/>
  <c r="D1108" i="3"/>
  <c r="F1108" i="3"/>
  <c r="G1108" i="3"/>
  <c r="C1109" i="3"/>
  <c r="D1109" i="3"/>
  <c r="F1109" i="3"/>
  <c r="G1109" i="3"/>
  <c r="C1110" i="3"/>
  <c r="D1110" i="3"/>
  <c r="F1110" i="3"/>
  <c r="G1110" i="3"/>
  <c r="C1111" i="3"/>
  <c r="D1111" i="3"/>
  <c r="F1111" i="3"/>
  <c r="G1111" i="3"/>
  <c r="C1112" i="3"/>
  <c r="D1112" i="3"/>
  <c r="F1112" i="3"/>
  <c r="G1112" i="3"/>
  <c r="C1113" i="3"/>
  <c r="D1113" i="3"/>
  <c r="F1113" i="3"/>
  <c r="G1113" i="3"/>
  <c r="C1114" i="3"/>
  <c r="D1114" i="3"/>
  <c r="F1114" i="3"/>
  <c r="G1114" i="3"/>
  <c r="C1115" i="3"/>
  <c r="D1115" i="3"/>
  <c r="F1115" i="3"/>
  <c r="G1115" i="3"/>
  <c r="C1116" i="3"/>
  <c r="D1116" i="3"/>
  <c r="F1116" i="3"/>
  <c r="G1116" i="3"/>
  <c r="C1117" i="3"/>
  <c r="D1117" i="3"/>
  <c r="F1117" i="3"/>
  <c r="G1117" i="3"/>
  <c r="C1118" i="3"/>
  <c r="D1118" i="3"/>
  <c r="F1118" i="3"/>
  <c r="G1118" i="3"/>
  <c r="C1119" i="3"/>
  <c r="D1119" i="3"/>
  <c r="F1119" i="3"/>
  <c r="G1119" i="3"/>
  <c r="C1120" i="3"/>
  <c r="D1120" i="3"/>
  <c r="F1120" i="3"/>
  <c r="G1120" i="3"/>
  <c r="C1121" i="3"/>
  <c r="D1121" i="3"/>
  <c r="F1121" i="3"/>
  <c r="G1121" i="3"/>
  <c r="C1122" i="3"/>
  <c r="D1122" i="3"/>
  <c r="F1122" i="3"/>
  <c r="G1122" i="3"/>
  <c r="C1123" i="3"/>
  <c r="D1123" i="3"/>
  <c r="F1123" i="3"/>
  <c r="G1123" i="3"/>
  <c r="C1124" i="3"/>
  <c r="D1124" i="3"/>
  <c r="F1124" i="3"/>
  <c r="G1124" i="3"/>
  <c r="C1125" i="3"/>
  <c r="D1125" i="3"/>
  <c r="F1125" i="3"/>
  <c r="G1125" i="3"/>
  <c r="C1126" i="3"/>
  <c r="D1126" i="3"/>
  <c r="F1126" i="3"/>
  <c r="G1126" i="3"/>
  <c r="C1127" i="3"/>
  <c r="D1127" i="3"/>
  <c r="F1127" i="3"/>
  <c r="G1127" i="3"/>
  <c r="C1128" i="3"/>
  <c r="D1128" i="3"/>
  <c r="F1128" i="3"/>
  <c r="G1128" i="3"/>
  <c r="C1129" i="3"/>
  <c r="D1129" i="3"/>
  <c r="F1129" i="3"/>
  <c r="G1129" i="3"/>
  <c r="C1130" i="3"/>
  <c r="D1130" i="3"/>
  <c r="F1130" i="3"/>
  <c r="G1130" i="3"/>
  <c r="C1131" i="3"/>
  <c r="D1131" i="3"/>
  <c r="F1131" i="3"/>
  <c r="G1131" i="3"/>
  <c r="C1132" i="3"/>
  <c r="D1132" i="3"/>
  <c r="F1132" i="3"/>
  <c r="G1132" i="3"/>
  <c r="C1133" i="3"/>
  <c r="D1133" i="3"/>
  <c r="F1133" i="3"/>
  <c r="G1133" i="3"/>
  <c r="C1134" i="3"/>
  <c r="D1134" i="3"/>
  <c r="F1134" i="3"/>
  <c r="G1134" i="3"/>
  <c r="C1135" i="3"/>
  <c r="D1135" i="3"/>
  <c r="F1135" i="3"/>
  <c r="G1135" i="3"/>
  <c r="C1136" i="3"/>
  <c r="D1136" i="3"/>
  <c r="F1136" i="3"/>
  <c r="G1136" i="3"/>
  <c r="C1137" i="3"/>
  <c r="D1137" i="3"/>
  <c r="F1137" i="3"/>
  <c r="G1137" i="3"/>
  <c r="C1138" i="3"/>
  <c r="D1138" i="3"/>
  <c r="F1138" i="3"/>
  <c r="G1138" i="3"/>
  <c r="C1139" i="3"/>
  <c r="D1139" i="3"/>
  <c r="F1139" i="3"/>
  <c r="G1139" i="3"/>
  <c r="C1140" i="3"/>
  <c r="D1140" i="3"/>
  <c r="F1140" i="3"/>
  <c r="G1140" i="3"/>
  <c r="C1141" i="3"/>
  <c r="D1141" i="3"/>
  <c r="F1141" i="3"/>
  <c r="G1141" i="3"/>
  <c r="C1142" i="3"/>
  <c r="D1142" i="3"/>
  <c r="F1142" i="3"/>
  <c r="G1142" i="3"/>
  <c r="C1143" i="3"/>
  <c r="D1143" i="3"/>
  <c r="F1143" i="3"/>
  <c r="G1143" i="3"/>
  <c r="C1144" i="3"/>
  <c r="D1144" i="3"/>
  <c r="F1144" i="3"/>
  <c r="G1144" i="3"/>
  <c r="C1145" i="3"/>
  <c r="D1145" i="3"/>
  <c r="F1145" i="3"/>
  <c r="G1145" i="3"/>
  <c r="C1146" i="3"/>
  <c r="D1146" i="3"/>
  <c r="F1146" i="3"/>
  <c r="G1146" i="3"/>
  <c r="C1147" i="3"/>
  <c r="D1147" i="3"/>
  <c r="F1147" i="3"/>
  <c r="G1147" i="3"/>
  <c r="C1148" i="3"/>
  <c r="D1148" i="3"/>
  <c r="F1148" i="3"/>
  <c r="G1148" i="3"/>
  <c r="C1149" i="3"/>
  <c r="D1149" i="3"/>
  <c r="F1149" i="3"/>
  <c r="G1149" i="3"/>
  <c r="C1150" i="3"/>
  <c r="D1150" i="3"/>
  <c r="F1150" i="3"/>
  <c r="G1150" i="3"/>
  <c r="C1151" i="3"/>
  <c r="D1151" i="3"/>
  <c r="F1151" i="3"/>
  <c r="G1151" i="3"/>
  <c r="C1152" i="3"/>
  <c r="D1152" i="3"/>
  <c r="F1152" i="3"/>
  <c r="G1152" i="3"/>
  <c r="C1153" i="3"/>
  <c r="D1153" i="3"/>
  <c r="F1153" i="3"/>
  <c r="G1153" i="3"/>
  <c r="C1154" i="3"/>
  <c r="D1154" i="3"/>
  <c r="F1154" i="3"/>
  <c r="G1154" i="3"/>
  <c r="C1155" i="3"/>
  <c r="D1155" i="3"/>
  <c r="F1155" i="3"/>
  <c r="G1155" i="3"/>
  <c r="C1156" i="3"/>
  <c r="D1156" i="3"/>
  <c r="F1156" i="3"/>
  <c r="G1156" i="3"/>
  <c r="C1157" i="3"/>
  <c r="D1157" i="3"/>
  <c r="F1157" i="3"/>
  <c r="G1157" i="3"/>
  <c r="C1158" i="3"/>
  <c r="D1158" i="3"/>
  <c r="F1158" i="3"/>
  <c r="G1158" i="3"/>
  <c r="C1159" i="3"/>
  <c r="D1159" i="3"/>
  <c r="F1159" i="3"/>
  <c r="G1159" i="3"/>
  <c r="C1160" i="3"/>
  <c r="D1160" i="3"/>
  <c r="F1160" i="3"/>
  <c r="G1160" i="3"/>
  <c r="C1161" i="3"/>
  <c r="D1161" i="3"/>
  <c r="F1161" i="3"/>
  <c r="G1161" i="3"/>
  <c r="C1162" i="3"/>
  <c r="D1162" i="3"/>
  <c r="F1162" i="3"/>
  <c r="G1162" i="3"/>
  <c r="C1163" i="3"/>
  <c r="D1163" i="3"/>
  <c r="F1163" i="3"/>
  <c r="G1163" i="3"/>
  <c r="C1164" i="3"/>
  <c r="D1164" i="3"/>
  <c r="F1164" i="3"/>
  <c r="G1164" i="3"/>
  <c r="C1165" i="3"/>
  <c r="D1165" i="3"/>
  <c r="F1165" i="3"/>
  <c r="G1165" i="3"/>
  <c r="C1166" i="3"/>
  <c r="D1166" i="3"/>
  <c r="F1166" i="3"/>
  <c r="G1166" i="3"/>
  <c r="C1167" i="3"/>
  <c r="D1167" i="3"/>
  <c r="F1167" i="3"/>
  <c r="G1167" i="3"/>
  <c r="C1168" i="3"/>
  <c r="D1168" i="3"/>
  <c r="F1168" i="3"/>
  <c r="G1168" i="3"/>
  <c r="C1169" i="3"/>
  <c r="D1169" i="3"/>
  <c r="F1169" i="3"/>
  <c r="G1169" i="3"/>
  <c r="C1170" i="3"/>
  <c r="D1170" i="3"/>
  <c r="F1170" i="3"/>
  <c r="G1170" i="3"/>
  <c r="C1171" i="3"/>
  <c r="D1171" i="3"/>
  <c r="F1171" i="3"/>
  <c r="G1171" i="3"/>
  <c r="C1172" i="3"/>
  <c r="D1172" i="3"/>
  <c r="F1172" i="3"/>
  <c r="G1172" i="3"/>
  <c r="C1173" i="3"/>
  <c r="D1173" i="3"/>
  <c r="F1173" i="3"/>
  <c r="G1173" i="3"/>
  <c r="C1174" i="3"/>
  <c r="D1174" i="3"/>
  <c r="F1174" i="3"/>
  <c r="G1174" i="3"/>
  <c r="C1175" i="3"/>
  <c r="D1175" i="3"/>
  <c r="F1175" i="3"/>
  <c r="G1175" i="3"/>
  <c r="C1176" i="3"/>
  <c r="D1176" i="3"/>
  <c r="F1176" i="3"/>
  <c r="G1176" i="3"/>
  <c r="C1177" i="3"/>
  <c r="D1177" i="3"/>
  <c r="F1177" i="3"/>
  <c r="G1177" i="3"/>
  <c r="C1178" i="3"/>
  <c r="D1178" i="3"/>
  <c r="F1178" i="3"/>
  <c r="G1178" i="3"/>
  <c r="C1179" i="3"/>
  <c r="D1179" i="3"/>
  <c r="F1179" i="3"/>
  <c r="G1179" i="3"/>
  <c r="C1180" i="3"/>
  <c r="D1180" i="3"/>
  <c r="F1180" i="3"/>
  <c r="G1180" i="3"/>
  <c r="C1181" i="3"/>
  <c r="D1181" i="3"/>
  <c r="F1181" i="3"/>
  <c r="G1181" i="3"/>
  <c r="C1182" i="3"/>
  <c r="D1182" i="3"/>
  <c r="F1182" i="3"/>
  <c r="G1182" i="3"/>
  <c r="C1183" i="3"/>
  <c r="D1183" i="3"/>
  <c r="F1183" i="3"/>
  <c r="G1183" i="3"/>
  <c r="C1184" i="3"/>
  <c r="D1184" i="3"/>
  <c r="F1184" i="3"/>
  <c r="G1184" i="3"/>
  <c r="C1185" i="3"/>
  <c r="D1185" i="3"/>
  <c r="F1185" i="3"/>
  <c r="G1185" i="3"/>
  <c r="C1186" i="3"/>
  <c r="D1186" i="3"/>
  <c r="F1186" i="3"/>
  <c r="G1186" i="3"/>
  <c r="C1187" i="3"/>
  <c r="D1187" i="3"/>
  <c r="F1187" i="3"/>
  <c r="G1187" i="3"/>
  <c r="C1188" i="3"/>
  <c r="D1188" i="3"/>
  <c r="F1188" i="3"/>
  <c r="G1188" i="3"/>
  <c r="C1189" i="3"/>
  <c r="D1189" i="3"/>
  <c r="F1189" i="3"/>
  <c r="G1189" i="3"/>
  <c r="C1190" i="3"/>
  <c r="D1190" i="3"/>
  <c r="F1190" i="3"/>
  <c r="G1190" i="3"/>
  <c r="C1191" i="3"/>
  <c r="D1191" i="3"/>
  <c r="F1191" i="3"/>
  <c r="G1191" i="3"/>
  <c r="C1192" i="3"/>
  <c r="D1192" i="3"/>
  <c r="F1192" i="3"/>
  <c r="G1192" i="3"/>
  <c r="C1193" i="3"/>
  <c r="D1193" i="3"/>
  <c r="F1193" i="3"/>
  <c r="G1193" i="3"/>
  <c r="C1194" i="3"/>
  <c r="D1194" i="3"/>
  <c r="F1194" i="3"/>
  <c r="G1194" i="3"/>
  <c r="C1195" i="3"/>
  <c r="D1195" i="3"/>
  <c r="F1195" i="3"/>
  <c r="G1195" i="3"/>
  <c r="C1196" i="3"/>
  <c r="D1196" i="3"/>
  <c r="F1196" i="3"/>
  <c r="G1196" i="3"/>
  <c r="C1197" i="3"/>
  <c r="D1197" i="3"/>
  <c r="F1197" i="3"/>
  <c r="G1197" i="3"/>
  <c r="C1198" i="3"/>
  <c r="D1198" i="3"/>
  <c r="F1198" i="3"/>
  <c r="G1198" i="3"/>
  <c r="C1199" i="3"/>
  <c r="D1199" i="3"/>
  <c r="F1199" i="3"/>
  <c r="G1199" i="3"/>
  <c r="C1200" i="3"/>
  <c r="D1200" i="3"/>
  <c r="F1200" i="3"/>
  <c r="G1200" i="3"/>
  <c r="C1201" i="3"/>
  <c r="D1201" i="3"/>
  <c r="F1201" i="3"/>
  <c r="G1201" i="3"/>
  <c r="C1202" i="3"/>
  <c r="D1202" i="3"/>
  <c r="F1202" i="3"/>
  <c r="G1202" i="3"/>
  <c r="C1203" i="3"/>
  <c r="D1203" i="3"/>
  <c r="F1203" i="3"/>
  <c r="G1203" i="3"/>
  <c r="C1204" i="3"/>
  <c r="D1204" i="3"/>
  <c r="F1204" i="3"/>
  <c r="G1204" i="3"/>
  <c r="C1205" i="3"/>
  <c r="D1205" i="3"/>
  <c r="F1205" i="3"/>
  <c r="G1205" i="3"/>
  <c r="C1206" i="3"/>
  <c r="D1206" i="3"/>
  <c r="F1206" i="3"/>
  <c r="G1206" i="3"/>
  <c r="C1207" i="3"/>
  <c r="D1207" i="3"/>
  <c r="F1207" i="3"/>
  <c r="G1207" i="3"/>
  <c r="C1208" i="3"/>
  <c r="D1208" i="3"/>
  <c r="F1208" i="3"/>
  <c r="G1208" i="3"/>
  <c r="C1209" i="3"/>
  <c r="D1209" i="3"/>
  <c r="F1209" i="3"/>
  <c r="G1209" i="3"/>
  <c r="C1210" i="3"/>
  <c r="D1210" i="3"/>
  <c r="F1210" i="3"/>
  <c r="G1210" i="3"/>
  <c r="C1211" i="3"/>
  <c r="D1211" i="3"/>
  <c r="F1211" i="3"/>
  <c r="G1211" i="3"/>
  <c r="C1212" i="3"/>
  <c r="D1212" i="3"/>
  <c r="F1212" i="3"/>
  <c r="G1212" i="3"/>
  <c r="C1213" i="3"/>
  <c r="D1213" i="3"/>
  <c r="F1213" i="3"/>
  <c r="G1213" i="3"/>
  <c r="C1214" i="3"/>
  <c r="D1214" i="3"/>
  <c r="F1214" i="3"/>
  <c r="G1214" i="3"/>
  <c r="C1215" i="3"/>
  <c r="D1215" i="3"/>
  <c r="F1215" i="3"/>
  <c r="G1215" i="3"/>
  <c r="C1216" i="3"/>
  <c r="D1216" i="3"/>
  <c r="F1216" i="3"/>
  <c r="G1216" i="3"/>
  <c r="C1217" i="3"/>
  <c r="D1217" i="3"/>
  <c r="F1217" i="3"/>
  <c r="G1217" i="3"/>
  <c r="C1218" i="3"/>
  <c r="D1218" i="3"/>
  <c r="F1218" i="3"/>
  <c r="G1218" i="3"/>
  <c r="C1219" i="3"/>
  <c r="D1219" i="3"/>
  <c r="F1219" i="3"/>
  <c r="G1219" i="3"/>
  <c r="C1220" i="3"/>
  <c r="D1220" i="3"/>
  <c r="F1220" i="3"/>
  <c r="G1220" i="3"/>
  <c r="C1221" i="3"/>
  <c r="D1221" i="3"/>
  <c r="F1221" i="3"/>
  <c r="G1221" i="3"/>
  <c r="C1222" i="3"/>
  <c r="D1222" i="3"/>
  <c r="F1222" i="3"/>
  <c r="G1222" i="3"/>
  <c r="C1223" i="3"/>
  <c r="D1223" i="3"/>
  <c r="F1223" i="3"/>
  <c r="G1223" i="3"/>
  <c r="C1224" i="3"/>
  <c r="D1224" i="3"/>
  <c r="F1224" i="3"/>
  <c r="G1224" i="3"/>
  <c r="C1225" i="3"/>
  <c r="D1225" i="3"/>
  <c r="F1225" i="3"/>
  <c r="G1225" i="3"/>
  <c r="C1226" i="3"/>
  <c r="D1226" i="3"/>
  <c r="F1226" i="3"/>
  <c r="G1226" i="3"/>
  <c r="C1227" i="3"/>
  <c r="D1227" i="3"/>
  <c r="F1227" i="3"/>
  <c r="G1227" i="3"/>
  <c r="C1228" i="3"/>
  <c r="D1228" i="3"/>
  <c r="F1228" i="3"/>
  <c r="G1228" i="3"/>
  <c r="C1229" i="3"/>
  <c r="D1229" i="3"/>
  <c r="F1229" i="3"/>
  <c r="G1229" i="3"/>
  <c r="C1230" i="3"/>
  <c r="D1230" i="3"/>
  <c r="F1230" i="3"/>
  <c r="G1230" i="3"/>
  <c r="C1231" i="3"/>
  <c r="D1231" i="3"/>
  <c r="F1231" i="3"/>
  <c r="G1231" i="3"/>
  <c r="C1232" i="3"/>
  <c r="D1232" i="3"/>
  <c r="F1232" i="3"/>
  <c r="G1232" i="3"/>
  <c r="C1233" i="3"/>
  <c r="D1233" i="3"/>
  <c r="F1233" i="3"/>
  <c r="G1233" i="3"/>
  <c r="C1234" i="3"/>
  <c r="D1234" i="3"/>
  <c r="F1234" i="3"/>
  <c r="G1234" i="3"/>
  <c r="C1235" i="3"/>
  <c r="D1235" i="3"/>
  <c r="F1235" i="3"/>
  <c r="G1235" i="3"/>
  <c r="C1236" i="3"/>
  <c r="D1236" i="3"/>
  <c r="F1236" i="3"/>
  <c r="G1236" i="3"/>
  <c r="C1237" i="3"/>
  <c r="D1237" i="3"/>
  <c r="F1237" i="3"/>
  <c r="G1237" i="3"/>
  <c r="C1238" i="3"/>
  <c r="D1238" i="3"/>
  <c r="F1238" i="3"/>
  <c r="G1238" i="3"/>
  <c r="C1239" i="3"/>
  <c r="D1239" i="3"/>
  <c r="F1239" i="3"/>
  <c r="G1239" i="3"/>
  <c r="C1240" i="3"/>
  <c r="D1240" i="3"/>
  <c r="F1240" i="3"/>
  <c r="G1240" i="3"/>
  <c r="C1241" i="3"/>
  <c r="D1241" i="3"/>
  <c r="F1241" i="3"/>
  <c r="G1241" i="3"/>
  <c r="C1242" i="3"/>
  <c r="D1242" i="3"/>
  <c r="F1242" i="3"/>
  <c r="G1242" i="3"/>
  <c r="C1243" i="3"/>
  <c r="D1243" i="3"/>
  <c r="F1243" i="3"/>
  <c r="G1243" i="3"/>
  <c r="C1244" i="3"/>
  <c r="D1244" i="3"/>
  <c r="F1244" i="3"/>
  <c r="G1244" i="3"/>
  <c r="C1245" i="3"/>
  <c r="D1245" i="3"/>
  <c r="F1245" i="3"/>
  <c r="G1245" i="3"/>
  <c r="C1246" i="3"/>
  <c r="D1246" i="3"/>
  <c r="F1246" i="3"/>
  <c r="G1246" i="3"/>
  <c r="C1247" i="3"/>
  <c r="D1247" i="3"/>
  <c r="F1247" i="3"/>
  <c r="G1247" i="3"/>
  <c r="C1248" i="3"/>
  <c r="D1248" i="3"/>
  <c r="F1248" i="3"/>
  <c r="G1248" i="3"/>
  <c r="C1249" i="3"/>
  <c r="D1249" i="3"/>
  <c r="F1249" i="3"/>
  <c r="G1249" i="3"/>
  <c r="C1250" i="3"/>
  <c r="D1250" i="3"/>
  <c r="F1250" i="3"/>
  <c r="G1250" i="3"/>
  <c r="C1251" i="3"/>
  <c r="D1251" i="3"/>
  <c r="F1251" i="3"/>
  <c r="G1251" i="3"/>
  <c r="C1252" i="3"/>
  <c r="D1252" i="3"/>
  <c r="F1252" i="3"/>
  <c r="G1252" i="3"/>
  <c r="C1253" i="3"/>
  <c r="D1253" i="3"/>
  <c r="F1253" i="3"/>
  <c r="G1253" i="3"/>
  <c r="C1254" i="3"/>
  <c r="D1254" i="3"/>
  <c r="F1254" i="3"/>
  <c r="G1254" i="3"/>
  <c r="C1255" i="3"/>
  <c r="D1255" i="3"/>
  <c r="F1255" i="3"/>
  <c r="G1255" i="3"/>
  <c r="C1256" i="3"/>
  <c r="D1256" i="3"/>
  <c r="F1256" i="3"/>
  <c r="G1256" i="3"/>
  <c r="C1257" i="3"/>
  <c r="D1257" i="3"/>
  <c r="F1257" i="3"/>
  <c r="G1257" i="3"/>
  <c r="C1258" i="3"/>
  <c r="D1258" i="3"/>
  <c r="F1258" i="3"/>
  <c r="G1258" i="3"/>
  <c r="C1259" i="3"/>
  <c r="D1259" i="3"/>
  <c r="F1259" i="3"/>
  <c r="G1259" i="3"/>
  <c r="C1260" i="3"/>
  <c r="D1260" i="3"/>
  <c r="F1260" i="3"/>
  <c r="G1260" i="3"/>
  <c r="C1261" i="3"/>
  <c r="D1261" i="3"/>
  <c r="F1261" i="3"/>
  <c r="G1261" i="3"/>
  <c r="C1262" i="3"/>
  <c r="D1262" i="3"/>
  <c r="F1262" i="3"/>
  <c r="G1262" i="3"/>
  <c r="C1263" i="3"/>
  <c r="D1263" i="3"/>
  <c r="F1263" i="3"/>
  <c r="G1263" i="3"/>
  <c r="C1264" i="3"/>
  <c r="D1264" i="3"/>
  <c r="F1264" i="3"/>
  <c r="G1264" i="3"/>
  <c r="C1265" i="3"/>
  <c r="D1265" i="3"/>
  <c r="F1265" i="3"/>
  <c r="G1265" i="3"/>
  <c r="C1266" i="3"/>
  <c r="D1266" i="3"/>
  <c r="F1266" i="3"/>
  <c r="G1266" i="3"/>
  <c r="C1267" i="3"/>
  <c r="D1267" i="3"/>
  <c r="F1267" i="3"/>
  <c r="G1267" i="3"/>
  <c r="C1268" i="3"/>
  <c r="D1268" i="3"/>
  <c r="F1268" i="3"/>
  <c r="G1268" i="3"/>
  <c r="C1269" i="3"/>
  <c r="D1269" i="3"/>
  <c r="F1269" i="3"/>
  <c r="G1269" i="3"/>
  <c r="C1270" i="3"/>
  <c r="D1270" i="3"/>
  <c r="F1270" i="3"/>
  <c r="G1270" i="3"/>
  <c r="C1271" i="3"/>
  <c r="D1271" i="3"/>
  <c r="F1271" i="3"/>
  <c r="G1271" i="3"/>
  <c r="C1272" i="3"/>
  <c r="D1272" i="3"/>
  <c r="F1272" i="3"/>
  <c r="G1272" i="3"/>
  <c r="C1273" i="3"/>
  <c r="D1273" i="3"/>
  <c r="F1273" i="3"/>
  <c r="G1273" i="3"/>
  <c r="C1274" i="3"/>
  <c r="D1274" i="3"/>
  <c r="F1274" i="3"/>
  <c r="G1274" i="3"/>
  <c r="C1275" i="3"/>
  <c r="D1275" i="3"/>
  <c r="F1275" i="3"/>
  <c r="G1275" i="3"/>
  <c r="C1276" i="3"/>
  <c r="D1276" i="3"/>
  <c r="F1276" i="3"/>
  <c r="G1276" i="3"/>
  <c r="C1277" i="3"/>
  <c r="D1277" i="3"/>
  <c r="F1277" i="3"/>
  <c r="G1277" i="3"/>
  <c r="C1278" i="3"/>
  <c r="D1278" i="3"/>
  <c r="F1278" i="3"/>
  <c r="G1278" i="3"/>
  <c r="C1279" i="3"/>
  <c r="D1279" i="3"/>
  <c r="F1279" i="3"/>
  <c r="G1279" i="3"/>
  <c r="C1280" i="3"/>
  <c r="D1280" i="3"/>
  <c r="F1280" i="3"/>
  <c r="G1280" i="3"/>
  <c r="C1281" i="3"/>
  <c r="D1281" i="3"/>
  <c r="F1281" i="3"/>
  <c r="G1281" i="3"/>
  <c r="C1282" i="3"/>
  <c r="D1282" i="3"/>
  <c r="F1282" i="3"/>
  <c r="G1282" i="3"/>
  <c r="C1283" i="3"/>
  <c r="D1283" i="3"/>
  <c r="F1283" i="3"/>
  <c r="G1283" i="3"/>
  <c r="C1284" i="3"/>
  <c r="D1284" i="3"/>
  <c r="F1284" i="3"/>
  <c r="G1284" i="3"/>
  <c r="C1285" i="3"/>
  <c r="D1285" i="3"/>
  <c r="F1285" i="3"/>
  <c r="G1285" i="3"/>
  <c r="C1286" i="3"/>
  <c r="D1286" i="3"/>
  <c r="F1286" i="3"/>
  <c r="G1286" i="3"/>
  <c r="C1287" i="3"/>
  <c r="D1287" i="3"/>
  <c r="F1287" i="3"/>
  <c r="G1287" i="3"/>
  <c r="C1288" i="3"/>
  <c r="D1288" i="3"/>
  <c r="F1288" i="3"/>
  <c r="G1288" i="3"/>
  <c r="C1289" i="3"/>
  <c r="D1289" i="3"/>
  <c r="F1289" i="3"/>
  <c r="G1289" i="3"/>
  <c r="C1290" i="3"/>
  <c r="D1290" i="3"/>
  <c r="F1290" i="3"/>
  <c r="G1290" i="3"/>
  <c r="C1291" i="3"/>
  <c r="D1291" i="3"/>
  <c r="F1291" i="3"/>
  <c r="G1291" i="3"/>
  <c r="C1292" i="3"/>
  <c r="D1292" i="3"/>
  <c r="F1292" i="3"/>
  <c r="G1292" i="3"/>
  <c r="C1293" i="3"/>
  <c r="D1293" i="3"/>
  <c r="F1293" i="3"/>
  <c r="G1293" i="3"/>
  <c r="C1294" i="3"/>
  <c r="D1294" i="3"/>
  <c r="F1294" i="3"/>
  <c r="G1294" i="3"/>
  <c r="C1295" i="3"/>
  <c r="D1295" i="3"/>
  <c r="F1295" i="3"/>
  <c r="G1295" i="3"/>
  <c r="C1296" i="3"/>
  <c r="D1296" i="3"/>
  <c r="F1296" i="3"/>
  <c r="G1296" i="3"/>
  <c r="C1297" i="3"/>
  <c r="D1297" i="3"/>
  <c r="F1297" i="3"/>
  <c r="G1297" i="3"/>
  <c r="C1298" i="3"/>
  <c r="D1298" i="3"/>
  <c r="F1298" i="3"/>
  <c r="G1298" i="3"/>
  <c r="C1299" i="3"/>
  <c r="D1299" i="3"/>
  <c r="F1299" i="3"/>
  <c r="G1299" i="3"/>
  <c r="C1300" i="3"/>
  <c r="D1300" i="3"/>
  <c r="F1300" i="3"/>
  <c r="G1300" i="3"/>
  <c r="C1301" i="3"/>
  <c r="D1301" i="3"/>
  <c r="F1301" i="3"/>
  <c r="G1301" i="3"/>
  <c r="C1302" i="3"/>
  <c r="D1302" i="3"/>
  <c r="F1302" i="3"/>
  <c r="G1302" i="3"/>
  <c r="C1303" i="3"/>
  <c r="D1303" i="3"/>
  <c r="F1303" i="3"/>
  <c r="G1303" i="3"/>
  <c r="C1304" i="3"/>
  <c r="D1304" i="3"/>
  <c r="F1304" i="3"/>
  <c r="G1304" i="3"/>
  <c r="C1305" i="3"/>
  <c r="D1305" i="3"/>
  <c r="F1305" i="3"/>
  <c r="G1305" i="3"/>
  <c r="C1306" i="3"/>
  <c r="D1306" i="3"/>
  <c r="F1306" i="3"/>
  <c r="G1306" i="3"/>
  <c r="C1307" i="3"/>
  <c r="D1307" i="3"/>
  <c r="F1307" i="3"/>
  <c r="G1307" i="3"/>
  <c r="C1308" i="3"/>
  <c r="D1308" i="3"/>
  <c r="F1308" i="3"/>
  <c r="G1308" i="3"/>
  <c r="C1309" i="3"/>
  <c r="D1309" i="3"/>
  <c r="F1309" i="3"/>
  <c r="G1309" i="3"/>
  <c r="C1310" i="3"/>
  <c r="D1310" i="3"/>
  <c r="F1310" i="3"/>
  <c r="G1310" i="3"/>
  <c r="C1311" i="3"/>
  <c r="D1311" i="3"/>
  <c r="F1311" i="3"/>
  <c r="G1311" i="3"/>
  <c r="C1312" i="3"/>
  <c r="D1312" i="3"/>
  <c r="F1312" i="3"/>
  <c r="G1312" i="3"/>
  <c r="C1313" i="3"/>
  <c r="D1313" i="3"/>
  <c r="F1313" i="3"/>
  <c r="G1313" i="3"/>
  <c r="C1314" i="3"/>
  <c r="D1314" i="3"/>
  <c r="F1314" i="3"/>
  <c r="G1314" i="3"/>
  <c r="C1315" i="3"/>
  <c r="D1315" i="3"/>
  <c r="F1315" i="3"/>
  <c r="G1315" i="3"/>
  <c r="C1316" i="3"/>
  <c r="D1316" i="3"/>
  <c r="F1316" i="3"/>
  <c r="G1316" i="3"/>
  <c r="C1317" i="3"/>
  <c r="D1317" i="3"/>
  <c r="F1317" i="3"/>
  <c r="G1317" i="3"/>
  <c r="C1318" i="3"/>
  <c r="D1318" i="3"/>
  <c r="F1318" i="3"/>
  <c r="G1318" i="3"/>
  <c r="C1319" i="3"/>
  <c r="D1319" i="3"/>
  <c r="F1319" i="3"/>
  <c r="G1319" i="3"/>
  <c r="C1320" i="3"/>
  <c r="D1320" i="3"/>
  <c r="F1320" i="3"/>
  <c r="G1320" i="3"/>
  <c r="C1321" i="3"/>
  <c r="D1321" i="3"/>
  <c r="F1321" i="3"/>
  <c r="G1321" i="3"/>
  <c r="C1322" i="3"/>
  <c r="D1322" i="3"/>
  <c r="F1322" i="3"/>
  <c r="G1322" i="3"/>
  <c r="C1323" i="3"/>
  <c r="D1323" i="3"/>
  <c r="F1323" i="3"/>
  <c r="G1323" i="3"/>
  <c r="C1324" i="3"/>
  <c r="D1324" i="3"/>
  <c r="F1324" i="3"/>
  <c r="G1324" i="3"/>
  <c r="C1325" i="3"/>
  <c r="D1325" i="3"/>
  <c r="F1325" i="3"/>
  <c r="G1325" i="3"/>
  <c r="C1326" i="3"/>
  <c r="D1326" i="3"/>
  <c r="F1326" i="3"/>
  <c r="G1326" i="3"/>
  <c r="C1327" i="3"/>
  <c r="D1327" i="3"/>
  <c r="F1327" i="3"/>
  <c r="G1327" i="3"/>
  <c r="C1328" i="3"/>
  <c r="D1328" i="3"/>
  <c r="F1328" i="3"/>
  <c r="G1328" i="3"/>
  <c r="C1329" i="3"/>
  <c r="D1329" i="3"/>
  <c r="F1329" i="3"/>
  <c r="G1329" i="3"/>
  <c r="C1330" i="3"/>
  <c r="D1330" i="3"/>
  <c r="F1330" i="3"/>
  <c r="G1330" i="3"/>
  <c r="C1331" i="3"/>
  <c r="D1331" i="3"/>
  <c r="F1331" i="3"/>
  <c r="G1331" i="3"/>
  <c r="C1332" i="3"/>
  <c r="D1332" i="3"/>
  <c r="F1332" i="3"/>
  <c r="G1332" i="3"/>
  <c r="C1333" i="3"/>
  <c r="D1333" i="3"/>
  <c r="F1333" i="3"/>
  <c r="G1333" i="3"/>
  <c r="C1334" i="3"/>
  <c r="D1334" i="3"/>
  <c r="F1334" i="3"/>
  <c r="G1334" i="3"/>
  <c r="C1335" i="3"/>
  <c r="D1335" i="3"/>
  <c r="F1335" i="3"/>
  <c r="G1335" i="3"/>
  <c r="C1336" i="3"/>
  <c r="D1336" i="3"/>
  <c r="F1336" i="3"/>
  <c r="G1336" i="3"/>
  <c r="C1337" i="3"/>
  <c r="D1337" i="3"/>
  <c r="F1337" i="3"/>
  <c r="G1337" i="3"/>
  <c r="C1338" i="3"/>
  <c r="D1338" i="3"/>
  <c r="F1338" i="3"/>
  <c r="G1338" i="3"/>
  <c r="C1339" i="3"/>
  <c r="D1339" i="3"/>
  <c r="F1339" i="3"/>
  <c r="G1339" i="3"/>
  <c r="C1340" i="3"/>
  <c r="D1340" i="3"/>
  <c r="F1340" i="3"/>
  <c r="G1340" i="3"/>
  <c r="C1341" i="3"/>
  <c r="D1341" i="3"/>
  <c r="F1341" i="3"/>
  <c r="G1341" i="3"/>
  <c r="C1342" i="3"/>
  <c r="D1342" i="3"/>
  <c r="F1342" i="3"/>
  <c r="G1342" i="3"/>
  <c r="C1343" i="3"/>
  <c r="D1343" i="3"/>
  <c r="F1343" i="3"/>
  <c r="G1343" i="3"/>
  <c r="C1344" i="3"/>
  <c r="D1344" i="3"/>
  <c r="F1344" i="3"/>
  <c r="G1344" i="3"/>
  <c r="C1345" i="3"/>
  <c r="D1345" i="3"/>
  <c r="F1345" i="3"/>
  <c r="G1345" i="3"/>
  <c r="C1346" i="3"/>
  <c r="D1346" i="3"/>
  <c r="F1346" i="3"/>
  <c r="G1346" i="3"/>
  <c r="C1347" i="3"/>
  <c r="D1347" i="3"/>
  <c r="F1347" i="3"/>
  <c r="G1347" i="3"/>
  <c r="C1348" i="3"/>
  <c r="D1348" i="3"/>
  <c r="F1348" i="3"/>
  <c r="G1348" i="3"/>
  <c r="C1349" i="3"/>
  <c r="D1349" i="3"/>
  <c r="F1349" i="3"/>
  <c r="G1349" i="3"/>
  <c r="C1350" i="3"/>
  <c r="D1350" i="3"/>
  <c r="F1350" i="3"/>
  <c r="G1350" i="3"/>
  <c r="C1351" i="3"/>
  <c r="D1351" i="3"/>
  <c r="F1351" i="3"/>
  <c r="G1351" i="3"/>
  <c r="C1352" i="3"/>
  <c r="D1352" i="3"/>
  <c r="F1352" i="3"/>
  <c r="G1352" i="3"/>
  <c r="C1353" i="3"/>
  <c r="D1353" i="3"/>
  <c r="F1353" i="3"/>
  <c r="G1353" i="3"/>
  <c r="C1354" i="3"/>
  <c r="D1354" i="3"/>
  <c r="F1354" i="3"/>
  <c r="G1354" i="3"/>
  <c r="C1355" i="3"/>
  <c r="D1355" i="3"/>
  <c r="F1355" i="3"/>
  <c r="G1355" i="3"/>
  <c r="C1356" i="3"/>
  <c r="D1356" i="3"/>
  <c r="F1356" i="3"/>
  <c r="G1356" i="3"/>
  <c r="C1357" i="3"/>
  <c r="D1357" i="3"/>
  <c r="F1357" i="3"/>
  <c r="G1357" i="3"/>
  <c r="C1358" i="3"/>
  <c r="D1358" i="3"/>
  <c r="F1358" i="3"/>
  <c r="G1358" i="3"/>
  <c r="C1359" i="3"/>
  <c r="D1359" i="3"/>
  <c r="F1359" i="3"/>
  <c r="G1359" i="3"/>
  <c r="C1360" i="3"/>
  <c r="D1360" i="3"/>
  <c r="F1360" i="3"/>
  <c r="G1360" i="3"/>
  <c r="C1361" i="3"/>
  <c r="D1361" i="3"/>
  <c r="F1361" i="3"/>
  <c r="G1361" i="3"/>
  <c r="C1362" i="3"/>
  <c r="D1362" i="3"/>
  <c r="F1362" i="3"/>
  <c r="G1362" i="3"/>
  <c r="C1363" i="3"/>
  <c r="D1363" i="3"/>
  <c r="F1363" i="3"/>
  <c r="G1363" i="3"/>
  <c r="C1364" i="3"/>
  <c r="D1364" i="3"/>
  <c r="F1364" i="3"/>
  <c r="G1364" i="3"/>
  <c r="C1365" i="3"/>
  <c r="D1365" i="3"/>
  <c r="F1365" i="3"/>
  <c r="G1365" i="3"/>
  <c r="C1366" i="3"/>
  <c r="D1366" i="3"/>
  <c r="F1366" i="3"/>
  <c r="G1366" i="3"/>
  <c r="C1367" i="3"/>
  <c r="D1367" i="3"/>
  <c r="F1367" i="3"/>
  <c r="G1367" i="3"/>
  <c r="C1368" i="3"/>
  <c r="D1368" i="3"/>
  <c r="F1368" i="3"/>
  <c r="G1368" i="3"/>
  <c r="C1369" i="3"/>
  <c r="D1369" i="3"/>
  <c r="F1369" i="3"/>
  <c r="G1369" i="3"/>
  <c r="C1370" i="3"/>
  <c r="D1370" i="3"/>
  <c r="F1370" i="3"/>
  <c r="G1370" i="3"/>
  <c r="C1371" i="3"/>
  <c r="D1371" i="3"/>
  <c r="F1371" i="3"/>
  <c r="G1371" i="3"/>
  <c r="C1372" i="3"/>
  <c r="D1372" i="3"/>
  <c r="F1372" i="3"/>
  <c r="G1372" i="3"/>
  <c r="C1373" i="3"/>
  <c r="D1373" i="3"/>
  <c r="F1373" i="3"/>
  <c r="G1373" i="3"/>
  <c r="C1374" i="3"/>
  <c r="D1374" i="3"/>
  <c r="F1374" i="3"/>
  <c r="G1374" i="3"/>
  <c r="C1375" i="3"/>
  <c r="D1375" i="3"/>
  <c r="F1375" i="3"/>
  <c r="G1375" i="3"/>
  <c r="C1376" i="3"/>
  <c r="D1376" i="3"/>
  <c r="F1376" i="3"/>
  <c r="G1376" i="3"/>
  <c r="C1377" i="3"/>
  <c r="D1377" i="3"/>
  <c r="F1377" i="3"/>
  <c r="G1377" i="3"/>
  <c r="C1378" i="3"/>
  <c r="D1378" i="3"/>
  <c r="F1378" i="3"/>
  <c r="G1378" i="3"/>
  <c r="C1379" i="3"/>
  <c r="D1379" i="3"/>
  <c r="F1379" i="3"/>
  <c r="G1379" i="3"/>
  <c r="C1380" i="3"/>
  <c r="D1380" i="3"/>
  <c r="F1380" i="3"/>
  <c r="G1380" i="3"/>
  <c r="C1381" i="3"/>
  <c r="D1381" i="3"/>
  <c r="F1381" i="3"/>
  <c r="G1381" i="3"/>
  <c r="C1382" i="3"/>
  <c r="D1382" i="3"/>
  <c r="F1382" i="3"/>
  <c r="G1382" i="3"/>
  <c r="C1383" i="3"/>
  <c r="D1383" i="3"/>
  <c r="F1383" i="3"/>
  <c r="G1383" i="3"/>
  <c r="C1384" i="3"/>
  <c r="D1384" i="3"/>
  <c r="F1384" i="3"/>
  <c r="G1384" i="3"/>
  <c r="C1385" i="3"/>
  <c r="D1385" i="3"/>
  <c r="F1385" i="3"/>
  <c r="G1385" i="3"/>
  <c r="C1386" i="3"/>
  <c r="D1386" i="3"/>
  <c r="F1386" i="3"/>
  <c r="G1386" i="3"/>
  <c r="C1387" i="3"/>
  <c r="D1387" i="3"/>
  <c r="F1387" i="3"/>
  <c r="G1387" i="3"/>
  <c r="C1388" i="3"/>
  <c r="D1388" i="3"/>
  <c r="F1388" i="3"/>
  <c r="G1388" i="3"/>
  <c r="C1389" i="3"/>
  <c r="D1389" i="3"/>
  <c r="F1389" i="3"/>
  <c r="G1389" i="3"/>
  <c r="C1390" i="3"/>
  <c r="D1390" i="3"/>
  <c r="F1390" i="3"/>
  <c r="G1390" i="3"/>
  <c r="C1391" i="3"/>
  <c r="D1391" i="3"/>
  <c r="F1391" i="3"/>
  <c r="G1391" i="3"/>
  <c r="C1392" i="3"/>
  <c r="D1392" i="3"/>
  <c r="F1392" i="3"/>
  <c r="G1392" i="3"/>
  <c r="C1393" i="3"/>
  <c r="D1393" i="3"/>
  <c r="F1393" i="3"/>
  <c r="G1393" i="3"/>
  <c r="C1394" i="3"/>
  <c r="D1394" i="3"/>
  <c r="F1394" i="3"/>
  <c r="G1394" i="3"/>
  <c r="C1395" i="3"/>
  <c r="D1395" i="3"/>
  <c r="F1395" i="3"/>
  <c r="G1395" i="3"/>
  <c r="C1396" i="3"/>
  <c r="D1396" i="3"/>
  <c r="F1396" i="3"/>
  <c r="G1396" i="3"/>
  <c r="C1397" i="3"/>
  <c r="D1397" i="3"/>
  <c r="F1397" i="3"/>
  <c r="G1397" i="3"/>
  <c r="C1398" i="3"/>
  <c r="D1398" i="3"/>
  <c r="F1398" i="3"/>
  <c r="G1398" i="3"/>
  <c r="C1399" i="3"/>
  <c r="D1399" i="3"/>
  <c r="F1399" i="3"/>
  <c r="G1399" i="3"/>
  <c r="C1400" i="3"/>
  <c r="D1400" i="3"/>
  <c r="F1400" i="3"/>
  <c r="G1400" i="3"/>
  <c r="C1401" i="3"/>
  <c r="D1401" i="3"/>
  <c r="F1401" i="3"/>
  <c r="G1401" i="3"/>
  <c r="C1402" i="3"/>
  <c r="D1402" i="3"/>
  <c r="F1402" i="3"/>
  <c r="G1402" i="3"/>
  <c r="C1403" i="3"/>
  <c r="D1403" i="3"/>
  <c r="F1403" i="3"/>
  <c r="G1403" i="3"/>
  <c r="C1404" i="3"/>
  <c r="D1404" i="3"/>
  <c r="F1404" i="3"/>
  <c r="G1404" i="3"/>
  <c r="C1405" i="3"/>
  <c r="D1405" i="3"/>
  <c r="F1405" i="3"/>
  <c r="G1405" i="3"/>
  <c r="C1406" i="3"/>
  <c r="D1406" i="3"/>
  <c r="F1406" i="3"/>
  <c r="G1406" i="3"/>
  <c r="C1407" i="3"/>
  <c r="D1407" i="3"/>
  <c r="F1407" i="3"/>
  <c r="G1407" i="3"/>
  <c r="C1408" i="3"/>
  <c r="D1408" i="3"/>
  <c r="F1408" i="3"/>
  <c r="G1408" i="3"/>
  <c r="C1409" i="3"/>
  <c r="D1409" i="3"/>
  <c r="F1409" i="3"/>
  <c r="G1409" i="3"/>
  <c r="C1410" i="3"/>
  <c r="D1410" i="3"/>
  <c r="F1410" i="3"/>
  <c r="G1410" i="3"/>
  <c r="C1411" i="3"/>
  <c r="D1411" i="3"/>
  <c r="F1411" i="3"/>
  <c r="G1411" i="3"/>
  <c r="C1412" i="3"/>
  <c r="D1412" i="3"/>
  <c r="F1412" i="3"/>
  <c r="G1412" i="3"/>
  <c r="C1413" i="3"/>
  <c r="D1413" i="3"/>
  <c r="F1413" i="3"/>
  <c r="G1413" i="3"/>
  <c r="C1414" i="3"/>
  <c r="D1414" i="3"/>
  <c r="F1414" i="3"/>
  <c r="G1414" i="3"/>
  <c r="C1415" i="3"/>
  <c r="D1415" i="3"/>
  <c r="F1415" i="3"/>
  <c r="G1415" i="3"/>
  <c r="C1416" i="3"/>
  <c r="D1416" i="3"/>
  <c r="F1416" i="3"/>
  <c r="G1416" i="3"/>
  <c r="C1417" i="3"/>
  <c r="D1417" i="3"/>
  <c r="F1417" i="3"/>
  <c r="G1417" i="3"/>
  <c r="C1418" i="3"/>
  <c r="D1418" i="3"/>
  <c r="F1418" i="3"/>
  <c r="G1418" i="3"/>
  <c r="C1419" i="3"/>
  <c r="D1419" i="3"/>
  <c r="F1419" i="3"/>
  <c r="G1419" i="3"/>
  <c r="C1420" i="3"/>
  <c r="D1420" i="3"/>
  <c r="F1420" i="3"/>
  <c r="G1420" i="3"/>
  <c r="C1421" i="3"/>
  <c r="D1421" i="3"/>
  <c r="F1421" i="3"/>
  <c r="G1421" i="3"/>
  <c r="C1422" i="3"/>
  <c r="D1422" i="3"/>
  <c r="F1422" i="3"/>
  <c r="G1422" i="3"/>
  <c r="C1423" i="3"/>
  <c r="D1423" i="3"/>
  <c r="F1423" i="3"/>
  <c r="G1423" i="3"/>
  <c r="C1424" i="3"/>
  <c r="D1424" i="3"/>
  <c r="F1424" i="3"/>
  <c r="G1424" i="3"/>
  <c r="C1425" i="3"/>
  <c r="D1425" i="3"/>
  <c r="F1425" i="3"/>
  <c r="G1425" i="3"/>
  <c r="C1426" i="3"/>
  <c r="D1426" i="3"/>
  <c r="F1426" i="3"/>
  <c r="G1426" i="3"/>
  <c r="C1427" i="3"/>
  <c r="D1427" i="3"/>
  <c r="F1427" i="3"/>
  <c r="G1427" i="3"/>
  <c r="C1428" i="3"/>
  <c r="D1428" i="3"/>
  <c r="F1428" i="3"/>
  <c r="G1428" i="3"/>
  <c r="C1429" i="3"/>
  <c r="D1429" i="3"/>
  <c r="F1429" i="3"/>
  <c r="G1429" i="3"/>
  <c r="C1430" i="3"/>
  <c r="D1430" i="3"/>
  <c r="F1430" i="3"/>
  <c r="G1430" i="3"/>
  <c r="C1431" i="3"/>
  <c r="D1431" i="3"/>
  <c r="F1431" i="3"/>
  <c r="G1431" i="3"/>
  <c r="C1432" i="3"/>
  <c r="D1432" i="3"/>
  <c r="F1432" i="3"/>
  <c r="G1432" i="3"/>
  <c r="C1433" i="3"/>
  <c r="D1433" i="3"/>
  <c r="F1433" i="3"/>
  <c r="G1433" i="3"/>
  <c r="C1434" i="3"/>
  <c r="D1434" i="3"/>
  <c r="F1434" i="3"/>
  <c r="G1434" i="3"/>
  <c r="C1435" i="3"/>
  <c r="D1435" i="3"/>
  <c r="F1435" i="3"/>
  <c r="G1435" i="3"/>
  <c r="C1436" i="3"/>
  <c r="D1436" i="3"/>
  <c r="F1436" i="3"/>
  <c r="G1436" i="3"/>
  <c r="C1437" i="3"/>
  <c r="D1437" i="3"/>
  <c r="F1437" i="3"/>
  <c r="G1437" i="3"/>
  <c r="C1438" i="3"/>
  <c r="D1438" i="3"/>
  <c r="F1438" i="3"/>
  <c r="G1438" i="3"/>
  <c r="C1439" i="3"/>
  <c r="D1439" i="3"/>
  <c r="F1439" i="3"/>
  <c r="G1439" i="3"/>
  <c r="C1440" i="3"/>
  <c r="D1440" i="3"/>
  <c r="F1440" i="3"/>
  <c r="G1440" i="3"/>
  <c r="C1441" i="3"/>
  <c r="D1441" i="3"/>
  <c r="F1441" i="3"/>
  <c r="G1441" i="3"/>
  <c r="C1442" i="3"/>
  <c r="D1442" i="3"/>
  <c r="F1442" i="3"/>
  <c r="G1442" i="3"/>
  <c r="C1443" i="3"/>
  <c r="D1443" i="3"/>
  <c r="F1443" i="3"/>
  <c r="G1443" i="3"/>
  <c r="C1444" i="3"/>
  <c r="D1444" i="3"/>
  <c r="F1444" i="3"/>
  <c r="G1444" i="3"/>
  <c r="C1445" i="3"/>
  <c r="D1445" i="3"/>
  <c r="F1445" i="3"/>
  <c r="G1445" i="3"/>
  <c r="C1446" i="3"/>
  <c r="D1446" i="3"/>
  <c r="F1446" i="3"/>
  <c r="G1446" i="3"/>
  <c r="C1447" i="3"/>
  <c r="D1447" i="3"/>
  <c r="F1447" i="3"/>
  <c r="G1447" i="3"/>
  <c r="C1448" i="3"/>
  <c r="D1448" i="3"/>
  <c r="F1448" i="3"/>
  <c r="G1448" i="3"/>
  <c r="C1449" i="3"/>
  <c r="D1449" i="3"/>
  <c r="F1449" i="3"/>
  <c r="G1449" i="3"/>
  <c r="C1450" i="3"/>
  <c r="D1450" i="3"/>
  <c r="F1450" i="3"/>
  <c r="G1450" i="3"/>
  <c r="C1451" i="3"/>
  <c r="D1451" i="3"/>
  <c r="F1451" i="3"/>
  <c r="G1451" i="3"/>
  <c r="C1452" i="3"/>
  <c r="D1452" i="3"/>
  <c r="F1452" i="3"/>
  <c r="G1452" i="3"/>
  <c r="C1453" i="3"/>
  <c r="D1453" i="3"/>
  <c r="F1453" i="3"/>
  <c r="G1453" i="3"/>
  <c r="C1454" i="3"/>
  <c r="D1454" i="3"/>
  <c r="F1454" i="3"/>
  <c r="G1454" i="3"/>
  <c r="C1455" i="3"/>
  <c r="D1455" i="3"/>
  <c r="F1455" i="3"/>
  <c r="G1455" i="3"/>
  <c r="C1456" i="3"/>
  <c r="D1456" i="3"/>
  <c r="F1456" i="3"/>
  <c r="G1456" i="3"/>
  <c r="C1457" i="3"/>
  <c r="D1457" i="3"/>
  <c r="F1457" i="3"/>
  <c r="G1457" i="3"/>
  <c r="C1458" i="3"/>
  <c r="D1458" i="3"/>
  <c r="F1458" i="3"/>
  <c r="G1458" i="3"/>
  <c r="C1459" i="3"/>
  <c r="D1459" i="3"/>
  <c r="F1459" i="3"/>
  <c r="G1459" i="3"/>
  <c r="C1460" i="3"/>
  <c r="D1460" i="3"/>
  <c r="F1460" i="3"/>
  <c r="G1460" i="3"/>
  <c r="C1461" i="3"/>
  <c r="D1461" i="3"/>
  <c r="F1461" i="3"/>
  <c r="G1461" i="3"/>
  <c r="C1462" i="3"/>
  <c r="D1462" i="3"/>
  <c r="F1462" i="3"/>
  <c r="G1462" i="3"/>
  <c r="C1463" i="3"/>
  <c r="D1463" i="3"/>
  <c r="F1463" i="3"/>
  <c r="G1463" i="3"/>
  <c r="C1464" i="3"/>
  <c r="D1464" i="3"/>
  <c r="F1464" i="3"/>
  <c r="G1464" i="3"/>
  <c r="C1465" i="3"/>
  <c r="D1465" i="3"/>
  <c r="F1465" i="3"/>
  <c r="G1465" i="3"/>
  <c r="C1466" i="3"/>
  <c r="D1466" i="3"/>
  <c r="F1466" i="3"/>
  <c r="G1466" i="3"/>
  <c r="C1467" i="3"/>
  <c r="D1467" i="3"/>
  <c r="F1467" i="3"/>
  <c r="G1467" i="3"/>
  <c r="C1468" i="3"/>
  <c r="D1468" i="3"/>
  <c r="F1468" i="3"/>
  <c r="G1468" i="3"/>
  <c r="C1469" i="3"/>
  <c r="D1469" i="3"/>
  <c r="F1469" i="3"/>
  <c r="G1469" i="3"/>
  <c r="C1470" i="3"/>
  <c r="D1470" i="3"/>
  <c r="F1470" i="3"/>
  <c r="G1470" i="3"/>
  <c r="C1471" i="3"/>
  <c r="D1471" i="3"/>
  <c r="F1471" i="3"/>
  <c r="G1471" i="3"/>
  <c r="C1472" i="3"/>
  <c r="D1472" i="3"/>
  <c r="F1472" i="3"/>
  <c r="G1472" i="3"/>
  <c r="C1473" i="3"/>
  <c r="D1473" i="3"/>
  <c r="F1473" i="3"/>
  <c r="G1473" i="3"/>
  <c r="C1474" i="3"/>
  <c r="D1474" i="3"/>
  <c r="F1474" i="3"/>
  <c r="G1474" i="3"/>
  <c r="C1475" i="3"/>
  <c r="D1475" i="3"/>
  <c r="F1475" i="3"/>
  <c r="G1475" i="3"/>
  <c r="C1476" i="3"/>
  <c r="D1476" i="3"/>
  <c r="F1476" i="3"/>
  <c r="G1476" i="3"/>
  <c r="C1477" i="3"/>
  <c r="D1477" i="3"/>
  <c r="F1477" i="3"/>
  <c r="G1477" i="3"/>
  <c r="C1478" i="3"/>
  <c r="D1478" i="3"/>
  <c r="F1478" i="3"/>
  <c r="G1478" i="3"/>
  <c r="C1479" i="3"/>
  <c r="D1479" i="3"/>
  <c r="F1479" i="3"/>
  <c r="G1479" i="3"/>
  <c r="C1480" i="3"/>
  <c r="D1480" i="3"/>
  <c r="F1480" i="3"/>
  <c r="G1480" i="3"/>
  <c r="C1481" i="3"/>
  <c r="D1481" i="3"/>
  <c r="F1481" i="3"/>
  <c r="G1481" i="3"/>
  <c r="C1482" i="3"/>
  <c r="D1482" i="3"/>
  <c r="F1482" i="3"/>
  <c r="G1482" i="3"/>
  <c r="C1483" i="3"/>
  <c r="D1483" i="3"/>
  <c r="F1483" i="3"/>
  <c r="G1483" i="3"/>
  <c r="C1484" i="3"/>
  <c r="D1484" i="3"/>
  <c r="F1484" i="3"/>
  <c r="G1484" i="3"/>
  <c r="C1485" i="3"/>
  <c r="D1485" i="3"/>
  <c r="F1485" i="3"/>
  <c r="G1485" i="3"/>
  <c r="C1486" i="3"/>
  <c r="D1486" i="3"/>
  <c r="F1486" i="3"/>
  <c r="G1486" i="3"/>
  <c r="C1487" i="3"/>
  <c r="D1487" i="3"/>
  <c r="F1487" i="3"/>
  <c r="G1487" i="3"/>
  <c r="C1488" i="3"/>
  <c r="D1488" i="3"/>
  <c r="F1488" i="3"/>
  <c r="G1488" i="3"/>
  <c r="C1489" i="3"/>
  <c r="D1489" i="3"/>
  <c r="F1489" i="3"/>
  <c r="G1489" i="3"/>
  <c r="C1490" i="3"/>
  <c r="D1490" i="3"/>
  <c r="F1490" i="3"/>
  <c r="G1490" i="3"/>
  <c r="C1491" i="3"/>
  <c r="D1491" i="3"/>
  <c r="F1491" i="3"/>
  <c r="G1491" i="3"/>
  <c r="C1492" i="3"/>
  <c r="D1492" i="3"/>
  <c r="F1492" i="3"/>
  <c r="G1492" i="3"/>
  <c r="C1493" i="3"/>
  <c r="D1493" i="3"/>
  <c r="F1493" i="3"/>
  <c r="G1493" i="3"/>
  <c r="C1494" i="3"/>
  <c r="D1494" i="3"/>
  <c r="F1494" i="3"/>
  <c r="G1494" i="3"/>
  <c r="C1495" i="3"/>
  <c r="D1495" i="3"/>
  <c r="F1495" i="3"/>
  <c r="G1495" i="3"/>
  <c r="C1496" i="3"/>
  <c r="D1496" i="3"/>
  <c r="F1496" i="3"/>
  <c r="G1496" i="3"/>
  <c r="C1497" i="3"/>
  <c r="D1497" i="3"/>
  <c r="F1497" i="3"/>
  <c r="G1497" i="3"/>
  <c r="C1498" i="3"/>
  <c r="D1498" i="3"/>
  <c r="F1498" i="3"/>
  <c r="G1498" i="3"/>
  <c r="C1499" i="3"/>
  <c r="D1499" i="3"/>
  <c r="F1499" i="3"/>
  <c r="G1499" i="3"/>
  <c r="C1500" i="3"/>
  <c r="D1500" i="3"/>
  <c r="F1500" i="3"/>
  <c r="G1500" i="3"/>
  <c r="C1501" i="3"/>
  <c r="D1501" i="3"/>
  <c r="F1501" i="3"/>
  <c r="G1501" i="3"/>
  <c r="C1502" i="3"/>
  <c r="D1502" i="3"/>
  <c r="F1502" i="3"/>
  <c r="G1502" i="3"/>
  <c r="C1503" i="3"/>
  <c r="D1503" i="3"/>
  <c r="F1503" i="3"/>
  <c r="G1503" i="3"/>
  <c r="C1504" i="3"/>
  <c r="D1504" i="3"/>
  <c r="F1504" i="3"/>
  <c r="G1504" i="3"/>
  <c r="C1505" i="3"/>
  <c r="D1505" i="3"/>
  <c r="F1505" i="3"/>
  <c r="G1505" i="3"/>
  <c r="C1506" i="3"/>
  <c r="D1506" i="3"/>
  <c r="F1506" i="3"/>
  <c r="G1506" i="3"/>
  <c r="C1507" i="3"/>
  <c r="D1507" i="3"/>
  <c r="F1507" i="3"/>
  <c r="G1507" i="3"/>
  <c r="C1508" i="3"/>
  <c r="D1508" i="3"/>
  <c r="F1508" i="3"/>
  <c r="G1508" i="3"/>
  <c r="C1509" i="3"/>
  <c r="D1509" i="3"/>
  <c r="F1509" i="3"/>
  <c r="G1509" i="3"/>
  <c r="C1510" i="3"/>
  <c r="D1510" i="3"/>
  <c r="F1510" i="3"/>
  <c r="G1510" i="3"/>
  <c r="C1511" i="3"/>
  <c r="D1511" i="3"/>
  <c r="F1511" i="3"/>
  <c r="G1511" i="3"/>
  <c r="C1512" i="3"/>
  <c r="D1512" i="3"/>
  <c r="F1512" i="3"/>
  <c r="G1512" i="3"/>
  <c r="C1513" i="3"/>
  <c r="D1513" i="3"/>
  <c r="F1513" i="3"/>
  <c r="G1513" i="3"/>
  <c r="C1514" i="3"/>
  <c r="D1514" i="3"/>
  <c r="F1514" i="3"/>
  <c r="G1514" i="3"/>
  <c r="C1515" i="3"/>
  <c r="D1515" i="3"/>
  <c r="F1515" i="3"/>
  <c r="G1515" i="3"/>
  <c r="C1516" i="3"/>
  <c r="D1516" i="3"/>
  <c r="F1516" i="3"/>
  <c r="G1516" i="3"/>
  <c r="C1517" i="3"/>
  <c r="D1517" i="3"/>
  <c r="F1517" i="3"/>
  <c r="G1517" i="3"/>
  <c r="C1518" i="3"/>
  <c r="D1518" i="3"/>
  <c r="F1518" i="3"/>
  <c r="G1518" i="3"/>
  <c r="C1519" i="3"/>
  <c r="D1519" i="3"/>
  <c r="F1519" i="3"/>
  <c r="G1519" i="3"/>
  <c r="C1520" i="3"/>
  <c r="D1520" i="3"/>
  <c r="F1520" i="3"/>
  <c r="G1520" i="3"/>
  <c r="C1521" i="3"/>
  <c r="D1521" i="3"/>
  <c r="F1521" i="3"/>
  <c r="G1521" i="3"/>
  <c r="C1522" i="3"/>
  <c r="D1522" i="3"/>
  <c r="F1522" i="3"/>
  <c r="G1522" i="3"/>
  <c r="C1523" i="3"/>
  <c r="D1523" i="3"/>
  <c r="F1523" i="3"/>
  <c r="G1523" i="3"/>
  <c r="C1524" i="3"/>
  <c r="D1524" i="3"/>
  <c r="F1524" i="3"/>
  <c r="G1524" i="3"/>
  <c r="C1525" i="3"/>
  <c r="D1525" i="3"/>
  <c r="F1525" i="3"/>
  <c r="G1525" i="3"/>
  <c r="C1526" i="3"/>
  <c r="D1526" i="3"/>
  <c r="F1526" i="3"/>
  <c r="G1526" i="3"/>
  <c r="C1527" i="3"/>
  <c r="D1527" i="3"/>
  <c r="F1527" i="3"/>
  <c r="G1527" i="3"/>
  <c r="C1528" i="3"/>
  <c r="D1528" i="3"/>
  <c r="F1528" i="3"/>
  <c r="G1528" i="3"/>
  <c r="C1529" i="3"/>
  <c r="D1529" i="3"/>
  <c r="F1529" i="3"/>
  <c r="G1529" i="3"/>
  <c r="C1530" i="3"/>
  <c r="D1530" i="3"/>
  <c r="F1530" i="3"/>
  <c r="G1530" i="3"/>
  <c r="C1531" i="3"/>
  <c r="D1531" i="3"/>
  <c r="F1531" i="3"/>
  <c r="G1531" i="3"/>
  <c r="C1532" i="3"/>
  <c r="D1532" i="3"/>
  <c r="F1532" i="3"/>
  <c r="G1532" i="3"/>
  <c r="C1533" i="3"/>
  <c r="D1533" i="3"/>
  <c r="F1533" i="3"/>
  <c r="G1533" i="3"/>
  <c r="C1534" i="3"/>
  <c r="D1534" i="3"/>
  <c r="F1534" i="3"/>
  <c r="G1534" i="3"/>
  <c r="C1535" i="3"/>
  <c r="D1535" i="3"/>
  <c r="F1535" i="3"/>
  <c r="G1535" i="3"/>
  <c r="C1536" i="3"/>
  <c r="D1536" i="3"/>
  <c r="F1536" i="3"/>
  <c r="G1536" i="3"/>
  <c r="C1537" i="3"/>
  <c r="D1537" i="3"/>
  <c r="F1537" i="3"/>
  <c r="G1537" i="3"/>
  <c r="C1538" i="3"/>
  <c r="D1538" i="3"/>
  <c r="F1538" i="3"/>
  <c r="G1538" i="3"/>
  <c r="C1539" i="3"/>
  <c r="D1539" i="3"/>
  <c r="F1539" i="3"/>
  <c r="G1539" i="3"/>
  <c r="C1540" i="3"/>
  <c r="D1540" i="3"/>
  <c r="F1540" i="3"/>
  <c r="G1540" i="3"/>
  <c r="C1541" i="3"/>
  <c r="D1541" i="3"/>
  <c r="F1541" i="3"/>
  <c r="G1541" i="3"/>
  <c r="C1542" i="3"/>
  <c r="D1542" i="3"/>
  <c r="F1542" i="3"/>
  <c r="G1542" i="3"/>
  <c r="C1543" i="3"/>
  <c r="D1543" i="3"/>
  <c r="F1543" i="3"/>
  <c r="G1543" i="3"/>
  <c r="C1544" i="3"/>
  <c r="D1544" i="3"/>
  <c r="F1544" i="3"/>
  <c r="G1544" i="3"/>
  <c r="C1545" i="3"/>
  <c r="D1545" i="3"/>
  <c r="F1545" i="3"/>
  <c r="G1545" i="3"/>
  <c r="C1546" i="3"/>
  <c r="D1546" i="3"/>
  <c r="F1546" i="3"/>
  <c r="G1546" i="3"/>
  <c r="C1547" i="3"/>
  <c r="D1547" i="3"/>
  <c r="F1547" i="3"/>
  <c r="G1547" i="3"/>
  <c r="C1548" i="3"/>
  <c r="D1548" i="3"/>
  <c r="F1548" i="3"/>
  <c r="G1548" i="3"/>
  <c r="C1549" i="3"/>
  <c r="D1549" i="3"/>
  <c r="F1549" i="3"/>
  <c r="G1549" i="3"/>
  <c r="C1550" i="3"/>
  <c r="D1550" i="3"/>
  <c r="F1550" i="3"/>
  <c r="G1550" i="3"/>
  <c r="C1551" i="3"/>
  <c r="D1551" i="3"/>
  <c r="F1551" i="3"/>
  <c r="G1551" i="3"/>
  <c r="C1552" i="3"/>
  <c r="D1552" i="3"/>
  <c r="F1552" i="3"/>
  <c r="G1552" i="3"/>
  <c r="C1553" i="3"/>
  <c r="D1553" i="3"/>
  <c r="F1553" i="3"/>
  <c r="G1553" i="3"/>
  <c r="C1554" i="3"/>
  <c r="D1554" i="3"/>
  <c r="F1554" i="3"/>
  <c r="G1554" i="3"/>
  <c r="C1555" i="3"/>
  <c r="D1555" i="3"/>
  <c r="F1555" i="3"/>
  <c r="G1555" i="3"/>
  <c r="C1556" i="3"/>
  <c r="D1556" i="3"/>
  <c r="F1556" i="3"/>
  <c r="G1556" i="3"/>
  <c r="C1557" i="3"/>
  <c r="D1557" i="3"/>
  <c r="F1557" i="3"/>
  <c r="G1557" i="3"/>
  <c r="C1558" i="3"/>
  <c r="D1558" i="3"/>
  <c r="F1558" i="3"/>
  <c r="G1558" i="3"/>
  <c r="C1559" i="3"/>
  <c r="D1559" i="3"/>
  <c r="F1559" i="3"/>
  <c r="G1559" i="3"/>
  <c r="C1560" i="3"/>
  <c r="D1560" i="3"/>
  <c r="F1560" i="3"/>
  <c r="G1560" i="3"/>
  <c r="C1561" i="3"/>
  <c r="D1561" i="3"/>
  <c r="F1561" i="3"/>
  <c r="G1561" i="3"/>
  <c r="C1562" i="3"/>
  <c r="D1562" i="3"/>
  <c r="F1562" i="3"/>
  <c r="G1562" i="3"/>
  <c r="C1563" i="3"/>
  <c r="D1563" i="3"/>
  <c r="F1563" i="3"/>
  <c r="G1563" i="3"/>
  <c r="C1564" i="3"/>
  <c r="D1564" i="3"/>
  <c r="F1564" i="3"/>
  <c r="G1564" i="3"/>
  <c r="C1565" i="3"/>
  <c r="D1565" i="3"/>
  <c r="F1565" i="3"/>
  <c r="G1565" i="3"/>
  <c r="C1566" i="3"/>
  <c r="D1566" i="3"/>
  <c r="F1566" i="3"/>
  <c r="G1566" i="3"/>
  <c r="C1567" i="3"/>
  <c r="D1567" i="3"/>
  <c r="F1567" i="3"/>
  <c r="G1567" i="3"/>
  <c r="C1568" i="3"/>
  <c r="D1568" i="3"/>
  <c r="F1568" i="3"/>
  <c r="G1568" i="3"/>
  <c r="C1569" i="3"/>
  <c r="D1569" i="3"/>
  <c r="F1569" i="3"/>
  <c r="G1569" i="3"/>
  <c r="C1570" i="3"/>
  <c r="D1570" i="3"/>
  <c r="F1570" i="3"/>
  <c r="G1570" i="3"/>
  <c r="C1571" i="3"/>
  <c r="D1571" i="3"/>
  <c r="F1571" i="3"/>
  <c r="G1571" i="3"/>
  <c r="C1572" i="3"/>
  <c r="D1572" i="3"/>
  <c r="F1572" i="3"/>
  <c r="G1572" i="3"/>
  <c r="C1573" i="3"/>
  <c r="D1573" i="3"/>
  <c r="F1573" i="3"/>
  <c r="G1573" i="3"/>
  <c r="C1574" i="3"/>
  <c r="D1574" i="3"/>
  <c r="F1574" i="3"/>
  <c r="G1574" i="3"/>
  <c r="C1575" i="3"/>
  <c r="D1575" i="3"/>
  <c r="F1575" i="3"/>
  <c r="G1575" i="3"/>
  <c r="C1576" i="3"/>
  <c r="D1576" i="3"/>
  <c r="F1576" i="3"/>
  <c r="G1576" i="3"/>
  <c r="C1577" i="3"/>
  <c r="D1577" i="3"/>
  <c r="F1577" i="3"/>
  <c r="G1577" i="3"/>
  <c r="C1578" i="3"/>
  <c r="D1578" i="3"/>
  <c r="F1578" i="3"/>
  <c r="G1578" i="3"/>
  <c r="C1579" i="3"/>
  <c r="D1579" i="3"/>
  <c r="F1579" i="3"/>
  <c r="G1579" i="3"/>
  <c r="C1580" i="3"/>
  <c r="D1580" i="3"/>
  <c r="F1580" i="3"/>
  <c r="G1580" i="3"/>
  <c r="C1581" i="3"/>
  <c r="D1581" i="3"/>
  <c r="F1581" i="3"/>
  <c r="G1581" i="3"/>
  <c r="C1582" i="3"/>
  <c r="D1582" i="3"/>
  <c r="F1582" i="3"/>
  <c r="G1582" i="3"/>
  <c r="C1583" i="3"/>
  <c r="D1583" i="3"/>
  <c r="F1583" i="3"/>
  <c r="G1583" i="3"/>
  <c r="C1584" i="3"/>
  <c r="D1584" i="3"/>
  <c r="F1584" i="3"/>
  <c r="G1584" i="3"/>
  <c r="C1585" i="3"/>
  <c r="D1585" i="3"/>
  <c r="F1585" i="3"/>
  <c r="G1585" i="3"/>
  <c r="C1586" i="3"/>
  <c r="D1586" i="3"/>
  <c r="F1586" i="3"/>
  <c r="G1586" i="3"/>
  <c r="C1587" i="3"/>
  <c r="D1587" i="3"/>
  <c r="F1587" i="3"/>
  <c r="G1587" i="3"/>
  <c r="C1588" i="3"/>
  <c r="D1588" i="3"/>
  <c r="F1588" i="3"/>
  <c r="G1588" i="3"/>
  <c r="C1589" i="3"/>
  <c r="D1589" i="3"/>
  <c r="F1589" i="3"/>
  <c r="G1589" i="3"/>
  <c r="C1590" i="3"/>
  <c r="D1590" i="3"/>
  <c r="F1590" i="3"/>
  <c r="G1590" i="3"/>
  <c r="C1591" i="3"/>
  <c r="D1591" i="3"/>
  <c r="F1591" i="3"/>
  <c r="G1591" i="3"/>
  <c r="C1592" i="3"/>
  <c r="D1592" i="3"/>
  <c r="F1592" i="3"/>
  <c r="G1592" i="3"/>
  <c r="C1593" i="3"/>
  <c r="D1593" i="3"/>
  <c r="F1593" i="3"/>
  <c r="G1593" i="3"/>
  <c r="C1594" i="3"/>
  <c r="D1594" i="3"/>
  <c r="F1594" i="3"/>
  <c r="G1594" i="3"/>
  <c r="C1595" i="3"/>
  <c r="D1595" i="3"/>
  <c r="F1595" i="3"/>
  <c r="G1595" i="3"/>
  <c r="C1596" i="3"/>
  <c r="D1596" i="3"/>
  <c r="F1596" i="3"/>
  <c r="G1596" i="3"/>
  <c r="C1597" i="3"/>
  <c r="D1597" i="3"/>
  <c r="F1597" i="3"/>
  <c r="G1597" i="3"/>
  <c r="C1598" i="3"/>
  <c r="D1598" i="3"/>
  <c r="F1598" i="3"/>
  <c r="G1598" i="3"/>
  <c r="C1599" i="3"/>
  <c r="D1599" i="3"/>
  <c r="F1599" i="3"/>
  <c r="G1599" i="3"/>
  <c r="C1600" i="3"/>
  <c r="D1600" i="3"/>
  <c r="F1600" i="3"/>
  <c r="G1600" i="3"/>
  <c r="C1601" i="3"/>
  <c r="D1601" i="3"/>
  <c r="F1601" i="3"/>
  <c r="G1601" i="3"/>
  <c r="C1602" i="3"/>
  <c r="D1602" i="3"/>
  <c r="F1602" i="3"/>
  <c r="G1602" i="3"/>
  <c r="C1603" i="3"/>
  <c r="D1603" i="3"/>
  <c r="F1603" i="3"/>
  <c r="G1603" i="3"/>
  <c r="C1604" i="3"/>
  <c r="D1604" i="3"/>
  <c r="F1604" i="3"/>
  <c r="G1604" i="3"/>
  <c r="C1605" i="3"/>
  <c r="D1605" i="3"/>
  <c r="F1605" i="3"/>
  <c r="G1605" i="3"/>
  <c r="C1606" i="3"/>
  <c r="D1606" i="3"/>
  <c r="F1606" i="3"/>
  <c r="G1606" i="3"/>
  <c r="C1607" i="3"/>
  <c r="D1607" i="3"/>
  <c r="F1607" i="3"/>
  <c r="G1607" i="3"/>
  <c r="C1608" i="3"/>
  <c r="D1608" i="3"/>
  <c r="F1608" i="3"/>
  <c r="G1608" i="3"/>
  <c r="C1609" i="3"/>
  <c r="D1609" i="3"/>
  <c r="F1609" i="3"/>
  <c r="G1609" i="3"/>
  <c r="C1610" i="3"/>
  <c r="D1610" i="3"/>
  <c r="F1610" i="3"/>
  <c r="G1610" i="3"/>
  <c r="C1611" i="3"/>
  <c r="D1611" i="3"/>
  <c r="F1611" i="3"/>
  <c r="G1611" i="3"/>
  <c r="C1612" i="3"/>
  <c r="D1612" i="3"/>
  <c r="F1612" i="3"/>
  <c r="G1612" i="3"/>
  <c r="C1613" i="3"/>
  <c r="D1613" i="3"/>
  <c r="F1613" i="3"/>
  <c r="G1613" i="3"/>
  <c r="C1614" i="3"/>
  <c r="D1614" i="3"/>
  <c r="F1614" i="3"/>
  <c r="G1614" i="3"/>
  <c r="C1615" i="3"/>
  <c r="D1615" i="3"/>
  <c r="F1615" i="3"/>
  <c r="G1615" i="3"/>
  <c r="C1616" i="3"/>
  <c r="D1616" i="3"/>
  <c r="F1616" i="3"/>
  <c r="G1616" i="3"/>
  <c r="C1617" i="3"/>
  <c r="D1617" i="3"/>
  <c r="F1617" i="3"/>
  <c r="G1617" i="3"/>
  <c r="C1618" i="3"/>
  <c r="D1618" i="3"/>
  <c r="F1618" i="3"/>
  <c r="G1618" i="3"/>
  <c r="C1619" i="3"/>
  <c r="D1619" i="3"/>
  <c r="F1619" i="3"/>
  <c r="G1619" i="3"/>
  <c r="C1620" i="3"/>
  <c r="D1620" i="3"/>
  <c r="F1620" i="3"/>
  <c r="G1620" i="3"/>
  <c r="C1621" i="3"/>
  <c r="D1621" i="3"/>
  <c r="F1621" i="3"/>
  <c r="G1621" i="3"/>
  <c r="C1622" i="3"/>
  <c r="D1622" i="3"/>
  <c r="F1622" i="3"/>
  <c r="G1622" i="3"/>
  <c r="C1623" i="3"/>
  <c r="D1623" i="3"/>
  <c r="F1623" i="3"/>
  <c r="G1623" i="3"/>
  <c r="C1624" i="3"/>
  <c r="D1624" i="3"/>
  <c r="F1624" i="3"/>
  <c r="G1624" i="3"/>
  <c r="C1625" i="3"/>
  <c r="D1625" i="3"/>
  <c r="F1625" i="3"/>
  <c r="G1625" i="3"/>
  <c r="C1626" i="3"/>
  <c r="D1626" i="3"/>
  <c r="F1626" i="3"/>
  <c r="G1626" i="3"/>
  <c r="C1627" i="3"/>
  <c r="D1627" i="3"/>
  <c r="F1627" i="3"/>
  <c r="G1627" i="3"/>
  <c r="C1628" i="3"/>
  <c r="D1628" i="3"/>
  <c r="F1628" i="3"/>
  <c r="G1628" i="3"/>
  <c r="C1629" i="3"/>
  <c r="D1629" i="3"/>
  <c r="F1629" i="3"/>
  <c r="G1629" i="3"/>
  <c r="C1630" i="3"/>
  <c r="D1630" i="3"/>
  <c r="F1630" i="3"/>
  <c r="G1630" i="3"/>
  <c r="C1631" i="3"/>
  <c r="D1631" i="3"/>
  <c r="F1631" i="3"/>
  <c r="G1631" i="3"/>
  <c r="C1632" i="3"/>
  <c r="D1632" i="3"/>
  <c r="F1632" i="3"/>
  <c r="G1632" i="3"/>
  <c r="C1633" i="3"/>
  <c r="D1633" i="3"/>
  <c r="F1633" i="3"/>
  <c r="G1633" i="3"/>
  <c r="C1634" i="3"/>
  <c r="D1634" i="3"/>
  <c r="F1634" i="3"/>
  <c r="G1634" i="3"/>
  <c r="C1635" i="3"/>
  <c r="D1635" i="3"/>
  <c r="F1635" i="3"/>
  <c r="G1635" i="3"/>
  <c r="C1636" i="3"/>
  <c r="D1636" i="3"/>
  <c r="F1636" i="3"/>
  <c r="G1636" i="3"/>
  <c r="C1637" i="3"/>
  <c r="D1637" i="3"/>
  <c r="F1637" i="3"/>
  <c r="G1637" i="3"/>
  <c r="C1638" i="3"/>
  <c r="D1638" i="3"/>
  <c r="F1638" i="3"/>
  <c r="G1638" i="3"/>
  <c r="C1639" i="3"/>
  <c r="D1639" i="3"/>
  <c r="F1639" i="3"/>
  <c r="G1639" i="3"/>
  <c r="C1640" i="3"/>
  <c r="D1640" i="3"/>
  <c r="F1640" i="3"/>
  <c r="G1640" i="3"/>
  <c r="C1641" i="3"/>
  <c r="D1641" i="3"/>
  <c r="F1641" i="3"/>
  <c r="G1641" i="3"/>
  <c r="C1642" i="3"/>
  <c r="D1642" i="3"/>
  <c r="F1642" i="3"/>
  <c r="G1642" i="3"/>
  <c r="C1643" i="3"/>
  <c r="D1643" i="3"/>
  <c r="F1643" i="3"/>
  <c r="G1643" i="3"/>
  <c r="C1644" i="3"/>
  <c r="D1644" i="3"/>
  <c r="F1644" i="3"/>
  <c r="G1644" i="3"/>
  <c r="C1645" i="3"/>
  <c r="D1645" i="3"/>
  <c r="F1645" i="3"/>
  <c r="G1645" i="3"/>
  <c r="C1646" i="3"/>
  <c r="D1646" i="3"/>
  <c r="F1646" i="3"/>
  <c r="G1646" i="3"/>
  <c r="C1647" i="3"/>
  <c r="D1647" i="3"/>
  <c r="F1647" i="3"/>
  <c r="G1647" i="3"/>
  <c r="C1648" i="3"/>
  <c r="D1648" i="3"/>
  <c r="F1648" i="3"/>
  <c r="G1648" i="3"/>
  <c r="C1649" i="3"/>
  <c r="D1649" i="3"/>
  <c r="F1649" i="3"/>
  <c r="G1649" i="3"/>
  <c r="C1650" i="3"/>
  <c r="D1650" i="3"/>
  <c r="F1650" i="3"/>
  <c r="G1650" i="3"/>
  <c r="C1651" i="3"/>
  <c r="D1651" i="3"/>
  <c r="F1651" i="3"/>
  <c r="G1651" i="3"/>
  <c r="C1652" i="3"/>
  <c r="D1652" i="3"/>
  <c r="F1652" i="3"/>
  <c r="G1652" i="3"/>
  <c r="C1653" i="3"/>
  <c r="D1653" i="3"/>
  <c r="F1653" i="3"/>
  <c r="G1653" i="3"/>
  <c r="C1654" i="3"/>
  <c r="D1654" i="3"/>
  <c r="F1654" i="3"/>
  <c r="G1654" i="3"/>
  <c r="C1655" i="3"/>
  <c r="D1655" i="3"/>
  <c r="F1655" i="3"/>
  <c r="G1655" i="3"/>
  <c r="C1656" i="3"/>
  <c r="D1656" i="3"/>
  <c r="F1656" i="3"/>
  <c r="G1656" i="3"/>
  <c r="C1657" i="3"/>
  <c r="D1657" i="3"/>
  <c r="F1657" i="3"/>
  <c r="G1657" i="3"/>
  <c r="C1658" i="3"/>
  <c r="D1658" i="3"/>
  <c r="F1658" i="3"/>
  <c r="G1658" i="3"/>
  <c r="C1659" i="3"/>
  <c r="D1659" i="3"/>
  <c r="F1659" i="3"/>
  <c r="G1659" i="3"/>
  <c r="C1660" i="3"/>
  <c r="D1660" i="3"/>
  <c r="F1660" i="3"/>
  <c r="G1660" i="3"/>
  <c r="C1661" i="3"/>
  <c r="D1661" i="3"/>
  <c r="F1661" i="3"/>
  <c r="G1661" i="3"/>
  <c r="C1662" i="3"/>
  <c r="D1662" i="3"/>
  <c r="F1662" i="3"/>
  <c r="G1662" i="3"/>
  <c r="C1663" i="3"/>
  <c r="D1663" i="3"/>
  <c r="F1663" i="3"/>
  <c r="G1663" i="3"/>
  <c r="C1664" i="3"/>
  <c r="D1664" i="3"/>
  <c r="F1664" i="3"/>
  <c r="G1664" i="3"/>
  <c r="C1665" i="3"/>
  <c r="D1665" i="3"/>
  <c r="F1665" i="3"/>
  <c r="G1665" i="3"/>
  <c r="C1666" i="3"/>
  <c r="D1666" i="3"/>
  <c r="F1666" i="3"/>
  <c r="G1666" i="3"/>
  <c r="C1667" i="3"/>
  <c r="D1667" i="3"/>
  <c r="F1667" i="3"/>
  <c r="G1667" i="3"/>
  <c r="C1668" i="3"/>
  <c r="D1668" i="3"/>
  <c r="F1668" i="3"/>
  <c r="G1668" i="3"/>
  <c r="C1669" i="3"/>
  <c r="D1669" i="3"/>
  <c r="F1669" i="3"/>
  <c r="G1669" i="3"/>
  <c r="C1670" i="3"/>
  <c r="D1670" i="3"/>
  <c r="F1670" i="3"/>
  <c r="G1670" i="3"/>
  <c r="C1671" i="3"/>
  <c r="D1671" i="3"/>
  <c r="F1671" i="3"/>
  <c r="G1671" i="3"/>
  <c r="C1672" i="3"/>
  <c r="D1672" i="3"/>
  <c r="F1672" i="3"/>
  <c r="G1672" i="3"/>
  <c r="C1673" i="3"/>
  <c r="D1673" i="3"/>
  <c r="F1673" i="3"/>
  <c r="G1673" i="3"/>
  <c r="C1674" i="3"/>
  <c r="D1674" i="3"/>
  <c r="F1674" i="3"/>
  <c r="G1674" i="3"/>
  <c r="C1675" i="3"/>
  <c r="D1675" i="3"/>
  <c r="F1675" i="3"/>
  <c r="G1675" i="3"/>
  <c r="C1676" i="3"/>
  <c r="D1676" i="3"/>
  <c r="F1676" i="3"/>
  <c r="G1676" i="3"/>
  <c r="C1677" i="3"/>
  <c r="D1677" i="3"/>
  <c r="F1677" i="3"/>
  <c r="G1677" i="3"/>
  <c r="C1678" i="3"/>
  <c r="D1678" i="3"/>
  <c r="F1678" i="3"/>
  <c r="G1678" i="3"/>
  <c r="C1679" i="3"/>
  <c r="D1679" i="3"/>
  <c r="F1679" i="3"/>
  <c r="G1679" i="3"/>
  <c r="C1680" i="3"/>
  <c r="D1680" i="3"/>
  <c r="F1680" i="3"/>
  <c r="G1680" i="3"/>
  <c r="C1681" i="3"/>
  <c r="D1681" i="3"/>
  <c r="F1681" i="3"/>
  <c r="G1681" i="3"/>
  <c r="C1682" i="3"/>
  <c r="D1682" i="3"/>
  <c r="F1682" i="3"/>
  <c r="G1682" i="3"/>
  <c r="C1683" i="3"/>
  <c r="D1683" i="3"/>
  <c r="F1683" i="3"/>
  <c r="G1683" i="3"/>
  <c r="C1684" i="3"/>
  <c r="D1684" i="3"/>
  <c r="F1684" i="3"/>
  <c r="G1684" i="3"/>
  <c r="C1685" i="3"/>
  <c r="D1685" i="3"/>
  <c r="F1685" i="3"/>
  <c r="G1685" i="3"/>
  <c r="C1686" i="3"/>
  <c r="D1686" i="3"/>
  <c r="F1686" i="3"/>
  <c r="G1686" i="3"/>
  <c r="C1687" i="3"/>
  <c r="D1687" i="3"/>
  <c r="F1687" i="3"/>
  <c r="G1687" i="3"/>
  <c r="C1688" i="3"/>
  <c r="D1688" i="3"/>
  <c r="F1688" i="3"/>
  <c r="G1688" i="3"/>
  <c r="C1689" i="3"/>
  <c r="D1689" i="3"/>
  <c r="F1689" i="3"/>
  <c r="G1689" i="3"/>
  <c r="C1690" i="3"/>
  <c r="D1690" i="3"/>
  <c r="F1690" i="3"/>
  <c r="G1690" i="3"/>
  <c r="C1691" i="3"/>
  <c r="D1691" i="3"/>
  <c r="F1691" i="3"/>
  <c r="G1691" i="3"/>
  <c r="C1692" i="3"/>
  <c r="D1692" i="3"/>
  <c r="F1692" i="3"/>
  <c r="G1692" i="3"/>
  <c r="C1693" i="3"/>
  <c r="D1693" i="3"/>
  <c r="F1693" i="3"/>
  <c r="G1693" i="3"/>
  <c r="C1694" i="3"/>
  <c r="D1694" i="3"/>
  <c r="F1694" i="3"/>
  <c r="G1694" i="3"/>
  <c r="C1695" i="3"/>
  <c r="D1695" i="3"/>
  <c r="F1695" i="3"/>
  <c r="G1695" i="3"/>
  <c r="C1696" i="3"/>
  <c r="D1696" i="3"/>
  <c r="F1696" i="3"/>
  <c r="G1696" i="3"/>
  <c r="C1697" i="3"/>
  <c r="D1697" i="3"/>
  <c r="F1697" i="3"/>
  <c r="G1697" i="3"/>
  <c r="C1698" i="3"/>
  <c r="D1698" i="3"/>
  <c r="F1698" i="3"/>
  <c r="G1698" i="3"/>
  <c r="C1699" i="3"/>
  <c r="D1699" i="3"/>
  <c r="F1699" i="3"/>
  <c r="G1699" i="3"/>
  <c r="C1700" i="3"/>
  <c r="D1700" i="3"/>
  <c r="F1700" i="3"/>
  <c r="G1700" i="3"/>
  <c r="C1701" i="3"/>
  <c r="D1701" i="3"/>
  <c r="F1701" i="3"/>
  <c r="G1701" i="3"/>
  <c r="C1702" i="3"/>
  <c r="D1702" i="3"/>
  <c r="F1702" i="3"/>
  <c r="G1702" i="3"/>
  <c r="C1703" i="3"/>
  <c r="D1703" i="3"/>
  <c r="F1703" i="3"/>
  <c r="G1703" i="3"/>
  <c r="C1704" i="3"/>
  <c r="D1704" i="3"/>
  <c r="F1704" i="3"/>
  <c r="G1704" i="3"/>
  <c r="C1705" i="3"/>
  <c r="D1705" i="3"/>
  <c r="F1705" i="3"/>
  <c r="G1705" i="3"/>
  <c r="C1706" i="3"/>
  <c r="D1706" i="3"/>
  <c r="F1706" i="3"/>
  <c r="G1706" i="3"/>
  <c r="C1707" i="3"/>
  <c r="D1707" i="3"/>
  <c r="F1707" i="3"/>
  <c r="G1707" i="3"/>
  <c r="C1708" i="3"/>
  <c r="D1708" i="3"/>
  <c r="F1708" i="3"/>
  <c r="G1708" i="3"/>
  <c r="C1709" i="3"/>
  <c r="D1709" i="3"/>
  <c r="F1709" i="3"/>
  <c r="G1709" i="3"/>
  <c r="C1710" i="3"/>
  <c r="D1710" i="3"/>
  <c r="F1710" i="3"/>
  <c r="G1710" i="3"/>
  <c r="C1711" i="3"/>
  <c r="D1711" i="3"/>
  <c r="F1711" i="3"/>
  <c r="G1711" i="3"/>
  <c r="C1712" i="3"/>
  <c r="D1712" i="3"/>
  <c r="F1712" i="3"/>
  <c r="G1712" i="3"/>
  <c r="C1713" i="3"/>
  <c r="D1713" i="3"/>
  <c r="F1713" i="3"/>
  <c r="G1713" i="3"/>
  <c r="C1714" i="3"/>
  <c r="D1714" i="3"/>
  <c r="F1714" i="3"/>
  <c r="G1714" i="3"/>
  <c r="C1715" i="3"/>
  <c r="D1715" i="3"/>
  <c r="F1715" i="3"/>
  <c r="G1715" i="3"/>
  <c r="C1716" i="3"/>
  <c r="D1716" i="3"/>
  <c r="F1716" i="3"/>
  <c r="G1716" i="3"/>
  <c r="C1717" i="3"/>
  <c r="D1717" i="3"/>
  <c r="F1717" i="3"/>
  <c r="G1717" i="3"/>
  <c r="C1718" i="3"/>
  <c r="D1718" i="3"/>
  <c r="F1718" i="3"/>
  <c r="G1718" i="3"/>
  <c r="C1719" i="3"/>
  <c r="D1719" i="3"/>
  <c r="F1719" i="3"/>
  <c r="G1719" i="3"/>
  <c r="C1720" i="3"/>
  <c r="D1720" i="3"/>
  <c r="F1720" i="3"/>
  <c r="G1720" i="3"/>
  <c r="C1721" i="3"/>
  <c r="D1721" i="3"/>
  <c r="F1721" i="3"/>
  <c r="G1721" i="3"/>
  <c r="C1722" i="3"/>
  <c r="D1722" i="3"/>
  <c r="F1722" i="3"/>
  <c r="G1722" i="3"/>
  <c r="C1723" i="3"/>
  <c r="D1723" i="3"/>
  <c r="F1723" i="3"/>
  <c r="G1723" i="3"/>
  <c r="C1724" i="3"/>
  <c r="D1724" i="3"/>
  <c r="F1724" i="3"/>
  <c r="G1724" i="3"/>
  <c r="C1725" i="3"/>
  <c r="D1725" i="3"/>
  <c r="F1725" i="3"/>
  <c r="G1725" i="3"/>
  <c r="C1726" i="3"/>
  <c r="D1726" i="3"/>
  <c r="F1726" i="3"/>
  <c r="G1726" i="3"/>
  <c r="C1727" i="3"/>
  <c r="D1727" i="3"/>
  <c r="F1727" i="3"/>
  <c r="G1727" i="3"/>
  <c r="C1728" i="3"/>
  <c r="D1728" i="3"/>
  <c r="F1728" i="3"/>
  <c r="G1728" i="3"/>
  <c r="C1729" i="3"/>
  <c r="D1729" i="3"/>
  <c r="F1729" i="3"/>
  <c r="G1729" i="3"/>
  <c r="C1730" i="3"/>
  <c r="D1730" i="3"/>
  <c r="F1730" i="3"/>
  <c r="G1730" i="3"/>
  <c r="C1731" i="3"/>
  <c r="D1731" i="3"/>
  <c r="F1731" i="3"/>
  <c r="G1731" i="3"/>
  <c r="C1732" i="3"/>
  <c r="D1732" i="3"/>
  <c r="F1732" i="3"/>
  <c r="G1732" i="3"/>
  <c r="C1733" i="3"/>
  <c r="D1733" i="3"/>
  <c r="F1733" i="3"/>
  <c r="G1733" i="3"/>
  <c r="C1734" i="3"/>
  <c r="D1734" i="3"/>
  <c r="F1734" i="3"/>
  <c r="G1734" i="3"/>
  <c r="C1735" i="3"/>
  <c r="D1735" i="3"/>
  <c r="F1735" i="3"/>
  <c r="G1735" i="3"/>
  <c r="C1736" i="3"/>
  <c r="D1736" i="3"/>
  <c r="F1736" i="3"/>
  <c r="G1736" i="3"/>
  <c r="C1737" i="3"/>
  <c r="D1737" i="3"/>
  <c r="F1737" i="3"/>
  <c r="G1737" i="3"/>
  <c r="C1738" i="3"/>
  <c r="D1738" i="3"/>
  <c r="F1738" i="3"/>
  <c r="G1738" i="3"/>
  <c r="C1739" i="3"/>
  <c r="D1739" i="3"/>
  <c r="F1739" i="3"/>
  <c r="G1739" i="3"/>
  <c r="C1740" i="3"/>
  <c r="D1740" i="3"/>
  <c r="F1740" i="3"/>
  <c r="G1740" i="3"/>
  <c r="C1741" i="3"/>
  <c r="D1741" i="3"/>
  <c r="F1741" i="3"/>
  <c r="G1741" i="3"/>
  <c r="C1742" i="3"/>
  <c r="D1742" i="3"/>
  <c r="F1742" i="3"/>
  <c r="G1742" i="3"/>
  <c r="C1743" i="3"/>
  <c r="D1743" i="3"/>
  <c r="F1743" i="3"/>
  <c r="G1743" i="3"/>
  <c r="C1744" i="3"/>
  <c r="D1744" i="3"/>
  <c r="F1744" i="3"/>
  <c r="G1744" i="3"/>
  <c r="C1745" i="3"/>
  <c r="D1745" i="3"/>
  <c r="F1745" i="3"/>
  <c r="G1745" i="3"/>
  <c r="C1746" i="3"/>
  <c r="D1746" i="3"/>
  <c r="F1746" i="3"/>
  <c r="G1746" i="3"/>
  <c r="C1747" i="3"/>
  <c r="D1747" i="3"/>
  <c r="F1747" i="3"/>
  <c r="G1747" i="3"/>
  <c r="C1748" i="3"/>
  <c r="D1748" i="3"/>
  <c r="F1748" i="3"/>
  <c r="G1748" i="3"/>
  <c r="C1749" i="3"/>
  <c r="D1749" i="3"/>
  <c r="F1749" i="3"/>
  <c r="G1749" i="3"/>
  <c r="C1750" i="3"/>
  <c r="D1750" i="3"/>
  <c r="F1750" i="3"/>
  <c r="G1750" i="3"/>
  <c r="C1751" i="3"/>
  <c r="D1751" i="3"/>
  <c r="F1751" i="3"/>
  <c r="G1751" i="3"/>
  <c r="C1752" i="3"/>
  <c r="D1752" i="3"/>
  <c r="F1752" i="3"/>
  <c r="G1752" i="3"/>
  <c r="C1753" i="3"/>
  <c r="D1753" i="3"/>
  <c r="F1753" i="3"/>
  <c r="G1753" i="3"/>
  <c r="C1754" i="3"/>
  <c r="D1754" i="3"/>
  <c r="F1754" i="3"/>
  <c r="G1754" i="3"/>
  <c r="C1755" i="3"/>
  <c r="D1755" i="3"/>
  <c r="F1755" i="3"/>
  <c r="G1755" i="3"/>
  <c r="C1756" i="3"/>
  <c r="D1756" i="3"/>
  <c r="F1756" i="3"/>
  <c r="G1756" i="3"/>
  <c r="C1757" i="3"/>
  <c r="D1757" i="3"/>
  <c r="F1757" i="3"/>
  <c r="G1757" i="3"/>
  <c r="C1758" i="3"/>
  <c r="D1758" i="3"/>
  <c r="F1758" i="3"/>
  <c r="G1758" i="3"/>
  <c r="C1759" i="3"/>
  <c r="D1759" i="3"/>
  <c r="F1759" i="3"/>
  <c r="G1759" i="3"/>
  <c r="C1760" i="3"/>
  <c r="D1760" i="3"/>
  <c r="F1760" i="3"/>
  <c r="G1760" i="3"/>
  <c r="C1761" i="3"/>
  <c r="D1761" i="3"/>
  <c r="F1761" i="3"/>
  <c r="G1761" i="3"/>
  <c r="C1762" i="3"/>
  <c r="D1762" i="3"/>
  <c r="F1762" i="3"/>
  <c r="G1762" i="3"/>
  <c r="C1763" i="3"/>
  <c r="D1763" i="3"/>
  <c r="F1763" i="3"/>
  <c r="G1763" i="3"/>
  <c r="C1764" i="3"/>
  <c r="D1764" i="3"/>
  <c r="F1764" i="3"/>
  <c r="G1764" i="3"/>
  <c r="C1765" i="3"/>
  <c r="D1765" i="3"/>
  <c r="F1765" i="3"/>
  <c r="G1765" i="3"/>
  <c r="C1766" i="3"/>
  <c r="D1766" i="3"/>
  <c r="F1766" i="3"/>
  <c r="G1766" i="3"/>
  <c r="C1767" i="3"/>
  <c r="D1767" i="3"/>
  <c r="F1767" i="3"/>
  <c r="G1767" i="3"/>
  <c r="C1768" i="3"/>
  <c r="D1768" i="3"/>
  <c r="F1768" i="3"/>
  <c r="G1768" i="3"/>
  <c r="C1769" i="3"/>
  <c r="D1769" i="3"/>
  <c r="F1769" i="3"/>
  <c r="G1769" i="3"/>
  <c r="C1770" i="3"/>
  <c r="D1770" i="3"/>
  <c r="F1770" i="3"/>
  <c r="G1770" i="3"/>
  <c r="C1771" i="3"/>
  <c r="D1771" i="3"/>
  <c r="F1771" i="3"/>
  <c r="G1771" i="3"/>
  <c r="C1772" i="3"/>
  <c r="D1772" i="3"/>
  <c r="F1772" i="3"/>
  <c r="G1772" i="3"/>
  <c r="C1773" i="3"/>
  <c r="D1773" i="3"/>
  <c r="F1773" i="3"/>
  <c r="G1773" i="3"/>
  <c r="C1774" i="3"/>
  <c r="D1774" i="3"/>
  <c r="F1774" i="3"/>
  <c r="G1774" i="3"/>
  <c r="C1775" i="3"/>
  <c r="D1775" i="3"/>
  <c r="F1775" i="3"/>
  <c r="G1775" i="3"/>
  <c r="C1776" i="3"/>
  <c r="D1776" i="3"/>
  <c r="F1776" i="3"/>
  <c r="G1776" i="3"/>
  <c r="C1777" i="3"/>
  <c r="D1777" i="3"/>
  <c r="F1777" i="3"/>
  <c r="G1777" i="3"/>
  <c r="C1778" i="3"/>
  <c r="D1778" i="3"/>
  <c r="F1778" i="3"/>
  <c r="G1778" i="3"/>
  <c r="C1779" i="3"/>
  <c r="D1779" i="3"/>
  <c r="F1779" i="3"/>
  <c r="G1779" i="3"/>
  <c r="C1780" i="3"/>
  <c r="D1780" i="3"/>
  <c r="F1780" i="3"/>
  <c r="G1780" i="3"/>
  <c r="C1781" i="3"/>
  <c r="D1781" i="3"/>
  <c r="F1781" i="3"/>
  <c r="G1781" i="3"/>
  <c r="C1782" i="3"/>
  <c r="D1782" i="3"/>
  <c r="F1782" i="3"/>
  <c r="G1782" i="3"/>
  <c r="C1783" i="3"/>
  <c r="D1783" i="3"/>
  <c r="F1783" i="3"/>
  <c r="G1783" i="3"/>
  <c r="C1784" i="3"/>
  <c r="D1784" i="3"/>
  <c r="F1784" i="3"/>
  <c r="G1784" i="3"/>
  <c r="C1785" i="3"/>
  <c r="D1785" i="3"/>
  <c r="F1785" i="3"/>
  <c r="G1785" i="3"/>
  <c r="C1786" i="3"/>
  <c r="D1786" i="3"/>
  <c r="F1786" i="3"/>
  <c r="G1786" i="3"/>
  <c r="C1787" i="3"/>
  <c r="D1787" i="3"/>
  <c r="F1787" i="3"/>
  <c r="G1787" i="3"/>
  <c r="C1788" i="3"/>
  <c r="D1788" i="3"/>
  <c r="F1788" i="3"/>
  <c r="G1788" i="3"/>
  <c r="C1789" i="3"/>
  <c r="D1789" i="3"/>
  <c r="F1789" i="3"/>
  <c r="G1789" i="3"/>
  <c r="C1790" i="3"/>
  <c r="D1790" i="3"/>
  <c r="F1790" i="3"/>
  <c r="G1790" i="3"/>
  <c r="C1791" i="3"/>
  <c r="D1791" i="3"/>
  <c r="F1791" i="3"/>
  <c r="G1791" i="3"/>
  <c r="C1792" i="3"/>
  <c r="D1792" i="3"/>
  <c r="F1792" i="3"/>
  <c r="G1792" i="3"/>
  <c r="C1793" i="3"/>
  <c r="D1793" i="3"/>
  <c r="F1793" i="3"/>
  <c r="G1793" i="3"/>
  <c r="C1794" i="3"/>
  <c r="D1794" i="3"/>
  <c r="F1794" i="3"/>
  <c r="G1794" i="3"/>
  <c r="C1795" i="3"/>
  <c r="D1795" i="3"/>
  <c r="F1795" i="3"/>
  <c r="G1795" i="3"/>
  <c r="C1796" i="3"/>
  <c r="D1796" i="3"/>
  <c r="F1796" i="3"/>
  <c r="G1796" i="3"/>
  <c r="C1797" i="3"/>
  <c r="D1797" i="3"/>
  <c r="F1797" i="3"/>
  <c r="G1797" i="3"/>
  <c r="C1798" i="3"/>
  <c r="D1798" i="3"/>
  <c r="F1798" i="3"/>
  <c r="G1798" i="3"/>
  <c r="C1799" i="3"/>
  <c r="D1799" i="3"/>
  <c r="F1799" i="3"/>
  <c r="G1799" i="3"/>
  <c r="C1800" i="3"/>
  <c r="D1800" i="3"/>
  <c r="F1800" i="3"/>
  <c r="G1800" i="3"/>
  <c r="C1801" i="3"/>
  <c r="D1801" i="3"/>
  <c r="F1801" i="3"/>
  <c r="G1801" i="3"/>
  <c r="C1802" i="3"/>
  <c r="D1802" i="3"/>
  <c r="F1802" i="3"/>
  <c r="G1802" i="3"/>
  <c r="C1803" i="3"/>
  <c r="D1803" i="3"/>
  <c r="F1803" i="3"/>
  <c r="G1803" i="3"/>
  <c r="C1804" i="3"/>
  <c r="D1804" i="3"/>
  <c r="F1804" i="3"/>
  <c r="G1804" i="3"/>
  <c r="C1805" i="3"/>
  <c r="D1805" i="3"/>
  <c r="F1805" i="3"/>
  <c r="G1805" i="3"/>
  <c r="C1806" i="3"/>
  <c r="D1806" i="3"/>
  <c r="F1806" i="3"/>
  <c r="G1806" i="3"/>
  <c r="C1807" i="3"/>
  <c r="D1807" i="3"/>
  <c r="F1807" i="3"/>
  <c r="G1807" i="3"/>
  <c r="C1808" i="3"/>
  <c r="D1808" i="3"/>
  <c r="F1808" i="3"/>
  <c r="G1808" i="3"/>
  <c r="C1809" i="3"/>
  <c r="D1809" i="3"/>
  <c r="F1809" i="3"/>
  <c r="G1809" i="3"/>
  <c r="C1810" i="3"/>
  <c r="D1810" i="3"/>
  <c r="F1810" i="3"/>
  <c r="G1810" i="3"/>
  <c r="C1811" i="3"/>
  <c r="D1811" i="3"/>
  <c r="F1811" i="3"/>
  <c r="G1811" i="3"/>
  <c r="C1812" i="3"/>
  <c r="D1812" i="3"/>
  <c r="F1812" i="3"/>
  <c r="G1812" i="3"/>
  <c r="C1813" i="3"/>
  <c r="D1813" i="3"/>
  <c r="F1813" i="3"/>
  <c r="G1813" i="3"/>
  <c r="C1814" i="3"/>
  <c r="D1814" i="3"/>
  <c r="F1814" i="3"/>
  <c r="G1814" i="3"/>
  <c r="C1815" i="3"/>
  <c r="D1815" i="3"/>
  <c r="F1815" i="3"/>
  <c r="G1815" i="3"/>
  <c r="C1816" i="3"/>
  <c r="D1816" i="3"/>
  <c r="F1816" i="3"/>
  <c r="G1816" i="3"/>
  <c r="C1817" i="3"/>
  <c r="D1817" i="3"/>
  <c r="F1817" i="3"/>
  <c r="G1817" i="3"/>
  <c r="C1818" i="3"/>
  <c r="D1818" i="3"/>
  <c r="F1818" i="3"/>
  <c r="G1818" i="3"/>
  <c r="C1819" i="3"/>
  <c r="D1819" i="3"/>
  <c r="F1819" i="3"/>
  <c r="G1819" i="3"/>
  <c r="C1820" i="3"/>
  <c r="D1820" i="3"/>
  <c r="F1820" i="3"/>
  <c r="G1820" i="3"/>
  <c r="C1821" i="3"/>
  <c r="D1821" i="3"/>
  <c r="F1821" i="3"/>
  <c r="G1821" i="3"/>
  <c r="C1822" i="3"/>
  <c r="D1822" i="3"/>
  <c r="F1822" i="3"/>
  <c r="G1822" i="3"/>
  <c r="C1823" i="3"/>
  <c r="D1823" i="3"/>
  <c r="F1823" i="3"/>
  <c r="G1823" i="3"/>
  <c r="C1824" i="3"/>
  <c r="D1824" i="3"/>
  <c r="F1824" i="3"/>
  <c r="G1824" i="3"/>
  <c r="C1825" i="3"/>
  <c r="D1825" i="3"/>
  <c r="F1825" i="3"/>
  <c r="G1825" i="3"/>
  <c r="C1826" i="3"/>
  <c r="D1826" i="3"/>
  <c r="F1826" i="3"/>
  <c r="G1826" i="3"/>
  <c r="C1827" i="3"/>
  <c r="D1827" i="3"/>
  <c r="F1827" i="3"/>
  <c r="G1827" i="3"/>
  <c r="C1828" i="3"/>
  <c r="D1828" i="3"/>
  <c r="F1828" i="3"/>
  <c r="G1828" i="3"/>
  <c r="C1829" i="3"/>
  <c r="D1829" i="3"/>
  <c r="F1829" i="3"/>
  <c r="G1829" i="3"/>
  <c r="C1830" i="3"/>
  <c r="D1830" i="3"/>
  <c r="F1830" i="3"/>
  <c r="G1830" i="3"/>
  <c r="C1831" i="3"/>
  <c r="D1831" i="3"/>
  <c r="F1831" i="3"/>
  <c r="G1831" i="3"/>
  <c r="C1832" i="3"/>
  <c r="D1832" i="3"/>
  <c r="F1832" i="3"/>
  <c r="G1832" i="3"/>
  <c r="C1833" i="3"/>
  <c r="D1833" i="3"/>
  <c r="F1833" i="3"/>
  <c r="G1833" i="3"/>
  <c r="C1834" i="3"/>
  <c r="D1834" i="3"/>
  <c r="F1834" i="3"/>
  <c r="G1834" i="3"/>
  <c r="C1835" i="3"/>
  <c r="D1835" i="3"/>
  <c r="F1835" i="3"/>
  <c r="G1835" i="3"/>
  <c r="C1836" i="3"/>
  <c r="D1836" i="3"/>
  <c r="F1836" i="3"/>
  <c r="G1836" i="3"/>
  <c r="C1837" i="3"/>
  <c r="D1837" i="3"/>
  <c r="F1837" i="3"/>
  <c r="G1837" i="3"/>
  <c r="C1838" i="3"/>
  <c r="D1838" i="3"/>
  <c r="F1838" i="3"/>
  <c r="G1838" i="3"/>
  <c r="C1839" i="3"/>
  <c r="D1839" i="3"/>
  <c r="F1839" i="3"/>
  <c r="G1839" i="3"/>
  <c r="C1840" i="3"/>
  <c r="D1840" i="3"/>
  <c r="F1840" i="3"/>
  <c r="G1840" i="3"/>
  <c r="C1841" i="3"/>
  <c r="D1841" i="3"/>
  <c r="F1841" i="3"/>
  <c r="G1841" i="3"/>
  <c r="C1842" i="3"/>
  <c r="D1842" i="3"/>
  <c r="F1842" i="3"/>
  <c r="G1842" i="3"/>
  <c r="C1843" i="3"/>
  <c r="D1843" i="3"/>
  <c r="F1843" i="3"/>
  <c r="G1843" i="3"/>
  <c r="C1844" i="3"/>
  <c r="D1844" i="3"/>
  <c r="F1844" i="3"/>
  <c r="G1844" i="3"/>
  <c r="C1845" i="3"/>
  <c r="D1845" i="3"/>
  <c r="F1845" i="3"/>
  <c r="G1845" i="3"/>
  <c r="C1846" i="3"/>
  <c r="D1846" i="3"/>
  <c r="F1846" i="3"/>
  <c r="G1846" i="3"/>
  <c r="C1847" i="3"/>
  <c r="D1847" i="3"/>
  <c r="F1847" i="3"/>
  <c r="G1847" i="3"/>
  <c r="C1848" i="3"/>
  <c r="D1848" i="3"/>
  <c r="F1848" i="3"/>
  <c r="G1848" i="3"/>
  <c r="C1849" i="3"/>
  <c r="D1849" i="3"/>
  <c r="F1849" i="3"/>
  <c r="G1849" i="3"/>
  <c r="C1850" i="3"/>
  <c r="D1850" i="3"/>
  <c r="F1850" i="3"/>
  <c r="G1850" i="3"/>
  <c r="C1851" i="3"/>
  <c r="D1851" i="3"/>
  <c r="F1851" i="3"/>
  <c r="G1851" i="3"/>
  <c r="C1852" i="3"/>
  <c r="D1852" i="3"/>
  <c r="F1852" i="3"/>
  <c r="G1852" i="3"/>
  <c r="C1853" i="3"/>
  <c r="D1853" i="3"/>
  <c r="F1853" i="3"/>
  <c r="G1853" i="3"/>
  <c r="C1854" i="3"/>
  <c r="D1854" i="3"/>
  <c r="F1854" i="3"/>
  <c r="G1854" i="3"/>
  <c r="C1855" i="3"/>
  <c r="D1855" i="3"/>
  <c r="F1855" i="3"/>
  <c r="G1855" i="3"/>
  <c r="C1856" i="3"/>
  <c r="D1856" i="3"/>
  <c r="F1856" i="3"/>
  <c r="G1856" i="3"/>
  <c r="C1857" i="3"/>
  <c r="D1857" i="3"/>
  <c r="F1857" i="3"/>
  <c r="G1857" i="3"/>
  <c r="C1858" i="3"/>
  <c r="D1858" i="3"/>
  <c r="F1858" i="3"/>
  <c r="G1858" i="3"/>
  <c r="C1859" i="3"/>
  <c r="D1859" i="3"/>
  <c r="F1859" i="3"/>
  <c r="G1859" i="3"/>
  <c r="C1860" i="3"/>
  <c r="D1860" i="3"/>
  <c r="F1860" i="3"/>
  <c r="G1860" i="3"/>
  <c r="C1861" i="3"/>
  <c r="D1861" i="3"/>
  <c r="F1861" i="3"/>
  <c r="G1861" i="3"/>
  <c r="C1862" i="3"/>
  <c r="D1862" i="3"/>
  <c r="F1862" i="3"/>
  <c r="G1862" i="3"/>
  <c r="C1863" i="3"/>
  <c r="D1863" i="3"/>
  <c r="F1863" i="3"/>
  <c r="G1863" i="3"/>
  <c r="C1864" i="3"/>
  <c r="D1864" i="3"/>
  <c r="F1864" i="3"/>
  <c r="G1864" i="3"/>
  <c r="C1865" i="3"/>
  <c r="D1865" i="3"/>
  <c r="F1865" i="3"/>
  <c r="G1865" i="3"/>
  <c r="C1866" i="3"/>
  <c r="D1866" i="3"/>
  <c r="F1866" i="3"/>
  <c r="G1866" i="3"/>
  <c r="C1867" i="3"/>
  <c r="D1867" i="3"/>
  <c r="F1867" i="3"/>
  <c r="G1867" i="3"/>
  <c r="C1868" i="3"/>
  <c r="D1868" i="3"/>
  <c r="F1868" i="3"/>
  <c r="G1868" i="3"/>
  <c r="C1869" i="3"/>
  <c r="D1869" i="3"/>
  <c r="F1869" i="3"/>
  <c r="G1869" i="3"/>
  <c r="C1870" i="3"/>
  <c r="D1870" i="3"/>
  <c r="F1870" i="3"/>
  <c r="G1870" i="3"/>
  <c r="C1871" i="3"/>
  <c r="D1871" i="3"/>
  <c r="F1871" i="3"/>
  <c r="G1871" i="3"/>
  <c r="C1872" i="3"/>
  <c r="D1872" i="3"/>
  <c r="F1872" i="3"/>
  <c r="G1872" i="3"/>
  <c r="C1873" i="3"/>
  <c r="D1873" i="3"/>
  <c r="F1873" i="3"/>
  <c r="G1873" i="3"/>
  <c r="C1874" i="3"/>
  <c r="D1874" i="3"/>
  <c r="F1874" i="3"/>
  <c r="G1874" i="3"/>
  <c r="C1875" i="3"/>
  <c r="D1875" i="3"/>
  <c r="F1875" i="3"/>
  <c r="G1875" i="3"/>
  <c r="C1876" i="3"/>
  <c r="D1876" i="3"/>
  <c r="F1876" i="3"/>
  <c r="G1876" i="3"/>
  <c r="C1877" i="3"/>
  <c r="D1877" i="3"/>
  <c r="F1877" i="3"/>
  <c r="G1877" i="3"/>
  <c r="C1878" i="3"/>
  <c r="D1878" i="3"/>
  <c r="F1878" i="3"/>
  <c r="G1878" i="3"/>
  <c r="C1879" i="3"/>
  <c r="D1879" i="3"/>
  <c r="F1879" i="3"/>
  <c r="G1879" i="3"/>
  <c r="C1880" i="3"/>
  <c r="D1880" i="3"/>
  <c r="F1880" i="3"/>
  <c r="G1880" i="3"/>
  <c r="C1881" i="3"/>
  <c r="D1881" i="3"/>
  <c r="F1881" i="3"/>
  <c r="G1881" i="3"/>
  <c r="C1882" i="3"/>
  <c r="D1882" i="3"/>
  <c r="F1882" i="3"/>
  <c r="G1882" i="3"/>
  <c r="C1883" i="3"/>
  <c r="D1883" i="3"/>
  <c r="F1883" i="3"/>
  <c r="G1883" i="3"/>
  <c r="C1884" i="3"/>
  <c r="D1884" i="3"/>
  <c r="F1884" i="3"/>
  <c r="G1884" i="3"/>
  <c r="C1885" i="3"/>
  <c r="D1885" i="3"/>
  <c r="F1885" i="3"/>
  <c r="G1885" i="3"/>
  <c r="C1886" i="3"/>
  <c r="D1886" i="3"/>
  <c r="F1886" i="3"/>
  <c r="G1886" i="3"/>
  <c r="C1887" i="3"/>
  <c r="D1887" i="3"/>
  <c r="F1887" i="3"/>
  <c r="G1887" i="3"/>
  <c r="C1888" i="3"/>
  <c r="D1888" i="3"/>
  <c r="F1888" i="3"/>
  <c r="G1888" i="3"/>
  <c r="C1889" i="3"/>
  <c r="D1889" i="3"/>
  <c r="F1889" i="3"/>
  <c r="G1889" i="3"/>
  <c r="C1890" i="3"/>
  <c r="D1890" i="3"/>
  <c r="F1890" i="3"/>
  <c r="G1890" i="3"/>
  <c r="C1891" i="3"/>
  <c r="D1891" i="3"/>
  <c r="F1891" i="3"/>
  <c r="G1891" i="3"/>
  <c r="C1892" i="3"/>
  <c r="D1892" i="3"/>
  <c r="F1892" i="3"/>
  <c r="G1892" i="3"/>
  <c r="C1893" i="3"/>
  <c r="D1893" i="3"/>
  <c r="F1893" i="3"/>
  <c r="G1893" i="3"/>
  <c r="C1894" i="3"/>
  <c r="D1894" i="3"/>
  <c r="F1894" i="3"/>
  <c r="G1894" i="3"/>
  <c r="C1895" i="3"/>
  <c r="D1895" i="3"/>
  <c r="F1895" i="3"/>
  <c r="G1895" i="3"/>
  <c r="C1896" i="3"/>
  <c r="D1896" i="3"/>
  <c r="F1896" i="3"/>
  <c r="G1896" i="3"/>
  <c r="C1897" i="3"/>
  <c r="D1897" i="3"/>
  <c r="F1897" i="3"/>
  <c r="G1897" i="3"/>
  <c r="C1898" i="3"/>
  <c r="D1898" i="3"/>
  <c r="F1898" i="3"/>
  <c r="G1898" i="3"/>
  <c r="C1899" i="3"/>
  <c r="D1899" i="3"/>
  <c r="F1899" i="3"/>
  <c r="G1899" i="3"/>
  <c r="C1900" i="3"/>
  <c r="D1900" i="3"/>
  <c r="F1900" i="3"/>
  <c r="G1900" i="3"/>
  <c r="C1901" i="3"/>
  <c r="D1901" i="3"/>
  <c r="F1901" i="3"/>
  <c r="G1901" i="3"/>
  <c r="C1902" i="3"/>
  <c r="D1902" i="3"/>
  <c r="F1902" i="3"/>
  <c r="G1902" i="3"/>
  <c r="C1903" i="3"/>
  <c r="D1903" i="3"/>
  <c r="F1903" i="3"/>
  <c r="G1903" i="3"/>
  <c r="C1904" i="3"/>
  <c r="D1904" i="3"/>
  <c r="F1904" i="3"/>
  <c r="G1904" i="3"/>
  <c r="C1905" i="3"/>
  <c r="D1905" i="3"/>
  <c r="F1905" i="3"/>
  <c r="G1905" i="3"/>
  <c r="C1906" i="3"/>
  <c r="D1906" i="3"/>
  <c r="F1906" i="3"/>
  <c r="G1906" i="3"/>
  <c r="C1907" i="3"/>
  <c r="D1907" i="3"/>
  <c r="F1907" i="3"/>
  <c r="G1907" i="3"/>
  <c r="C1908" i="3"/>
  <c r="D1908" i="3"/>
  <c r="F1908" i="3"/>
  <c r="G1908" i="3"/>
  <c r="C1909" i="3"/>
  <c r="D1909" i="3"/>
  <c r="F1909" i="3"/>
  <c r="G1909" i="3"/>
  <c r="C1910" i="3"/>
  <c r="D1910" i="3"/>
  <c r="F1910" i="3"/>
  <c r="G1910" i="3"/>
  <c r="C1911" i="3"/>
  <c r="D1911" i="3"/>
  <c r="F1911" i="3"/>
  <c r="G1911" i="3"/>
  <c r="C1912" i="3"/>
  <c r="D1912" i="3"/>
  <c r="F1912" i="3"/>
  <c r="G1912" i="3"/>
  <c r="C1913" i="3"/>
  <c r="D1913" i="3"/>
  <c r="F1913" i="3"/>
  <c r="G1913" i="3"/>
  <c r="C1914" i="3"/>
  <c r="D1914" i="3"/>
  <c r="F1914" i="3"/>
  <c r="G1914" i="3"/>
  <c r="C1915" i="3"/>
  <c r="D1915" i="3"/>
  <c r="F1915" i="3"/>
  <c r="G1915" i="3"/>
  <c r="C1916" i="3"/>
  <c r="D1916" i="3"/>
  <c r="F1916" i="3"/>
  <c r="G1916" i="3"/>
  <c r="C1917" i="3"/>
  <c r="D1917" i="3"/>
  <c r="F1917" i="3"/>
  <c r="G1917" i="3"/>
  <c r="C1918" i="3"/>
  <c r="D1918" i="3"/>
  <c r="F1918" i="3"/>
  <c r="G1918" i="3"/>
  <c r="C1919" i="3"/>
  <c r="D1919" i="3"/>
  <c r="F1919" i="3"/>
  <c r="G1919" i="3"/>
  <c r="C1920" i="3"/>
  <c r="D1920" i="3"/>
  <c r="F1920" i="3"/>
  <c r="G1920" i="3"/>
  <c r="C1921" i="3"/>
  <c r="D1921" i="3"/>
  <c r="F1921" i="3"/>
  <c r="G1921" i="3"/>
  <c r="C1922" i="3"/>
  <c r="D1922" i="3"/>
  <c r="F1922" i="3"/>
  <c r="G1922" i="3"/>
  <c r="C1923" i="3"/>
  <c r="D1923" i="3"/>
  <c r="F1923" i="3"/>
  <c r="G1923" i="3"/>
  <c r="C1924" i="3"/>
  <c r="D1924" i="3"/>
  <c r="F1924" i="3"/>
  <c r="G1924" i="3"/>
  <c r="C1925" i="3"/>
  <c r="D1925" i="3"/>
  <c r="F1925" i="3"/>
  <c r="G1925" i="3"/>
  <c r="C1926" i="3"/>
  <c r="D1926" i="3"/>
  <c r="F1926" i="3"/>
  <c r="G1926" i="3"/>
  <c r="C1927" i="3"/>
  <c r="D1927" i="3"/>
  <c r="F1927" i="3"/>
  <c r="G1927" i="3"/>
  <c r="C1928" i="3"/>
  <c r="D1928" i="3"/>
  <c r="F1928" i="3"/>
  <c r="G1928" i="3"/>
  <c r="C1929" i="3"/>
  <c r="D1929" i="3"/>
  <c r="F1929" i="3"/>
  <c r="G1929" i="3"/>
  <c r="C1930" i="3"/>
  <c r="D1930" i="3"/>
  <c r="F1930" i="3"/>
  <c r="G1930" i="3"/>
  <c r="C1931" i="3"/>
  <c r="D1931" i="3"/>
  <c r="F1931" i="3"/>
  <c r="G1931" i="3"/>
  <c r="C1932" i="3"/>
  <c r="D1932" i="3"/>
  <c r="F1932" i="3"/>
  <c r="G1932" i="3"/>
  <c r="C1933" i="3"/>
  <c r="D1933" i="3"/>
  <c r="F1933" i="3"/>
  <c r="G1933" i="3"/>
  <c r="C1934" i="3"/>
  <c r="D1934" i="3"/>
  <c r="F1934" i="3"/>
  <c r="G1934" i="3"/>
  <c r="C1935" i="3"/>
  <c r="D1935" i="3"/>
  <c r="F1935" i="3"/>
  <c r="G1935" i="3"/>
  <c r="C1936" i="3"/>
  <c r="D1936" i="3"/>
  <c r="F1936" i="3"/>
  <c r="G1936" i="3"/>
  <c r="C1937" i="3"/>
  <c r="D1937" i="3"/>
  <c r="F1937" i="3"/>
  <c r="G1937" i="3"/>
  <c r="C1938" i="3"/>
  <c r="D1938" i="3"/>
  <c r="F1938" i="3"/>
  <c r="G1938" i="3"/>
  <c r="C1939" i="3"/>
  <c r="D1939" i="3"/>
  <c r="F1939" i="3"/>
  <c r="G1939" i="3"/>
  <c r="C1940" i="3"/>
  <c r="D1940" i="3"/>
  <c r="F1940" i="3"/>
  <c r="G1940" i="3"/>
  <c r="C1941" i="3"/>
  <c r="D1941" i="3"/>
  <c r="F1941" i="3"/>
  <c r="G1941" i="3"/>
  <c r="C1942" i="3"/>
  <c r="D1942" i="3"/>
  <c r="F1942" i="3"/>
  <c r="G1942" i="3"/>
  <c r="C1943" i="3"/>
  <c r="D1943" i="3"/>
  <c r="F1943" i="3"/>
  <c r="G1943" i="3"/>
  <c r="C1944" i="3"/>
  <c r="D1944" i="3"/>
  <c r="F1944" i="3"/>
  <c r="G1944" i="3"/>
  <c r="C1945" i="3"/>
  <c r="D1945" i="3"/>
  <c r="F1945" i="3"/>
  <c r="G1945" i="3"/>
  <c r="C1946" i="3"/>
  <c r="D1946" i="3"/>
  <c r="F1946" i="3"/>
  <c r="G1946" i="3"/>
  <c r="C1947" i="3"/>
  <c r="D1947" i="3"/>
  <c r="F1947" i="3"/>
  <c r="G1947" i="3"/>
  <c r="C1948" i="3"/>
  <c r="D1948" i="3"/>
  <c r="F1948" i="3"/>
  <c r="G1948" i="3"/>
  <c r="C1949" i="3"/>
  <c r="D1949" i="3"/>
  <c r="F1949" i="3"/>
  <c r="G1949" i="3"/>
  <c r="C1950" i="3"/>
  <c r="D1950" i="3"/>
  <c r="F1950" i="3"/>
  <c r="G1950" i="3"/>
  <c r="C1951" i="3"/>
  <c r="D1951" i="3"/>
  <c r="F1951" i="3"/>
  <c r="G1951" i="3"/>
  <c r="C1952" i="3"/>
  <c r="D1952" i="3"/>
  <c r="F1952" i="3"/>
  <c r="G1952" i="3"/>
  <c r="C1953" i="3"/>
  <c r="D1953" i="3"/>
  <c r="F1953" i="3"/>
  <c r="G1953" i="3"/>
  <c r="C1954" i="3"/>
  <c r="D1954" i="3"/>
  <c r="F1954" i="3"/>
  <c r="G1954" i="3"/>
  <c r="C1955" i="3"/>
  <c r="D1955" i="3"/>
  <c r="F1955" i="3"/>
  <c r="G1955" i="3"/>
  <c r="C1956" i="3"/>
  <c r="D1956" i="3"/>
  <c r="F1956" i="3"/>
  <c r="G1956" i="3"/>
  <c r="C1957" i="3"/>
  <c r="D1957" i="3"/>
  <c r="F1957" i="3"/>
  <c r="G1957" i="3"/>
  <c r="C1958" i="3"/>
  <c r="D1958" i="3"/>
  <c r="F1958" i="3"/>
  <c r="G1958" i="3"/>
  <c r="C1959" i="3"/>
  <c r="D1959" i="3"/>
  <c r="F1959" i="3"/>
  <c r="G1959" i="3"/>
  <c r="C1960" i="3"/>
  <c r="D1960" i="3"/>
  <c r="F1960" i="3"/>
  <c r="G1960" i="3"/>
  <c r="C1961" i="3"/>
  <c r="D1961" i="3"/>
  <c r="F1961" i="3"/>
  <c r="G1961" i="3"/>
  <c r="C1962" i="3"/>
  <c r="D1962" i="3"/>
  <c r="F1962" i="3"/>
  <c r="G1962" i="3"/>
  <c r="C1963" i="3"/>
  <c r="D1963" i="3"/>
  <c r="F1963" i="3"/>
  <c r="G1963" i="3"/>
  <c r="C1964" i="3"/>
  <c r="D1964" i="3"/>
  <c r="F1964" i="3"/>
  <c r="G1964" i="3"/>
  <c r="C1965" i="3"/>
  <c r="D1965" i="3"/>
  <c r="F1965" i="3"/>
  <c r="G1965" i="3"/>
  <c r="C1966" i="3"/>
  <c r="D1966" i="3"/>
  <c r="F1966" i="3"/>
  <c r="G1966" i="3"/>
  <c r="C1967" i="3"/>
  <c r="D1967" i="3"/>
  <c r="F1967" i="3"/>
  <c r="G1967" i="3"/>
  <c r="C1968" i="3"/>
  <c r="D1968" i="3"/>
  <c r="F1968" i="3"/>
  <c r="G1968" i="3"/>
  <c r="C1969" i="3"/>
  <c r="D1969" i="3"/>
  <c r="F1969" i="3"/>
  <c r="G1969" i="3"/>
  <c r="C1970" i="3"/>
  <c r="D1970" i="3"/>
  <c r="F1970" i="3"/>
  <c r="G1970" i="3"/>
  <c r="C1971" i="3"/>
  <c r="D1971" i="3"/>
  <c r="F1971" i="3"/>
  <c r="G1971" i="3"/>
  <c r="C1972" i="3"/>
  <c r="D1972" i="3"/>
  <c r="F1972" i="3"/>
  <c r="G1972" i="3"/>
  <c r="C1973" i="3"/>
  <c r="D1973" i="3"/>
  <c r="F1973" i="3"/>
  <c r="G1973" i="3"/>
  <c r="C1974" i="3"/>
  <c r="D1974" i="3"/>
  <c r="F1974" i="3"/>
  <c r="G1974" i="3"/>
  <c r="C1975" i="3"/>
  <c r="D1975" i="3"/>
  <c r="F1975" i="3"/>
  <c r="G1975" i="3"/>
  <c r="C1976" i="3"/>
  <c r="D1976" i="3"/>
  <c r="F1976" i="3"/>
  <c r="G1976" i="3"/>
  <c r="C1977" i="3"/>
  <c r="D1977" i="3"/>
  <c r="F1977" i="3"/>
  <c r="G1977" i="3"/>
  <c r="C1978" i="3"/>
  <c r="D1978" i="3"/>
  <c r="F1978" i="3"/>
  <c r="G1978" i="3"/>
  <c r="C1979" i="3"/>
  <c r="D1979" i="3"/>
  <c r="F1979" i="3"/>
  <c r="G1979" i="3"/>
  <c r="C1980" i="3"/>
  <c r="D1980" i="3"/>
  <c r="F1980" i="3"/>
  <c r="G1980" i="3"/>
  <c r="C1981" i="3"/>
  <c r="D1981" i="3"/>
  <c r="F1981" i="3"/>
  <c r="G1981" i="3"/>
  <c r="C1982" i="3"/>
  <c r="D1982" i="3"/>
  <c r="F1982" i="3"/>
  <c r="G1982" i="3"/>
  <c r="C1983" i="3"/>
  <c r="D1983" i="3"/>
  <c r="F1983" i="3"/>
  <c r="G1983" i="3"/>
  <c r="C1984" i="3"/>
  <c r="D1984" i="3"/>
  <c r="F1984" i="3"/>
  <c r="G1984" i="3"/>
  <c r="C1985" i="3"/>
  <c r="D1985" i="3"/>
  <c r="F1985" i="3"/>
  <c r="G1985" i="3"/>
  <c r="C1986" i="3"/>
  <c r="D1986" i="3"/>
  <c r="F1986" i="3"/>
  <c r="G1986" i="3"/>
  <c r="C1987" i="3"/>
  <c r="D1987" i="3"/>
  <c r="F1987" i="3"/>
  <c r="G1987" i="3"/>
  <c r="C1988" i="3"/>
  <c r="D1988" i="3"/>
  <c r="F1988" i="3"/>
  <c r="G1988" i="3"/>
  <c r="C1989" i="3"/>
  <c r="D1989" i="3"/>
  <c r="F1989" i="3"/>
  <c r="G1989" i="3"/>
  <c r="C1990" i="3"/>
  <c r="D1990" i="3"/>
  <c r="F1990" i="3"/>
  <c r="G1990" i="3"/>
  <c r="C1991" i="3"/>
  <c r="D1991" i="3"/>
  <c r="F1991" i="3"/>
  <c r="G1991" i="3"/>
  <c r="C1992" i="3"/>
  <c r="D1992" i="3"/>
  <c r="F1992" i="3"/>
  <c r="G1992" i="3"/>
  <c r="C1993" i="3"/>
  <c r="D1993" i="3"/>
  <c r="F1993" i="3"/>
  <c r="G1993" i="3"/>
  <c r="C1994" i="3"/>
  <c r="D1994" i="3"/>
  <c r="F1994" i="3"/>
  <c r="G1994" i="3"/>
  <c r="C1995" i="3"/>
  <c r="D1995" i="3"/>
  <c r="F1995" i="3"/>
  <c r="G1995" i="3"/>
  <c r="C1996" i="3"/>
  <c r="D1996" i="3"/>
  <c r="F1996" i="3"/>
  <c r="G1996" i="3"/>
  <c r="C1997" i="3"/>
  <c r="D1997" i="3"/>
  <c r="F1997" i="3"/>
  <c r="G1997" i="3"/>
  <c r="C1998" i="3"/>
  <c r="D1998" i="3"/>
  <c r="F1998" i="3"/>
  <c r="G1998" i="3"/>
  <c r="C1999" i="3"/>
  <c r="D1999" i="3"/>
  <c r="F1999" i="3"/>
  <c r="G1999" i="3"/>
  <c r="C2000" i="3"/>
  <c r="D2000" i="3"/>
  <c r="F2000" i="3"/>
  <c r="G2000" i="3"/>
  <c r="C4" i="3"/>
  <c r="D4" i="3"/>
  <c r="F4" i="3"/>
  <c r="G4" i="3"/>
  <c r="F5" i="3"/>
  <c r="D5" i="3"/>
  <c r="C5" i="3"/>
  <c r="G5" i="3"/>
  <c r="C7" i="2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G2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62" i="2"/>
  <c r="C63" i="2"/>
  <c r="C64" i="2"/>
  <c r="C65" i="2"/>
  <c r="C66" i="2"/>
  <c r="C67" i="2"/>
  <c r="C68" i="2"/>
  <c r="C69" i="2"/>
  <c r="C70" i="2"/>
  <c r="C71" i="2"/>
  <c r="C72" i="2"/>
  <c r="C73" i="2"/>
  <c r="C74" i="2"/>
  <c r="C75" i="2"/>
  <c r="C76" i="2"/>
  <c r="C77" i="2"/>
  <c r="C78" i="2"/>
  <c r="C79" i="2"/>
  <c r="C80" i="2"/>
  <c r="C81" i="2"/>
  <c r="C82" i="2"/>
  <c r="C83" i="2"/>
  <c r="C84" i="2"/>
  <c r="C85" i="2"/>
  <c r="C86" i="2"/>
  <c r="C87" i="2"/>
  <c r="C88" i="2"/>
  <c r="C89" i="2"/>
  <c r="C90" i="2"/>
  <c r="C91" i="2"/>
  <c r="C92" i="2"/>
  <c r="C93" i="2"/>
  <c r="C94" i="2"/>
  <c r="C95" i="2"/>
  <c r="C96" i="2"/>
  <c r="C97" i="2"/>
  <c r="C98" i="2"/>
  <c r="C99" i="2"/>
  <c r="C100" i="2"/>
  <c r="C101" i="2"/>
  <c r="C102" i="2"/>
  <c r="C103" i="2"/>
  <c r="C104" i="2"/>
  <c r="C105" i="2"/>
  <c r="C106" i="2"/>
  <c r="C107" i="2"/>
  <c r="C108" i="2"/>
  <c r="C109" i="2"/>
  <c r="C110" i="2"/>
  <c r="C111" i="2"/>
  <c r="C112" i="2"/>
  <c r="C113" i="2"/>
  <c r="C114" i="2"/>
  <c r="C115" i="2"/>
  <c r="C116" i="2"/>
  <c r="C117" i="2"/>
  <c r="C118" i="2"/>
  <c r="C119" i="2"/>
  <c r="C120" i="2"/>
  <c r="C121" i="2"/>
  <c r="C122" i="2"/>
  <c r="C123" i="2"/>
  <c r="C124" i="2"/>
  <c r="C125" i="2"/>
  <c r="C126" i="2"/>
  <c r="C127" i="2"/>
  <c r="C128" i="2"/>
  <c r="C129" i="2"/>
  <c r="C130" i="2"/>
  <c r="C131" i="2"/>
  <c r="C132" i="2"/>
  <c r="C133" i="2"/>
  <c r="C134" i="2"/>
  <c r="C135" i="2"/>
  <c r="C136" i="2"/>
  <c r="C137" i="2"/>
  <c r="C138" i="2"/>
  <c r="C139" i="2"/>
  <c r="C140" i="2"/>
  <c r="C141" i="2"/>
  <c r="C142" i="2"/>
  <c r="C143" i="2"/>
  <c r="C144" i="2"/>
  <c r="C145" i="2"/>
  <c r="C146" i="2"/>
  <c r="C147" i="2"/>
  <c r="C148" i="2"/>
  <c r="C149" i="2"/>
  <c r="C150" i="2"/>
  <c r="C151" i="2"/>
  <c r="C152" i="2"/>
  <c r="C153" i="2"/>
  <c r="C154" i="2"/>
  <c r="C155" i="2"/>
  <c r="C156" i="2"/>
  <c r="C157" i="2"/>
  <c r="C158" i="2"/>
  <c r="C159" i="2"/>
  <c r="C160" i="2"/>
  <c r="C161" i="2"/>
  <c r="C162" i="2"/>
  <c r="C163" i="2"/>
  <c r="C164" i="2"/>
  <c r="C165" i="2"/>
  <c r="C166" i="2"/>
  <c r="C167" i="2"/>
  <c r="C168" i="2"/>
  <c r="C169" i="2"/>
  <c r="C170" i="2"/>
  <c r="C171" i="2"/>
  <c r="C172" i="2"/>
  <c r="C173" i="2"/>
  <c r="C174" i="2"/>
  <c r="C175" i="2"/>
  <c r="C176" i="2"/>
  <c r="C177" i="2"/>
  <c r="C178" i="2"/>
  <c r="C179" i="2"/>
  <c r="C180" i="2"/>
  <c r="C181" i="2"/>
  <c r="C182" i="2"/>
  <c r="C183" i="2"/>
  <c r="C184" i="2"/>
  <c r="C185" i="2"/>
  <c r="C186" i="2"/>
  <c r="C187" i="2"/>
  <c r="C188" i="2"/>
  <c r="C189" i="2"/>
  <c r="C190" i="2"/>
  <c r="C191" i="2"/>
  <c r="C192" i="2"/>
  <c r="C193" i="2"/>
  <c r="C194" i="2"/>
  <c r="C195" i="2"/>
  <c r="C196" i="2"/>
  <c r="C197" i="2"/>
  <c r="C198" i="2"/>
  <c r="C199" i="2"/>
  <c r="C200" i="2"/>
  <c r="C201" i="2"/>
  <c r="C202" i="2"/>
  <c r="C203" i="2"/>
  <c r="C204" i="2"/>
  <c r="C205" i="2"/>
  <c r="C206" i="2"/>
  <c r="C207" i="2"/>
  <c r="C208" i="2"/>
  <c r="C209" i="2"/>
  <c r="C210" i="2"/>
  <c r="C211" i="2"/>
  <c r="C212" i="2"/>
  <c r="C213" i="2"/>
  <c r="C214" i="2"/>
  <c r="C215" i="2"/>
  <c r="C216" i="2"/>
  <c r="C217" i="2"/>
  <c r="C218" i="2"/>
  <c r="C219" i="2"/>
  <c r="C220" i="2"/>
  <c r="C221" i="2"/>
  <c r="C222" i="2"/>
  <c r="C11" i="2"/>
  <c r="C3" i="2"/>
  <c r="C4" i="2"/>
  <c r="C5" i="2"/>
  <c r="C6" i="2"/>
  <c r="C8" i="2"/>
  <c r="C9" i="2"/>
  <c r="C10" i="2"/>
  <c r="G4" i="2"/>
  <c r="G5" i="2"/>
  <c r="G6" i="2"/>
  <c r="G13" i="2"/>
  <c r="G12" i="2"/>
  <c r="H68" i="1"/>
  <c r="H70" i="1"/>
  <c r="H87" i="1"/>
  <c r="H89" i="1"/>
  <c r="H91" i="1"/>
  <c r="H95" i="1"/>
  <c r="H100" i="1"/>
  <c r="H104" i="1"/>
  <c r="H129" i="1"/>
  <c r="H138" i="1"/>
  <c r="H142" i="1"/>
  <c r="H162" i="1"/>
  <c r="H166" i="1"/>
  <c r="H170" i="1"/>
  <c r="H178" i="1"/>
  <c r="H194" i="1"/>
  <c r="H195" i="1"/>
  <c r="H199" i="1"/>
  <c r="H203" i="1"/>
  <c r="H253" i="1"/>
  <c r="H257" i="1"/>
  <c r="H277" i="1"/>
  <c r="H285" i="1"/>
  <c r="H66" i="1"/>
  <c r="F9" i="1"/>
  <c r="F10" i="1"/>
  <c r="F11" i="1"/>
  <c r="F4" i="1"/>
  <c r="F5" i="1"/>
  <c r="F6" i="1"/>
  <c r="F7" i="1"/>
  <c r="F8" i="1"/>
  <c r="H303" i="1"/>
  <c r="H284" i="1"/>
  <c r="H283" i="1"/>
  <c r="H282" i="1"/>
  <c r="H261" i="1"/>
  <c r="H97" i="1"/>
  <c r="H86" i="1"/>
  <c r="H78" i="1"/>
  <c r="H74" i="1"/>
  <c r="H227" i="1"/>
  <c r="H211" i="1"/>
  <c r="H154" i="1"/>
  <c r="H114" i="1"/>
  <c r="H108" i="1"/>
  <c r="H93" i="1"/>
  <c r="H302" i="1"/>
  <c r="H301" i="1"/>
  <c r="H300" i="1"/>
  <c r="H299" i="1"/>
  <c r="H298" i="1"/>
  <c r="H297" i="1"/>
  <c r="H296" i="1"/>
  <c r="H295" i="1"/>
  <c r="H294" i="1"/>
  <c r="H293" i="1"/>
  <c r="H237" i="1"/>
  <c r="H233" i="1"/>
  <c r="H231" i="1"/>
  <c r="H186" i="1"/>
  <c r="H182" i="1"/>
  <c r="H269" i="1"/>
  <c r="H265" i="1"/>
  <c r="H219" i="1"/>
  <c r="H215" i="1"/>
  <c r="H146" i="1"/>
  <c r="H121" i="1"/>
  <c r="H117" i="1"/>
  <c r="H273" i="1"/>
  <c r="H235" i="1"/>
  <c r="H223" i="1"/>
  <c r="H207" i="1"/>
  <c r="H190" i="1"/>
  <c r="H174" i="1"/>
  <c r="H158" i="1"/>
  <c r="H125" i="1"/>
  <c r="H112" i="1"/>
  <c r="H99" i="1"/>
  <c r="H249" i="1"/>
  <c r="H150" i="1"/>
  <c r="H133" i="1"/>
  <c r="H82" i="1"/>
  <c r="H5" i="1"/>
  <c r="H67" i="1"/>
  <c r="H278" i="1"/>
  <c r="H271" i="1"/>
  <c r="H270" i="1"/>
  <c r="H263" i="1"/>
  <c r="H262" i="1"/>
  <c r="H255" i="1"/>
  <c r="H254" i="1"/>
  <c r="H234" i="1"/>
  <c r="H229" i="1"/>
  <c r="H228" i="1"/>
  <c r="H221" i="1"/>
  <c r="H220" i="1"/>
  <c r="H213" i="1"/>
  <c r="H212" i="1"/>
  <c r="H205" i="1"/>
  <c r="H204" i="1"/>
  <c r="H197" i="1"/>
  <c r="H196" i="1"/>
  <c r="H188" i="1"/>
  <c r="H187" i="1"/>
  <c r="H180" i="1"/>
  <c r="H179" i="1"/>
  <c r="H172" i="1"/>
  <c r="H171" i="1"/>
  <c r="H164" i="1"/>
  <c r="H163" i="1"/>
  <c r="H156" i="1"/>
  <c r="H155" i="1"/>
  <c r="H148" i="1"/>
  <c r="H147" i="1"/>
  <c r="H140" i="1"/>
  <c r="H139" i="1"/>
  <c r="H131" i="1"/>
  <c r="H130" i="1"/>
  <c r="H123" i="1"/>
  <c r="H122" i="1"/>
  <c r="H115" i="1"/>
  <c r="H110" i="1"/>
  <c r="H109" i="1"/>
  <c r="H101" i="1"/>
  <c r="H80" i="1"/>
  <c r="H79" i="1"/>
  <c r="H72" i="1"/>
  <c r="H71" i="1"/>
  <c r="H275" i="1"/>
  <c r="H274" i="1"/>
  <c r="H267" i="1"/>
  <c r="H266" i="1"/>
  <c r="H259" i="1"/>
  <c r="H258" i="1"/>
  <c r="H251" i="1"/>
  <c r="H250" i="1"/>
  <c r="H232" i="1"/>
  <c r="H225" i="1"/>
  <c r="H224" i="1"/>
  <c r="H217" i="1"/>
  <c r="H216" i="1"/>
  <c r="H209" i="1"/>
  <c r="H208" i="1"/>
  <c r="H201" i="1"/>
  <c r="H200" i="1"/>
  <c r="H192" i="1"/>
  <c r="H191" i="1"/>
  <c r="H184" i="1"/>
  <c r="H183" i="1"/>
  <c r="H176" i="1"/>
  <c r="H175" i="1"/>
  <c r="H168" i="1"/>
  <c r="H167" i="1"/>
  <c r="H160" i="1"/>
  <c r="H159" i="1"/>
  <c r="H152" i="1"/>
  <c r="H151" i="1"/>
  <c r="H144" i="1"/>
  <c r="H143" i="1"/>
  <c r="H136" i="1"/>
  <c r="H134" i="1"/>
  <c r="H126" i="1"/>
  <c r="H118" i="1"/>
  <c r="H113" i="1"/>
  <c r="H106" i="1"/>
  <c r="H105" i="1"/>
  <c r="H96" i="1"/>
  <c r="H92" i="1"/>
  <c r="H88" i="1"/>
  <c r="H84" i="1"/>
  <c r="H83" i="1"/>
  <c r="H76" i="1"/>
  <c r="H75" i="1"/>
  <c r="H102" i="1"/>
  <c r="H236" i="1"/>
  <c r="H127" i="1"/>
  <c r="H119" i="1"/>
  <c r="H98" i="1"/>
  <c r="H94" i="1"/>
  <c r="H90" i="1"/>
  <c r="H65" i="1"/>
  <c r="H64" i="1"/>
  <c r="H281" i="1"/>
  <c r="H280" i="1"/>
  <c r="H279" i="1"/>
  <c r="H276" i="1"/>
  <c r="H272" i="1"/>
  <c r="H268" i="1"/>
  <c r="H264" i="1"/>
  <c r="H260" i="1"/>
  <c r="H256" i="1"/>
  <c r="H252" i="1"/>
  <c r="H248" i="1"/>
  <c r="H230" i="1"/>
  <c r="H226" i="1"/>
  <c r="H222" i="1"/>
  <c r="H218" i="1"/>
  <c r="H214" i="1"/>
  <c r="H210" i="1"/>
  <c r="H206" i="1"/>
  <c r="H202" i="1"/>
  <c r="H198" i="1"/>
  <c r="H193" i="1"/>
  <c r="H189" i="1"/>
  <c r="H185" i="1"/>
  <c r="H181" i="1"/>
  <c r="H177" i="1"/>
  <c r="H173" i="1"/>
  <c r="H169" i="1"/>
  <c r="H165" i="1"/>
  <c r="H161" i="1"/>
  <c r="H157" i="1"/>
  <c r="H153" i="1"/>
  <c r="H149" i="1"/>
  <c r="H145" i="1"/>
  <c r="H141" i="1"/>
  <c r="H137" i="1"/>
  <c r="H111" i="1"/>
  <c r="H107" i="1"/>
  <c r="H103" i="1"/>
  <c r="H85" i="1"/>
  <c r="H81" i="1"/>
  <c r="H77" i="1"/>
  <c r="H73" i="1"/>
  <c r="H69" i="1"/>
  <c r="H292" i="1"/>
  <c r="H291" i="1"/>
  <c r="H290" i="1"/>
  <c r="H289" i="1"/>
  <c r="H288" i="1"/>
  <c r="H287" i="1"/>
  <c r="H286" i="1"/>
  <c r="H135" i="1"/>
  <c r="H132" i="1"/>
  <c r="H128" i="1"/>
  <c r="H124" i="1"/>
  <c r="H120" i="1"/>
  <c r="H116" i="1"/>
  <c r="H24" i="1"/>
  <c r="H16" i="1"/>
  <c r="H12" i="1"/>
  <c r="H10" i="1"/>
  <c r="H9" i="1"/>
  <c r="H7" i="1"/>
  <c r="H6" i="1"/>
  <c r="H40" i="1"/>
  <c r="H247" i="1"/>
  <c r="H246" i="1"/>
  <c r="H245" i="1"/>
  <c r="H244" i="1"/>
  <c r="H243" i="1"/>
  <c r="H242" i="1"/>
  <c r="H241" i="1"/>
  <c r="H240" i="1"/>
  <c r="H239" i="1"/>
  <c r="H238" i="1"/>
  <c r="H56" i="1"/>
  <c r="H48" i="1"/>
  <c r="H44" i="1"/>
  <c r="H42" i="1"/>
  <c r="H41" i="1"/>
  <c r="H60" i="1"/>
  <c r="H58" i="1"/>
  <c r="H57" i="1"/>
  <c r="H32" i="1"/>
  <c r="H28" i="1"/>
  <c r="H26" i="1"/>
  <c r="H25" i="1"/>
  <c r="H52" i="1"/>
  <c r="H50" i="1"/>
  <c r="H49" i="1"/>
  <c r="H36" i="1"/>
  <c r="H34" i="1"/>
  <c r="H33" i="1"/>
  <c r="H20" i="1"/>
  <c r="H18" i="1"/>
  <c r="H17" i="1"/>
  <c r="H62" i="1"/>
  <c r="H61" i="1"/>
  <c r="H54" i="1"/>
  <c r="H53" i="1"/>
  <c r="H46" i="1"/>
  <c r="H45" i="1"/>
  <c r="H38" i="1"/>
  <c r="H37" i="1"/>
  <c r="H30" i="1"/>
  <c r="H29" i="1"/>
  <c r="H22" i="1"/>
  <c r="H21" i="1"/>
  <c r="H14" i="1"/>
  <c r="H13" i="1"/>
  <c r="H4" i="1"/>
  <c r="H63" i="1"/>
  <c r="H59" i="1"/>
  <c r="H55" i="1"/>
  <c r="H51" i="1"/>
  <c r="H47" i="1"/>
  <c r="H43" i="1"/>
  <c r="H39" i="1"/>
  <c r="H35" i="1"/>
  <c r="H31" i="1"/>
  <c r="H27" i="1"/>
  <c r="H23" i="1"/>
  <c r="H19" i="1"/>
  <c r="H15" i="1"/>
  <c r="H11" i="1"/>
  <c r="H8" i="1"/>
  <c r="H4" i="2"/>
  <c r="H5" i="2"/>
  <c r="H6" i="2"/>
  <c r="H7" i="2"/>
  <c r="F2001" i="2"/>
  <c r="F7" i="2"/>
  <c r="F8" i="2"/>
  <c r="F9" i="2"/>
  <c r="F10" i="2"/>
  <c r="F14" i="2"/>
  <c r="F24" i="2"/>
  <c r="F25" i="2"/>
  <c r="F32" i="2"/>
  <c r="F36" i="2"/>
  <c r="F37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F101" i="2"/>
  <c r="F102" i="2"/>
  <c r="F103" i="2"/>
  <c r="F104" i="2"/>
  <c r="F105" i="2"/>
  <c r="F106" i="2"/>
  <c r="F107" i="2"/>
  <c r="F108" i="2"/>
  <c r="F109" i="2"/>
  <c r="F110" i="2"/>
  <c r="F111" i="2"/>
  <c r="F112" i="2"/>
  <c r="F113" i="2"/>
  <c r="F114" i="2"/>
  <c r="F115" i="2"/>
  <c r="F116" i="2"/>
  <c r="F117" i="2"/>
  <c r="F118" i="2"/>
  <c r="F119" i="2"/>
  <c r="F120" i="2"/>
  <c r="F121" i="2"/>
  <c r="F122" i="2"/>
  <c r="F123" i="2"/>
  <c r="F124" i="2"/>
  <c r="F125" i="2"/>
  <c r="F126" i="2"/>
  <c r="F127" i="2"/>
  <c r="F128" i="2"/>
  <c r="F129" i="2"/>
  <c r="F130" i="2"/>
  <c r="F131" i="2"/>
  <c r="F132" i="2"/>
  <c r="F133" i="2"/>
  <c r="F134" i="2"/>
  <c r="F135" i="2"/>
  <c r="F136" i="2"/>
  <c r="F137" i="2"/>
  <c r="F138" i="2"/>
  <c r="F139" i="2"/>
  <c r="F140" i="2"/>
  <c r="F141" i="2"/>
  <c r="F142" i="2"/>
  <c r="F143" i="2"/>
  <c r="F144" i="2"/>
  <c r="F145" i="2"/>
  <c r="F146" i="2"/>
  <c r="F147" i="2"/>
  <c r="F148" i="2"/>
  <c r="F149" i="2"/>
  <c r="F150" i="2"/>
  <c r="F151" i="2"/>
  <c r="F152" i="2"/>
  <c r="F153" i="2"/>
  <c r="F154" i="2"/>
  <c r="F155" i="2"/>
  <c r="F156" i="2"/>
  <c r="F157" i="2"/>
  <c r="F158" i="2"/>
  <c r="F159" i="2"/>
  <c r="F160" i="2"/>
  <c r="F161" i="2"/>
  <c r="F162" i="2"/>
  <c r="F163" i="2"/>
  <c r="F164" i="2"/>
  <c r="F165" i="2"/>
  <c r="F166" i="2"/>
  <c r="F167" i="2"/>
  <c r="F168" i="2"/>
  <c r="F169" i="2"/>
  <c r="F170" i="2"/>
  <c r="F171" i="2"/>
  <c r="F172" i="2"/>
  <c r="F173" i="2"/>
  <c r="F174" i="2"/>
  <c r="F175" i="2"/>
  <c r="F176" i="2"/>
  <c r="F177" i="2"/>
  <c r="F178" i="2"/>
  <c r="F179" i="2"/>
  <c r="F180" i="2"/>
  <c r="F181" i="2"/>
  <c r="F182" i="2"/>
  <c r="F183" i="2"/>
  <c r="F184" i="2"/>
  <c r="F185" i="2"/>
  <c r="F186" i="2"/>
  <c r="F187" i="2"/>
  <c r="F188" i="2"/>
  <c r="F189" i="2"/>
  <c r="F190" i="2"/>
  <c r="F191" i="2"/>
  <c r="F192" i="2"/>
  <c r="F193" i="2"/>
  <c r="F194" i="2"/>
  <c r="F195" i="2"/>
  <c r="F196" i="2"/>
  <c r="F197" i="2"/>
  <c r="F198" i="2"/>
  <c r="F199" i="2"/>
  <c r="F200" i="2"/>
  <c r="F201" i="2"/>
  <c r="F202" i="2"/>
  <c r="F203" i="2"/>
  <c r="F204" i="2"/>
  <c r="F205" i="2"/>
  <c r="F206" i="2"/>
  <c r="F207" i="2"/>
  <c r="F208" i="2"/>
  <c r="F209" i="2"/>
  <c r="F210" i="2"/>
  <c r="F211" i="2"/>
  <c r="F212" i="2"/>
  <c r="F213" i="2"/>
  <c r="F214" i="2"/>
  <c r="F215" i="2"/>
  <c r="F216" i="2"/>
  <c r="F217" i="2"/>
  <c r="F218" i="2"/>
  <c r="F219" i="2"/>
  <c r="F220" i="2"/>
  <c r="F221" i="2"/>
  <c r="F222" i="2"/>
  <c r="F223" i="2"/>
  <c r="F224" i="2"/>
  <c r="F225" i="2"/>
  <c r="F226" i="2"/>
  <c r="F227" i="2"/>
  <c r="F228" i="2"/>
  <c r="F229" i="2"/>
  <c r="F230" i="2"/>
  <c r="F231" i="2"/>
  <c r="F232" i="2"/>
  <c r="F233" i="2"/>
  <c r="F234" i="2"/>
  <c r="F235" i="2"/>
  <c r="F236" i="2"/>
  <c r="F237" i="2"/>
  <c r="F238" i="2"/>
  <c r="F239" i="2"/>
  <c r="F240" i="2"/>
  <c r="F241" i="2"/>
  <c r="F242" i="2"/>
  <c r="F243" i="2"/>
  <c r="F244" i="2"/>
  <c r="F245" i="2"/>
  <c r="F246" i="2"/>
  <c r="F247" i="2"/>
  <c r="F248" i="2"/>
  <c r="F249" i="2"/>
  <c r="F250" i="2"/>
  <c r="F251" i="2"/>
  <c r="F252" i="2"/>
  <c r="F253" i="2"/>
  <c r="F254" i="2"/>
  <c r="F255" i="2"/>
  <c r="F256" i="2"/>
  <c r="F257" i="2"/>
  <c r="F258" i="2"/>
  <c r="F259" i="2"/>
  <c r="F260" i="2"/>
  <c r="F261" i="2"/>
  <c r="F262" i="2"/>
  <c r="F263" i="2"/>
  <c r="F264" i="2"/>
  <c r="F265" i="2"/>
  <c r="F266" i="2"/>
  <c r="F267" i="2"/>
  <c r="F268" i="2"/>
  <c r="F269" i="2"/>
  <c r="F270" i="2"/>
  <c r="F271" i="2"/>
  <c r="F272" i="2"/>
  <c r="F273" i="2"/>
  <c r="F274" i="2"/>
  <c r="F275" i="2"/>
  <c r="F276" i="2"/>
  <c r="F277" i="2"/>
  <c r="F278" i="2"/>
  <c r="F279" i="2"/>
  <c r="F280" i="2"/>
  <c r="F281" i="2"/>
  <c r="F282" i="2"/>
  <c r="F283" i="2"/>
  <c r="F284" i="2"/>
  <c r="F285" i="2"/>
  <c r="F286" i="2"/>
  <c r="F287" i="2"/>
  <c r="F288" i="2"/>
  <c r="F289" i="2"/>
  <c r="F290" i="2"/>
  <c r="F291" i="2"/>
  <c r="F292" i="2"/>
  <c r="F293" i="2"/>
  <c r="F294" i="2"/>
  <c r="F295" i="2"/>
  <c r="F296" i="2"/>
  <c r="F297" i="2"/>
  <c r="F298" i="2"/>
  <c r="F299" i="2"/>
  <c r="F300" i="2"/>
  <c r="F301" i="2"/>
  <c r="F302" i="2"/>
  <c r="F303" i="2"/>
  <c r="F304" i="2"/>
  <c r="F305" i="2"/>
  <c r="F306" i="2"/>
  <c r="F307" i="2"/>
  <c r="F308" i="2"/>
  <c r="F309" i="2"/>
  <c r="F310" i="2"/>
  <c r="F311" i="2"/>
  <c r="F312" i="2"/>
  <c r="F313" i="2"/>
  <c r="F314" i="2"/>
  <c r="F315" i="2"/>
  <c r="F316" i="2"/>
  <c r="F317" i="2"/>
  <c r="F318" i="2"/>
  <c r="F319" i="2"/>
  <c r="F320" i="2"/>
  <c r="F321" i="2"/>
  <c r="F322" i="2"/>
  <c r="F323" i="2"/>
  <c r="F324" i="2"/>
  <c r="F325" i="2"/>
  <c r="F326" i="2"/>
  <c r="F327" i="2"/>
  <c r="F328" i="2"/>
  <c r="F329" i="2"/>
  <c r="F330" i="2"/>
  <c r="F331" i="2"/>
  <c r="F332" i="2"/>
  <c r="F333" i="2"/>
  <c r="F334" i="2"/>
  <c r="F335" i="2"/>
  <c r="F336" i="2"/>
  <c r="F337" i="2"/>
  <c r="F338" i="2"/>
  <c r="F339" i="2"/>
  <c r="F340" i="2"/>
  <c r="F341" i="2"/>
  <c r="F342" i="2"/>
  <c r="F343" i="2"/>
  <c r="F344" i="2"/>
  <c r="F345" i="2"/>
  <c r="F346" i="2"/>
  <c r="F347" i="2"/>
  <c r="F348" i="2"/>
  <c r="F349" i="2"/>
  <c r="F350" i="2"/>
  <c r="F351" i="2"/>
  <c r="F352" i="2"/>
  <c r="F353" i="2"/>
  <c r="F354" i="2"/>
  <c r="F355" i="2"/>
  <c r="F356" i="2"/>
  <c r="F357" i="2"/>
  <c r="F358" i="2"/>
  <c r="F359" i="2"/>
  <c r="F360" i="2"/>
  <c r="F361" i="2"/>
  <c r="F362" i="2"/>
  <c r="F363" i="2"/>
  <c r="F364" i="2"/>
  <c r="F365" i="2"/>
  <c r="F366" i="2"/>
  <c r="F367" i="2"/>
  <c r="F368" i="2"/>
  <c r="F369" i="2"/>
  <c r="F370" i="2"/>
  <c r="F371" i="2"/>
  <c r="F372" i="2"/>
  <c r="F373" i="2"/>
  <c r="F374" i="2"/>
  <c r="F375" i="2"/>
  <c r="F376" i="2"/>
  <c r="F377" i="2"/>
  <c r="F378" i="2"/>
  <c r="F379" i="2"/>
  <c r="F380" i="2"/>
  <c r="F381" i="2"/>
  <c r="F382" i="2"/>
  <c r="F383" i="2"/>
  <c r="F384" i="2"/>
  <c r="F385" i="2"/>
  <c r="F386" i="2"/>
  <c r="F387" i="2"/>
  <c r="F388" i="2"/>
  <c r="F389" i="2"/>
  <c r="F390" i="2"/>
  <c r="F391" i="2"/>
  <c r="F392" i="2"/>
  <c r="F393" i="2"/>
  <c r="F394" i="2"/>
  <c r="F395" i="2"/>
  <c r="F396" i="2"/>
  <c r="F397" i="2"/>
  <c r="F398" i="2"/>
  <c r="F399" i="2"/>
  <c r="F400" i="2"/>
  <c r="F401" i="2"/>
  <c r="F402" i="2"/>
  <c r="F403" i="2"/>
  <c r="F404" i="2"/>
  <c r="F405" i="2"/>
  <c r="F406" i="2"/>
  <c r="F407" i="2"/>
  <c r="F408" i="2"/>
  <c r="F409" i="2"/>
  <c r="F410" i="2"/>
  <c r="F411" i="2"/>
  <c r="F412" i="2"/>
  <c r="F413" i="2"/>
  <c r="F414" i="2"/>
  <c r="F415" i="2"/>
  <c r="F416" i="2"/>
  <c r="F417" i="2"/>
  <c r="F418" i="2"/>
  <c r="F419" i="2"/>
  <c r="F420" i="2"/>
  <c r="F421" i="2"/>
  <c r="F422" i="2"/>
  <c r="F423" i="2"/>
  <c r="F424" i="2"/>
  <c r="F425" i="2"/>
  <c r="F426" i="2"/>
  <c r="F427" i="2"/>
  <c r="F428" i="2"/>
  <c r="F429" i="2"/>
  <c r="F430" i="2"/>
  <c r="F431" i="2"/>
  <c r="F432" i="2"/>
  <c r="F433" i="2"/>
  <c r="F434" i="2"/>
  <c r="F435" i="2"/>
  <c r="F436" i="2"/>
  <c r="F437" i="2"/>
  <c r="F438" i="2"/>
  <c r="F439" i="2"/>
  <c r="F440" i="2"/>
  <c r="F441" i="2"/>
  <c r="F442" i="2"/>
  <c r="F443" i="2"/>
  <c r="F444" i="2"/>
  <c r="F445" i="2"/>
  <c r="F446" i="2"/>
  <c r="F447" i="2"/>
  <c r="F448" i="2"/>
  <c r="F449" i="2"/>
  <c r="F450" i="2"/>
  <c r="F451" i="2"/>
  <c r="F452" i="2"/>
  <c r="F453" i="2"/>
  <c r="F454" i="2"/>
  <c r="F455" i="2"/>
  <c r="F456" i="2"/>
  <c r="F457" i="2"/>
  <c r="F458" i="2"/>
  <c r="F459" i="2"/>
  <c r="F460" i="2"/>
  <c r="F461" i="2"/>
  <c r="F462" i="2"/>
  <c r="F463" i="2"/>
  <c r="F464" i="2"/>
  <c r="F465" i="2"/>
  <c r="F466" i="2"/>
  <c r="F467" i="2"/>
  <c r="F468" i="2"/>
  <c r="F469" i="2"/>
  <c r="F470" i="2"/>
  <c r="F471" i="2"/>
  <c r="F472" i="2"/>
  <c r="F473" i="2"/>
  <c r="F474" i="2"/>
  <c r="F475" i="2"/>
  <c r="F476" i="2"/>
  <c r="F477" i="2"/>
  <c r="F478" i="2"/>
  <c r="F479" i="2"/>
  <c r="F480" i="2"/>
  <c r="F481" i="2"/>
  <c r="F482" i="2"/>
  <c r="F483" i="2"/>
  <c r="F484" i="2"/>
  <c r="F485" i="2"/>
  <c r="F486" i="2"/>
  <c r="F487" i="2"/>
  <c r="F488" i="2"/>
  <c r="F489" i="2"/>
  <c r="F490" i="2"/>
  <c r="F491" i="2"/>
  <c r="F492" i="2"/>
  <c r="F493" i="2"/>
  <c r="F494" i="2"/>
  <c r="F495" i="2"/>
  <c r="F496" i="2"/>
  <c r="F497" i="2"/>
  <c r="F498" i="2"/>
  <c r="F499" i="2"/>
  <c r="F500" i="2"/>
  <c r="F501" i="2"/>
  <c r="F502" i="2"/>
  <c r="F503" i="2"/>
  <c r="F504" i="2"/>
  <c r="F505" i="2"/>
  <c r="F506" i="2"/>
  <c r="F507" i="2"/>
  <c r="F508" i="2"/>
  <c r="F509" i="2"/>
  <c r="F510" i="2"/>
  <c r="F511" i="2"/>
  <c r="F512" i="2"/>
  <c r="F513" i="2"/>
  <c r="F514" i="2"/>
  <c r="F515" i="2"/>
  <c r="F516" i="2"/>
  <c r="F517" i="2"/>
  <c r="F518" i="2"/>
  <c r="F519" i="2"/>
  <c r="F520" i="2"/>
  <c r="F521" i="2"/>
  <c r="F522" i="2"/>
  <c r="F523" i="2"/>
  <c r="F524" i="2"/>
  <c r="F525" i="2"/>
  <c r="F526" i="2"/>
  <c r="F527" i="2"/>
  <c r="F528" i="2"/>
  <c r="F529" i="2"/>
  <c r="F530" i="2"/>
  <c r="F531" i="2"/>
  <c r="F532" i="2"/>
  <c r="F533" i="2"/>
  <c r="F534" i="2"/>
  <c r="F535" i="2"/>
  <c r="F536" i="2"/>
  <c r="F537" i="2"/>
  <c r="F538" i="2"/>
  <c r="F539" i="2"/>
  <c r="F540" i="2"/>
  <c r="F541" i="2"/>
  <c r="F542" i="2"/>
  <c r="F543" i="2"/>
  <c r="F544" i="2"/>
  <c r="F545" i="2"/>
  <c r="F546" i="2"/>
  <c r="F547" i="2"/>
  <c r="F548" i="2"/>
  <c r="F549" i="2"/>
  <c r="F550" i="2"/>
  <c r="F551" i="2"/>
  <c r="F552" i="2"/>
  <c r="F553" i="2"/>
  <c r="F554" i="2"/>
  <c r="F555" i="2"/>
  <c r="F556" i="2"/>
  <c r="F557" i="2"/>
  <c r="F558" i="2"/>
  <c r="F559" i="2"/>
  <c r="F560" i="2"/>
  <c r="F561" i="2"/>
  <c r="F562" i="2"/>
  <c r="F563" i="2"/>
  <c r="F564" i="2"/>
  <c r="F565" i="2"/>
  <c r="F566" i="2"/>
  <c r="F567" i="2"/>
  <c r="F568" i="2"/>
  <c r="F569" i="2"/>
  <c r="F570" i="2"/>
  <c r="F571" i="2"/>
  <c r="F572" i="2"/>
  <c r="F573" i="2"/>
  <c r="F574" i="2"/>
  <c r="F575" i="2"/>
  <c r="F576" i="2"/>
  <c r="F577" i="2"/>
  <c r="F578" i="2"/>
  <c r="F579" i="2"/>
  <c r="F580" i="2"/>
  <c r="F581" i="2"/>
  <c r="F582" i="2"/>
  <c r="F583" i="2"/>
  <c r="F584" i="2"/>
  <c r="F585" i="2"/>
  <c r="F586" i="2"/>
  <c r="F587" i="2"/>
  <c r="F588" i="2"/>
  <c r="F589" i="2"/>
  <c r="F590" i="2"/>
  <c r="F591" i="2"/>
  <c r="F592" i="2"/>
  <c r="F593" i="2"/>
  <c r="F594" i="2"/>
  <c r="F595" i="2"/>
  <c r="F596" i="2"/>
  <c r="F597" i="2"/>
  <c r="F598" i="2"/>
  <c r="F599" i="2"/>
  <c r="F600" i="2"/>
  <c r="F601" i="2"/>
  <c r="F602" i="2"/>
  <c r="F603" i="2"/>
  <c r="F604" i="2"/>
  <c r="F605" i="2"/>
  <c r="F606" i="2"/>
  <c r="F607" i="2"/>
  <c r="F608" i="2"/>
  <c r="F609" i="2"/>
  <c r="F610" i="2"/>
  <c r="F611" i="2"/>
  <c r="F612" i="2"/>
  <c r="F613" i="2"/>
  <c r="F614" i="2"/>
  <c r="F615" i="2"/>
  <c r="F616" i="2"/>
  <c r="F617" i="2"/>
  <c r="F618" i="2"/>
  <c r="F619" i="2"/>
  <c r="F620" i="2"/>
  <c r="F621" i="2"/>
  <c r="F622" i="2"/>
  <c r="F623" i="2"/>
  <c r="F624" i="2"/>
  <c r="F625" i="2"/>
  <c r="F626" i="2"/>
  <c r="F627" i="2"/>
  <c r="F628" i="2"/>
  <c r="F629" i="2"/>
  <c r="F630" i="2"/>
  <c r="F631" i="2"/>
  <c r="F632" i="2"/>
  <c r="F633" i="2"/>
  <c r="F634" i="2"/>
  <c r="F635" i="2"/>
  <c r="F636" i="2"/>
  <c r="F637" i="2"/>
  <c r="F638" i="2"/>
  <c r="F639" i="2"/>
  <c r="F640" i="2"/>
  <c r="F641" i="2"/>
  <c r="F642" i="2"/>
  <c r="F643" i="2"/>
  <c r="F644" i="2"/>
  <c r="F645" i="2"/>
  <c r="F646" i="2"/>
  <c r="F647" i="2"/>
  <c r="F648" i="2"/>
  <c r="F649" i="2"/>
  <c r="F650" i="2"/>
  <c r="F651" i="2"/>
  <c r="F652" i="2"/>
  <c r="F653" i="2"/>
  <c r="F654" i="2"/>
  <c r="F655" i="2"/>
  <c r="F656" i="2"/>
  <c r="F657" i="2"/>
  <c r="F658" i="2"/>
  <c r="F659" i="2"/>
  <c r="F660" i="2"/>
  <c r="F661" i="2"/>
  <c r="F662" i="2"/>
  <c r="F663" i="2"/>
  <c r="F664" i="2"/>
  <c r="F665" i="2"/>
  <c r="F666" i="2"/>
  <c r="F667" i="2"/>
  <c r="F668" i="2"/>
  <c r="F669" i="2"/>
  <c r="F670" i="2"/>
  <c r="F671" i="2"/>
  <c r="F672" i="2"/>
  <c r="F673" i="2"/>
  <c r="F674" i="2"/>
  <c r="F675" i="2"/>
  <c r="F676" i="2"/>
  <c r="F677" i="2"/>
  <c r="F678" i="2"/>
  <c r="F679" i="2"/>
  <c r="F680" i="2"/>
  <c r="F681" i="2"/>
  <c r="F682" i="2"/>
  <c r="F683" i="2"/>
  <c r="F684" i="2"/>
  <c r="F685" i="2"/>
  <c r="F686" i="2"/>
  <c r="F687" i="2"/>
  <c r="F688" i="2"/>
  <c r="F689" i="2"/>
  <c r="F690" i="2"/>
  <c r="F691" i="2"/>
  <c r="F692" i="2"/>
  <c r="F693" i="2"/>
  <c r="F694" i="2"/>
  <c r="F695" i="2"/>
  <c r="F696" i="2"/>
  <c r="F697" i="2"/>
  <c r="F698" i="2"/>
  <c r="F699" i="2"/>
  <c r="F700" i="2"/>
  <c r="F701" i="2"/>
  <c r="F702" i="2"/>
  <c r="F703" i="2"/>
  <c r="F704" i="2"/>
  <c r="F705" i="2"/>
  <c r="F706" i="2"/>
  <c r="F707" i="2"/>
  <c r="F708" i="2"/>
  <c r="F709" i="2"/>
  <c r="F710" i="2"/>
  <c r="F711" i="2"/>
  <c r="F712" i="2"/>
  <c r="F713" i="2"/>
  <c r="F714" i="2"/>
  <c r="F715" i="2"/>
  <c r="F716" i="2"/>
  <c r="F717" i="2"/>
  <c r="F718" i="2"/>
  <c r="F719" i="2"/>
  <c r="F720" i="2"/>
  <c r="F721" i="2"/>
  <c r="F722" i="2"/>
  <c r="F723" i="2"/>
  <c r="F724" i="2"/>
  <c r="F725" i="2"/>
  <c r="F726" i="2"/>
  <c r="F727" i="2"/>
  <c r="F728" i="2"/>
  <c r="F729" i="2"/>
  <c r="F730" i="2"/>
  <c r="F731" i="2"/>
  <c r="F732" i="2"/>
  <c r="F733" i="2"/>
  <c r="F734" i="2"/>
  <c r="F735" i="2"/>
  <c r="F736" i="2"/>
  <c r="F737" i="2"/>
  <c r="F738" i="2"/>
  <c r="F739" i="2"/>
  <c r="F740" i="2"/>
  <c r="F741" i="2"/>
  <c r="F742" i="2"/>
  <c r="F743" i="2"/>
  <c r="F744" i="2"/>
  <c r="F745" i="2"/>
  <c r="F746" i="2"/>
  <c r="F747" i="2"/>
  <c r="F748" i="2"/>
  <c r="F749" i="2"/>
  <c r="F750" i="2"/>
  <c r="F751" i="2"/>
  <c r="F752" i="2"/>
  <c r="F753" i="2"/>
  <c r="F754" i="2"/>
  <c r="F755" i="2"/>
  <c r="F756" i="2"/>
  <c r="F757" i="2"/>
  <c r="F758" i="2"/>
  <c r="F759" i="2"/>
  <c r="F760" i="2"/>
  <c r="F761" i="2"/>
  <c r="F762" i="2"/>
  <c r="F763" i="2"/>
  <c r="F764" i="2"/>
  <c r="F765" i="2"/>
  <c r="F766" i="2"/>
  <c r="F767" i="2"/>
  <c r="F768" i="2"/>
  <c r="F769" i="2"/>
  <c r="F770" i="2"/>
  <c r="F771" i="2"/>
  <c r="F772" i="2"/>
  <c r="F773" i="2"/>
  <c r="F774" i="2"/>
  <c r="F775" i="2"/>
  <c r="F776" i="2"/>
  <c r="F777" i="2"/>
  <c r="F778" i="2"/>
  <c r="F779" i="2"/>
  <c r="F780" i="2"/>
  <c r="F781" i="2"/>
  <c r="F782" i="2"/>
  <c r="F783" i="2"/>
  <c r="F784" i="2"/>
  <c r="F785" i="2"/>
  <c r="F786" i="2"/>
  <c r="F787" i="2"/>
  <c r="F788" i="2"/>
  <c r="F789" i="2"/>
  <c r="F790" i="2"/>
  <c r="F791" i="2"/>
  <c r="F792" i="2"/>
  <c r="F793" i="2"/>
  <c r="F794" i="2"/>
  <c r="F795" i="2"/>
  <c r="F796" i="2"/>
  <c r="F797" i="2"/>
  <c r="F798" i="2"/>
  <c r="F799" i="2"/>
  <c r="F800" i="2"/>
  <c r="F801" i="2"/>
  <c r="F802" i="2"/>
  <c r="F803" i="2"/>
  <c r="F804" i="2"/>
  <c r="F805" i="2"/>
  <c r="F806" i="2"/>
  <c r="F807" i="2"/>
  <c r="F808" i="2"/>
  <c r="F809" i="2"/>
  <c r="F810" i="2"/>
  <c r="F811" i="2"/>
  <c r="F812" i="2"/>
  <c r="F813" i="2"/>
  <c r="F814" i="2"/>
  <c r="F815" i="2"/>
  <c r="F816" i="2"/>
  <c r="F817" i="2"/>
  <c r="F818" i="2"/>
  <c r="F819" i="2"/>
  <c r="F820" i="2"/>
  <c r="F821" i="2"/>
  <c r="F822" i="2"/>
  <c r="F823" i="2"/>
  <c r="F824" i="2"/>
  <c r="F825" i="2"/>
  <c r="F826" i="2"/>
  <c r="F827" i="2"/>
  <c r="F828" i="2"/>
  <c r="F829" i="2"/>
  <c r="F830" i="2"/>
  <c r="F831" i="2"/>
  <c r="F832" i="2"/>
  <c r="F833" i="2"/>
  <c r="F834" i="2"/>
  <c r="F835" i="2"/>
  <c r="F836" i="2"/>
  <c r="F837" i="2"/>
  <c r="F838" i="2"/>
  <c r="F839" i="2"/>
  <c r="F840" i="2"/>
  <c r="F841" i="2"/>
  <c r="F842" i="2"/>
  <c r="F843" i="2"/>
  <c r="F844" i="2"/>
  <c r="F845" i="2"/>
  <c r="F846" i="2"/>
  <c r="F847" i="2"/>
  <c r="F848" i="2"/>
  <c r="F849" i="2"/>
  <c r="F850" i="2"/>
  <c r="F851" i="2"/>
  <c r="F852" i="2"/>
  <c r="F853" i="2"/>
  <c r="F854" i="2"/>
  <c r="F855" i="2"/>
  <c r="F856" i="2"/>
  <c r="F857" i="2"/>
  <c r="F858" i="2"/>
  <c r="F859" i="2"/>
  <c r="F860" i="2"/>
  <c r="F861" i="2"/>
  <c r="F862" i="2"/>
  <c r="F863" i="2"/>
  <c r="F864" i="2"/>
  <c r="F865" i="2"/>
  <c r="F866" i="2"/>
  <c r="F867" i="2"/>
  <c r="F868" i="2"/>
  <c r="F869" i="2"/>
  <c r="F870" i="2"/>
  <c r="F871" i="2"/>
  <c r="F872" i="2"/>
  <c r="F873" i="2"/>
  <c r="F874" i="2"/>
  <c r="F875" i="2"/>
  <c r="F876" i="2"/>
  <c r="F877" i="2"/>
  <c r="F878" i="2"/>
  <c r="F879" i="2"/>
  <c r="F880" i="2"/>
  <c r="F881" i="2"/>
  <c r="F882" i="2"/>
  <c r="F883" i="2"/>
  <c r="F884" i="2"/>
  <c r="F885" i="2"/>
  <c r="F886" i="2"/>
  <c r="F887" i="2"/>
  <c r="F888" i="2"/>
  <c r="F889" i="2"/>
  <c r="F890" i="2"/>
  <c r="F891" i="2"/>
  <c r="F892" i="2"/>
  <c r="F893" i="2"/>
  <c r="F894" i="2"/>
  <c r="F895" i="2"/>
  <c r="F896" i="2"/>
  <c r="F897" i="2"/>
  <c r="F898" i="2"/>
  <c r="F899" i="2"/>
  <c r="F900" i="2"/>
  <c r="F901" i="2"/>
  <c r="F902" i="2"/>
  <c r="F903" i="2"/>
  <c r="F904" i="2"/>
  <c r="F905" i="2"/>
  <c r="F906" i="2"/>
  <c r="F907" i="2"/>
  <c r="F908" i="2"/>
  <c r="F909" i="2"/>
  <c r="F910" i="2"/>
  <c r="F911" i="2"/>
  <c r="F912" i="2"/>
  <c r="F913" i="2"/>
  <c r="F914" i="2"/>
  <c r="F915" i="2"/>
  <c r="F916" i="2"/>
  <c r="F917" i="2"/>
  <c r="F918" i="2"/>
  <c r="F919" i="2"/>
  <c r="F920" i="2"/>
  <c r="F921" i="2"/>
  <c r="F922" i="2"/>
  <c r="F923" i="2"/>
  <c r="F924" i="2"/>
  <c r="F925" i="2"/>
  <c r="F926" i="2"/>
  <c r="F927" i="2"/>
  <c r="F928" i="2"/>
  <c r="F929" i="2"/>
  <c r="F930" i="2"/>
  <c r="F931" i="2"/>
  <c r="F932" i="2"/>
  <c r="F933" i="2"/>
  <c r="F934" i="2"/>
  <c r="F935" i="2"/>
  <c r="F936" i="2"/>
  <c r="F937" i="2"/>
  <c r="F938" i="2"/>
  <c r="F939" i="2"/>
  <c r="F940" i="2"/>
  <c r="F941" i="2"/>
  <c r="F942" i="2"/>
  <c r="F943" i="2"/>
  <c r="F944" i="2"/>
  <c r="F945" i="2"/>
  <c r="F946" i="2"/>
  <c r="F947" i="2"/>
  <c r="F948" i="2"/>
  <c r="F949" i="2"/>
  <c r="F950" i="2"/>
  <c r="F951" i="2"/>
  <c r="F952" i="2"/>
  <c r="F953" i="2"/>
  <c r="F954" i="2"/>
  <c r="F955" i="2"/>
  <c r="F956" i="2"/>
  <c r="F957" i="2"/>
  <c r="F958" i="2"/>
  <c r="F959" i="2"/>
  <c r="F960" i="2"/>
  <c r="F961" i="2"/>
  <c r="F962" i="2"/>
  <c r="F963" i="2"/>
  <c r="F964" i="2"/>
  <c r="F965" i="2"/>
  <c r="F966" i="2"/>
  <c r="F967" i="2"/>
  <c r="F968" i="2"/>
  <c r="F969" i="2"/>
  <c r="F970" i="2"/>
  <c r="F971" i="2"/>
  <c r="F972" i="2"/>
  <c r="F973" i="2"/>
  <c r="F974" i="2"/>
  <c r="F975" i="2"/>
  <c r="F976" i="2"/>
  <c r="F977" i="2"/>
  <c r="F978" i="2"/>
  <c r="F979" i="2"/>
  <c r="F980" i="2"/>
  <c r="F981" i="2"/>
  <c r="F982" i="2"/>
  <c r="F983" i="2"/>
  <c r="F984" i="2"/>
  <c r="F985" i="2"/>
  <c r="F986" i="2"/>
  <c r="F987" i="2"/>
  <c r="F988" i="2"/>
  <c r="F989" i="2"/>
  <c r="F990" i="2"/>
  <c r="F991" i="2"/>
  <c r="F992" i="2"/>
  <c r="F993" i="2"/>
  <c r="F994" i="2"/>
  <c r="F995" i="2"/>
  <c r="F996" i="2"/>
  <c r="F997" i="2"/>
  <c r="F998" i="2"/>
  <c r="F999" i="2"/>
  <c r="F1000" i="2"/>
  <c r="F1001" i="2"/>
  <c r="F1002" i="2"/>
  <c r="F1003" i="2"/>
  <c r="F1004" i="2"/>
  <c r="F1005" i="2"/>
  <c r="F1006" i="2"/>
  <c r="F1007" i="2"/>
  <c r="F1008" i="2"/>
  <c r="F1009" i="2"/>
  <c r="F1010" i="2"/>
  <c r="F1011" i="2"/>
  <c r="F1012" i="2"/>
  <c r="F1013" i="2"/>
  <c r="F1014" i="2"/>
  <c r="F1015" i="2"/>
  <c r="F1016" i="2"/>
  <c r="F1017" i="2"/>
  <c r="F1018" i="2"/>
  <c r="F1019" i="2"/>
  <c r="F1020" i="2"/>
  <c r="F1021" i="2"/>
  <c r="F1022" i="2"/>
  <c r="F1023" i="2"/>
  <c r="F1024" i="2"/>
  <c r="F1025" i="2"/>
  <c r="F1026" i="2"/>
  <c r="F1027" i="2"/>
  <c r="F1028" i="2"/>
  <c r="F1029" i="2"/>
  <c r="F1030" i="2"/>
  <c r="F1031" i="2"/>
  <c r="F1032" i="2"/>
  <c r="F1033" i="2"/>
  <c r="F1034" i="2"/>
  <c r="F1035" i="2"/>
  <c r="F1036" i="2"/>
  <c r="F1037" i="2"/>
  <c r="F1038" i="2"/>
  <c r="F1039" i="2"/>
  <c r="F1040" i="2"/>
  <c r="F1041" i="2"/>
  <c r="F1042" i="2"/>
  <c r="F1043" i="2"/>
  <c r="F1044" i="2"/>
  <c r="F1045" i="2"/>
  <c r="F1046" i="2"/>
  <c r="F1047" i="2"/>
  <c r="F1048" i="2"/>
  <c r="F1049" i="2"/>
  <c r="F1050" i="2"/>
  <c r="F1051" i="2"/>
  <c r="F1052" i="2"/>
  <c r="F1053" i="2"/>
  <c r="F1054" i="2"/>
  <c r="F1055" i="2"/>
  <c r="F1056" i="2"/>
  <c r="F1057" i="2"/>
  <c r="F1058" i="2"/>
  <c r="F1059" i="2"/>
  <c r="F1060" i="2"/>
  <c r="F1061" i="2"/>
  <c r="F1062" i="2"/>
  <c r="F1063" i="2"/>
  <c r="F1064" i="2"/>
  <c r="F1065" i="2"/>
  <c r="F1066" i="2"/>
  <c r="F1067" i="2"/>
  <c r="F1068" i="2"/>
  <c r="F1069" i="2"/>
  <c r="F1070" i="2"/>
  <c r="F1071" i="2"/>
  <c r="F1072" i="2"/>
  <c r="F1073" i="2"/>
  <c r="F1074" i="2"/>
  <c r="F1075" i="2"/>
  <c r="F1076" i="2"/>
  <c r="F1077" i="2"/>
  <c r="F1078" i="2"/>
  <c r="F1079" i="2"/>
  <c r="F1080" i="2"/>
  <c r="F1081" i="2"/>
  <c r="F1082" i="2"/>
  <c r="F1083" i="2"/>
  <c r="F1084" i="2"/>
  <c r="F1085" i="2"/>
  <c r="F1086" i="2"/>
  <c r="F1087" i="2"/>
  <c r="F1088" i="2"/>
  <c r="F1089" i="2"/>
  <c r="F1090" i="2"/>
  <c r="F1091" i="2"/>
  <c r="F1092" i="2"/>
  <c r="F1093" i="2"/>
  <c r="F1094" i="2"/>
  <c r="F1095" i="2"/>
  <c r="F1096" i="2"/>
  <c r="F1097" i="2"/>
  <c r="F1098" i="2"/>
  <c r="F1099" i="2"/>
  <c r="F1100" i="2"/>
  <c r="F1101" i="2"/>
  <c r="F1102" i="2"/>
  <c r="F1103" i="2"/>
  <c r="F1104" i="2"/>
  <c r="F1105" i="2"/>
  <c r="F1106" i="2"/>
  <c r="F1107" i="2"/>
  <c r="F1108" i="2"/>
  <c r="F1109" i="2"/>
  <c r="F1110" i="2"/>
  <c r="F1111" i="2"/>
  <c r="F1112" i="2"/>
  <c r="F1113" i="2"/>
  <c r="F1114" i="2"/>
  <c r="F1115" i="2"/>
  <c r="F1116" i="2"/>
  <c r="F1117" i="2"/>
  <c r="F1118" i="2"/>
  <c r="F1119" i="2"/>
  <c r="F1120" i="2"/>
  <c r="F1121" i="2"/>
  <c r="F1122" i="2"/>
  <c r="F1123" i="2"/>
  <c r="F1124" i="2"/>
  <c r="F1125" i="2"/>
  <c r="F1126" i="2"/>
  <c r="F1127" i="2"/>
  <c r="F1128" i="2"/>
  <c r="F1129" i="2"/>
  <c r="F1130" i="2"/>
  <c r="F1131" i="2"/>
  <c r="F1132" i="2"/>
  <c r="F1133" i="2"/>
  <c r="F1134" i="2"/>
  <c r="F1135" i="2"/>
  <c r="F1136" i="2"/>
  <c r="F1137" i="2"/>
  <c r="F1138" i="2"/>
  <c r="F1139" i="2"/>
  <c r="F1140" i="2"/>
  <c r="F1141" i="2"/>
  <c r="F1142" i="2"/>
  <c r="F1143" i="2"/>
  <c r="F1144" i="2"/>
  <c r="F1145" i="2"/>
  <c r="F1146" i="2"/>
  <c r="F1147" i="2"/>
  <c r="F1148" i="2"/>
  <c r="F1149" i="2"/>
  <c r="F1150" i="2"/>
  <c r="F1151" i="2"/>
  <c r="F1152" i="2"/>
  <c r="F1153" i="2"/>
  <c r="F1154" i="2"/>
  <c r="F1155" i="2"/>
  <c r="F1156" i="2"/>
  <c r="F1157" i="2"/>
  <c r="F1158" i="2"/>
  <c r="F1159" i="2"/>
  <c r="F1160" i="2"/>
  <c r="F1161" i="2"/>
  <c r="F1162" i="2"/>
  <c r="F1163" i="2"/>
  <c r="F1164" i="2"/>
  <c r="F1165" i="2"/>
  <c r="F1166" i="2"/>
  <c r="F1167" i="2"/>
  <c r="F1168" i="2"/>
  <c r="F1169" i="2"/>
  <c r="F1170" i="2"/>
  <c r="F1171" i="2"/>
  <c r="F1172" i="2"/>
  <c r="F1173" i="2"/>
  <c r="F1174" i="2"/>
  <c r="F1175" i="2"/>
  <c r="F1176" i="2"/>
  <c r="F1177" i="2"/>
  <c r="F1178" i="2"/>
  <c r="F1179" i="2"/>
  <c r="F1180" i="2"/>
  <c r="F1181" i="2"/>
  <c r="F1182" i="2"/>
  <c r="F1183" i="2"/>
  <c r="F1184" i="2"/>
  <c r="F1185" i="2"/>
  <c r="F1186" i="2"/>
  <c r="F1187" i="2"/>
  <c r="F1188" i="2"/>
  <c r="F1189" i="2"/>
  <c r="F1190" i="2"/>
  <c r="F1191" i="2"/>
  <c r="F1192" i="2"/>
  <c r="F1193" i="2"/>
  <c r="F1194" i="2"/>
  <c r="F1195" i="2"/>
  <c r="F1196" i="2"/>
  <c r="F1197" i="2"/>
  <c r="F1198" i="2"/>
  <c r="F1199" i="2"/>
  <c r="F1200" i="2"/>
  <c r="F1201" i="2"/>
  <c r="F1202" i="2"/>
  <c r="F1203" i="2"/>
  <c r="F1204" i="2"/>
  <c r="F1205" i="2"/>
  <c r="F1206" i="2"/>
  <c r="F1207" i="2"/>
  <c r="F1208" i="2"/>
  <c r="F1209" i="2"/>
  <c r="F1210" i="2"/>
  <c r="F1211" i="2"/>
  <c r="F1212" i="2"/>
  <c r="F1213" i="2"/>
  <c r="F1214" i="2"/>
  <c r="F1215" i="2"/>
  <c r="F1216" i="2"/>
  <c r="F1217" i="2"/>
  <c r="F1218" i="2"/>
  <c r="F1219" i="2"/>
  <c r="F1220" i="2"/>
  <c r="F1221" i="2"/>
  <c r="F1222" i="2"/>
  <c r="F1223" i="2"/>
  <c r="F1224" i="2"/>
  <c r="F1225" i="2"/>
  <c r="F1226" i="2"/>
  <c r="F1227" i="2"/>
  <c r="F1228" i="2"/>
  <c r="F1229" i="2"/>
  <c r="F1230" i="2"/>
  <c r="F1231" i="2"/>
  <c r="F1232" i="2"/>
  <c r="F1233" i="2"/>
  <c r="F1234" i="2"/>
  <c r="F1235" i="2"/>
  <c r="F1236" i="2"/>
  <c r="F1237" i="2"/>
  <c r="F1238" i="2"/>
  <c r="F1239" i="2"/>
  <c r="F1240" i="2"/>
  <c r="F1241" i="2"/>
  <c r="F1242" i="2"/>
  <c r="F1243" i="2"/>
  <c r="F1244" i="2"/>
  <c r="F1245" i="2"/>
  <c r="F1246" i="2"/>
  <c r="F1247" i="2"/>
  <c r="F1248" i="2"/>
  <c r="F1249" i="2"/>
  <c r="F1250" i="2"/>
  <c r="F1251" i="2"/>
  <c r="F1252" i="2"/>
  <c r="F1253" i="2"/>
  <c r="F1254" i="2"/>
  <c r="F1255" i="2"/>
  <c r="F1256" i="2"/>
  <c r="F1257" i="2"/>
  <c r="F1258" i="2"/>
  <c r="F1259" i="2"/>
  <c r="F1260" i="2"/>
  <c r="F1261" i="2"/>
  <c r="F1262" i="2"/>
  <c r="F1263" i="2"/>
  <c r="F1264" i="2"/>
  <c r="F1265" i="2"/>
  <c r="F1266" i="2"/>
  <c r="F1267" i="2"/>
  <c r="F1268" i="2"/>
  <c r="F1269" i="2"/>
  <c r="F1270" i="2"/>
  <c r="F1271" i="2"/>
  <c r="F1272" i="2"/>
  <c r="F1273" i="2"/>
  <c r="F1274" i="2"/>
  <c r="F1275" i="2"/>
  <c r="F1276" i="2"/>
  <c r="F1277" i="2"/>
  <c r="F1278" i="2"/>
  <c r="F1279" i="2"/>
  <c r="F1280" i="2"/>
  <c r="F1281" i="2"/>
  <c r="F1282" i="2"/>
  <c r="F1283" i="2"/>
  <c r="F1284" i="2"/>
  <c r="F1285" i="2"/>
  <c r="F1286" i="2"/>
  <c r="F1287" i="2"/>
  <c r="F1288" i="2"/>
  <c r="F1289" i="2"/>
  <c r="F1290" i="2"/>
  <c r="F1291" i="2"/>
  <c r="F1292" i="2"/>
  <c r="F1293" i="2"/>
  <c r="F1294" i="2"/>
  <c r="F1295" i="2"/>
  <c r="F1296" i="2"/>
  <c r="F1297" i="2"/>
  <c r="F1298" i="2"/>
  <c r="F1299" i="2"/>
  <c r="F1300" i="2"/>
  <c r="F1301" i="2"/>
  <c r="F1302" i="2"/>
  <c r="F1303" i="2"/>
  <c r="F1304" i="2"/>
  <c r="F1305" i="2"/>
  <c r="F1306" i="2"/>
  <c r="F1307" i="2"/>
  <c r="F1308" i="2"/>
  <c r="F1309" i="2"/>
  <c r="F1310" i="2"/>
  <c r="F1311" i="2"/>
  <c r="F1312" i="2"/>
  <c r="F1313" i="2"/>
  <c r="F1314" i="2"/>
  <c r="F1315" i="2"/>
  <c r="F1316" i="2"/>
  <c r="F1317" i="2"/>
  <c r="F1318" i="2"/>
  <c r="F1319" i="2"/>
  <c r="F1320" i="2"/>
  <c r="F1321" i="2"/>
  <c r="F1322" i="2"/>
  <c r="F1323" i="2"/>
  <c r="F1324" i="2"/>
  <c r="F1325" i="2"/>
  <c r="F1326" i="2"/>
  <c r="F1327" i="2"/>
  <c r="F1328" i="2"/>
  <c r="F1329" i="2"/>
  <c r="F1330" i="2"/>
  <c r="F1331" i="2"/>
  <c r="F1332" i="2"/>
  <c r="F1333" i="2"/>
  <c r="F1334" i="2"/>
  <c r="F1335" i="2"/>
  <c r="F1336" i="2"/>
  <c r="F1337" i="2"/>
  <c r="F1338" i="2"/>
  <c r="F1339" i="2"/>
  <c r="F1340" i="2"/>
  <c r="F1341" i="2"/>
  <c r="F1342" i="2"/>
  <c r="F1343" i="2"/>
  <c r="F1344" i="2"/>
  <c r="F1345" i="2"/>
  <c r="F1346" i="2"/>
  <c r="F1347" i="2"/>
  <c r="F1348" i="2"/>
  <c r="F1349" i="2"/>
  <c r="F1350" i="2"/>
  <c r="F1351" i="2"/>
  <c r="F1352" i="2"/>
  <c r="F1353" i="2"/>
  <c r="F1354" i="2"/>
  <c r="F1355" i="2"/>
  <c r="F1356" i="2"/>
  <c r="F1357" i="2"/>
  <c r="F1358" i="2"/>
  <c r="F1359" i="2"/>
  <c r="F1360" i="2"/>
  <c r="F1361" i="2"/>
  <c r="F1362" i="2"/>
  <c r="F1363" i="2"/>
  <c r="F1364" i="2"/>
  <c r="F1365" i="2"/>
  <c r="F1366" i="2"/>
  <c r="F1367" i="2"/>
  <c r="F1368" i="2"/>
  <c r="F1369" i="2"/>
  <c r="F1370" i="2"/>
  <c r="F1371" i="2"/>
  <c r="F1372" i="2"/>
  <c r="F1373" i="2"/>
  <c r="F1374" i="2"/>
  <c r="F1375" i="2"/>
  <c r="F1376" i="2"/>
  <c r="F1377" i="2"/>
  <c r="F1378" i="2"/>
  <c r="F1379" i="2"/>
  <c r="F1380" i="2"/>
  <c r="F1381" i="2"/>
  <c r="F1382" i="2"/>
  <c r="F1383" i="2"/>
  <c r="F1384" i="2"/>
  <c r="F1385" i="2"/>
  <c r="F1386" i="2"/>
  <c r="F1387" i="2"/>
  <c r="F1388" i="2"/>
  <c r="F1389" i="2"/>
  <c r="F1390" i="2"/>
  <c r="F1391" i="2"/>
  <c r="F1392" i="2"/>
  <c r="F1393" i="2"/>
  <c r="F1394" i="2"/>
  <c r="F1395" i="2"/>
  <c r="F1396" i="2"/>
  <c r="F1397" i="2"/>
  <c r="F1398" i="2"/>
  <c r="F1399" i="2"/>
  <c r="F1400" i="2"/>
  <c r="F1401" i="2"/>
  <c r="F1402" i="2"/>
  <c r="F1403" i="2"/>
  <c r="F1404" i="2"/>
  <c r="F1405" i="2"/>
  <c r="F1406" i="2"/>
  <c r="F1407" i="2"/>
  <c r="F1408" i="2"/>
  <c r="F1409" i="2"/>
  <c r="F1410" i="2"/>
  <c r="F1411" i="2"/>
  <c r="F1412" i="2"/>
  <c r="F1413" i="2"/>
  <c r="F1414" i="2"/>
  <c r="F1415" i="2"/>
  <c r="F1416" i="2"/>
  <c r="F1417" i="2"/>
  <c r="F1418" i="2"/>
  <c r="F1419" i="2"/>
  <c r="F1420" i="2"/>
  <c r="F1421" i="2"/>
  <c r="F1422" i="2"/>
  <c r="F1423" i="2"/>
  <c r="F1424" i="2"/>
  <c r="F1425" i="2"/>
  <c r="F1426" i="2"/>
  <c r="F1427" i="2"/>
  <c r="F1428" i="2"/>
  <c r="F1429" i="2"/>
  <c r="F1430" i="2"/>
  <c r="F1431" i="2"/>
  <c r="F1432" i="2"/>
  <c r="F1433" i="2"/>
  <c r="F1434" i="2"/>
  <c r="F1435" i="2"/>
  <c r="F1436" i="2"/>
  <c r="F1437" i="2"/>
  <c r="F1438" i="2"/>
  <c r="F1439" i="2"/>
  <c r="F1440" i="2"/>
  <c r="F1441" i="2"/>
  <c r="F1442" i="2"/>
  <c r="F1443" i="2"/>
  <c r="F1444" i="2"/>
  <c r="F1445" i="2"/>
  <c r="F1446" i="2"/>
  <c r="F1447" i="2"/>
  <c r="F1448" i="2"/>
  <c r="F1449" i="2"/>
  <c r="F1450" i="2"/>
  <c r="F1451" i="2"/>
  <c r="F1452" i="2"/>
  <c r="F1453" i="2"/>
  <c r="F1454" i="2"/>
  <c r="F1455" i="2"/>
  <c r="F1456" i="2"/>
  <c r="F1457" i="2"/>
  <c r="F1458" i="2"/>
  <c r="F1459" i="2"/>
  <c r="F1460" i="2"/>
  <c r="F1461" i="2"/>
  <c r="F1462" i="2"/>
  <c r="F1463" i="2"/>
  <c r="F1464" i="2"/>
  <c r="F1465" i="2"/>
  <c r="F1466" i="2"/>
  <c r="F1467" i="2"/>
  <c r="F1468" i="2"/>
  <c r="F1469" i="2"/>
  <c r="F1470" i="2"/>
  <c r="F1471" i="2"/>
  <c r="F1472" i="2"/>
  <c r="F1473" i="2"/>
  <c r="F1474" i="2"/>
  <c r="F1475" i="2"/>
  <c r="F1476" i="2"/>
  <c r="F1477" i="2"/>
  <c r="F1478" i="2"/>
  <c r="F1479" i="2"/>
  <c r="F1480" i="2"/>
  <c r="F1481" i="2"/>
  <c r="F1482" i="2"/>
  <c r="F1483" i="2"/>
  <c r="F1484" i="2"/>
  <c r="F1485" i="2"/>
  <c r="F1486" i="2"/>
  <c r="F1487" i="2"/>
  <c r="F1488" i="2"/>
  <c r="F1489" i="2"/>
  <c r="F1490" i="2"/>
  <c r="F1491" i="2"/>
  <c r="F1492" i="2"/>
  <c r="F1493" i="2"/>
  <c r="F1494" i="2"/>
  <c r="F1495" i="2"/>
  <c r="F1496" i="2"/>
  <c r="F1497" i="2"/>
  <c r="F1498" i="2"/>
  <c r="F1499" i="2"/>
  <c r="F1500" i="2"/>
  <c r="F1501" i="2"/>
  <c r="F1502" i="2"/>
  <c r="F1503" i="2"/>
  <c r="F1504" i="2"/>
  <c r="F1505" i="2"/>
  <c r="F1506" i="2"/>
  <c r="F1507" i="2"/>
  <c r="F1508" i="2"/>
  <c r="F1509" i="2"/>
  <c r="F1510" i="2"/>
  <c r="F1511" i="2"/>
  <c r="F1512" i="2"/>
  <c r="F1513" i="2"/>
  <c r="F1514" i="2"/>
  <c r="F1515" i="2"/>
  <c r="F1516" i="2"/>
  <c r="F1517" i="2"/>
  <c r="F1518" i="2"/>
  <c r="F1519" i="2"/>
  <c r="F1520" i="2"/>
  <c r="F1521" i="2"/>
  <c r="F1522" i="2"/>
  <c r="F1523" i="2"/>
  <c r="F1524" i="2"/>
  <c r="F1525" i="2"/>
  <c r="F1526" i="2"/>
  <c r="F1527" i="2"/>
  <c r="F1528" i="2"/>
  <c r="F1529" i="2"/>
  <c r="F1530" i="2"/>
  <c r="F1531" i="2"/>
  <c r="F1532" i="2"/>
  <c r="F1533" i="2"/>
  <c r="F1534" i="2"/>
  <c r="F1535" i="2"/>
  <c r="F1536" i="2"/>
  <c r="F1537" i="2"/>
  <c r="F1538" i="2"/>
  <c r="F1539" i="2"/>
  <c r="F1540" i="2"/>
  <c r="F1541" i="2"/>
  <c r="F1542" i="2"/>
  <c r="F1543" i="2"/>
  <c r="F1544" i="2"/>
  <c r="F1545" i="2"/>
  <c r="F1546" i="2"/>
  <c r="F1547" i="2"/>
  <c r="F1548" i="2"/>
  <c r="F1549" i="2"/>
  <c r="F1550" i="2"/>
  <c r="F1551" i="2"/>
  <c r="F1552" i="2"/>
  <c r="F1553" i="2"/>
  <c r="F1554" i="2"/>
  <c r="F1555" i="2"/>
  <c r="F1556" i="2"/>
  <c r="F1557" i="2"/>
  <c r="F1558" i="2"/>
  <c r="F1559" i="2"/>
  <c r="F1560" i="2"/>
  <c r="F1561" i="2"/>
  <c r="F1562" i="2"/>
  <c r="F1563" i="2"/>
  <c r="F1564" i="2"/>
  <c r="F1565" i="2"/>
  <c r="F1566" i="2"/>
  <c r="F1567" i="2"/>
  <c r="F1568" i="2"/>
  <c r="F1569" i="2"/>
  <c r="F1570" i="2"/>
  <c r="F1571" i="2"/>
  <c r="F1572" i="2"/>
  <c r="F1573" i="2"/>
  <c r="F1574" i="2"/>
  <c r="F1575" i="2"/>
  <c r="F1576" i="2"/>
  <c r="F1577" i="2"/>
  <c r="F1578" i="2"/>
  <c r="F1579" i="2"/>
  <c r="F1580" i="2"/>
  <c r="F1581" i="2"/>
  <c r="F1582" i="2"/>
  <c r="F1583" i="2"/>
  <c r="F1584" i="2"/>
  <c r="F1585" i="2"/>
  <c r="F1586" i="2"/>
  <c r="F1587" i="2"/>
  <c r="F1588" i="2"/>
  <c r="F1589" i="2"/>
  <c r="F1590" i="2"/>
  <c r="F1591" i="2"/>
  <c r="F1592" i="2"/>
  <c r="F1593" i="2"/>
  <c r="F1594" i="2"/>
  <c r="F1595" i="2"/>
  <c r="F1596" i="2"/>
  <c r="F1597" i="2"/>
  <c r="F1598" i="2"/>
  <c r="F1599" i="2"/>
  <c r="F1600" i="2"/>
  <c r="F1601" i="2"/>
  <c r="F1602" i="2"/>
  <c r="F1603" i="2"/>
  <c r="F1604" i="2"/>
  <c r="F1605" i="2"/>
  <c r="F1606" i="2"/>
  <c r="F1607" i="2"/>
  <c r="F1608" i="2"/>
  <c r="F1609" i="2"/>
  <c r="F1610" i="2"/>
  <c r="F1611" i="2"/>
  <c r="F1612" i="2"/>
  <c r="F1613" i="2"/>
  <c r="F1614" i="2"/>
  <c r="F1615" i="2"/>
  <c r="F1616" i="2"/>
  <c r="F1617" i="2"/>
  <c r="F1618" i="2"/>
  <c r="F1619" i="2"/>
  <c r="F1620" i="2"/>
  <c r="F1621" i="2"/>
  <c r="F1622" i="2"/>
  <c r="F1623" i="2"/>
  <c r="F1624" i="2"/>
  <c r="F1625" i="2"/>
  <c r="F1626" i="2"/>
  <c r="F1627" i="2"/>
  <c r="F1628" i="2"/>
  <c r="F1629" i="2"/>
  <c r="F1630" i="2"/>
  <c r="F1631" i="2"/>
  <c r="F1632" i="2"/>
  <c r="F1633" i="2"/>
  <c r="F1634" i="2"/>
  <c r="F1635" i="2"/>
  <c r="F1636" i="2"/>
  <c r="F1637" i="2"/>
  <c r="F1638" i="2"/>
  <c r="F1639" i="2"/>
  <c r="F1640" i="2"/>
  <c r="F1641" i="2"/>
  <c r="F1642" i="2"/>
  <c r="F1643" i="2"/>
  <c r="F1644" i="2"/>
  <c r="F1645" i="2"/>
  <c r="F1646" i="2"/>
  <c r="F1647" i="2"/>
  <c r="F1648" i="2"/>
  <c r="F1649" i="2"/>
  <c r="F1650" i="2"/>
  <c r="F1651" i="2"/>
  <c r="F1652" i="2"/>
  <c r="F1653" i="2"/>
  <c r="F1654" i="2"/>
  <c r="F1655" i="2"/>
  <c r="F1656" i="2"/>
  <c r="F1657" i="2"/>
  <c r="F1658" i="2"/>
  <c r="F1659" i="2"/>
  <c r="F1660" i="2"/>
  <c r="F1661" i="2"/>
  <c r="F1662" i="2"/>
  <c r="F1663" i="2"/>
  <c r="F1664" i="2"/>
  <c r="F1665" i="2"/>
  <c r="F1666" i="2"/>
  <c r="F1667" i="2"/>
  <c r="F1668" i="2"/>
  <c r="F1669" i="2"/>
  <c r="F1670" i="2"/>
  <c r="F1671" i="2"/>
  <c r="F1672" i="2"/>
  <c r="F1673" i="2"/>
  <c r="F1674" i="2"/>
  <c r="F1675" i="2"/>
  <c r="F1676" i="2"/>
  <c r="F1677" i="2"/>
  <c r="F1678" i="2"/>
  <c r="F1679" i="2"/>
  <c r="F1680" i="2"/>
  <c r="F1681" i="2"/>
  <c r="F1682" i="2"/>
  <c r="F1683" i="2"/>
  <c r="F1684" i="2"/>
  <c r="F1685" i="2"/>
  <c r="F1686" i="2"/>
  <c r="F1687" i="2"/>
  <c r="F1688" i="2"/>
  <c r="F1689" i="2"/>
  <c r="F1690" i="2"/>
  <c r="F1691" i="2"/>
  <c r="F1692" i="2"/>
  <c r="F1693" i="2"/>
  <c r="F1694" i="2"/>
  <c r="F1695" i="2"/>
  <c r="F1696" i="2"/>
  <c r="F1697" i="2"/>
  <c r="F1698" i="2"/>
  <c r="F1699" i="2"/>
  <c r="F1700" i="2"/>
  <c r="F1701" i="2"/>
  <c r="F1702" i="2"/>
  <c r="F1703" i="2"/>
  <c r="F1704" i="2"/>
  <c r="F1705" i="2"/>
  <c r="F1706" i="2"/>
  <c r="F1707" i="2"/>
  <c r="F1708" i="2"/>
  <c r="F1709" i="2"/>
  <c r="F1710" i="2"/>
  <c r="F1711" i="2"/>
  <c r="F1712" i="2"/>
  <c r="F1713" i="2"/>
  <c r="F1714" i="2"/>
  <c r="F1715" i="2"/>
  <c r="F1716" i="2"/>
  <c r="F1717" i="2"/>
  <c r="F1718" i="2"/>
  <c r="F1719" i="2"/>
  <c r="F1720" i="2"/>
  <c r="F1721" i="2"/>
  <c r="F1722" i="2"/>
  <c r="F1723" i="2"/>
  <c r="F1724" i="2"/>
  <c r="F1725" i="2"/>
  <c r="F1726" i="2"/>
  <c r="F1727" i="2"/>
  <c r="F1728" i="2"/>
  <c r="F1729" i="2"/>
  <c r="F1730" i="2"/>
  <c r="F1731" i="2"/>
  <c r="F1732" i="2"/>
  <c r="F1733" i="2"/>
  <c r="F1734" i="2"/>
  <c r="F1735" i="2"/>
  <c r="F1736" i="2"/>
  <c r="F1737" i="2"/>
  <c r="F1738" i="2"/>
  <c r="F1739" i="2"/>
  <c r="F1740" i="2"/>
  <c r="F1741" i="2"/>
  <c r="F1742" i="2"/>
  <c r="F1743" i="2"/>
  <c r="F1744" i="2"/>
  <c r="F1745" i="2"/>
  <c r="F1746" i="2"/>
  <c r="F1747" i="2"/>
  <c r="F1748" i="2"/>
  <c r="F1749" i="2"/>
  <c r="F1750" i="2"/>
  <c r="F1751" i="2"/>
  <c r="F1752" i="2"/>
  <c r="F1753" i="2"/>
  <c r="F1754" i="2"/>
  <c r="F1755" i="2"/>
  <c r="F1756" i="2"/>
  <c r="F1757" i="2"/>
  <c r="F1758" i="2"/>
  <c r="F1759" i="2"/>
  <c r="F1760" i="2"/>
  <c r="F1761" i="2"/>
  <c r="F1762" i="2"/>
  <c r="F1763" i="2"/>
  <c r="F1764" i="2"/>
  <c r="F1765" i="2"/>
  <c r="F1766" i="2"/>
  <c r="F1767" i="2"/>
  <c r="F1768" i="2"/>
  <c r="F1769" i="2"/>
  <c r="F1770" i="2"/>
  <c r="F1771" i="2"/>
  <c r="F1772" i="2"/>
  <c r="F1773" i="2"/>
  <c r="F1774" i="2"/>
  <c r="F1775" i="2"/>
  <c r="F1776" i="2"/>
  <c r="F1777" i="2"/>
  <c r="F1778" i="2"/>
  <c r="F1779" i="2"/>
  <c r="F1780" i="2"/>
  <c r="F1781" i="2"/>
  <c r="F1782" i="2"/>
  <c r="F1783" i="2"/>
  <c r="F1784" i="2"/>
  <c r="F1785" i="2"/>
  <c r="F1786" i="2"/>
  <c r="F1787" i="2"/>
  <c r="F1788" i="2"/>
  <c r="F1789" i="2"/>
  <c r="F1790" i="2"/>
  <c r="F1791" i="2"/>
  <c r="F1792" i="2"/>
  <c r="F1793" i="2"/>
  <c r="F1794" i="2"/>
  <c r="F1795" i="2"/>
  <c r="F1796" i="2"/>
  <c r="F1797" i="2"/>
  <c r="F1798" i="2"/>
  <c r="F1799" i="2"/>
  <c r="F1800" i="2"/>
  <c r="F1801" i="2"/>
  <c r="F1802" i="2"/>
  <c r="F1803" i="2"/>
  <c r="F1804" i="2"/>
  <c r="F1805" i="2"/>
  <c r="F1806" i="2"/>
  <c r="F1807" i="2"/>
  <c r="F1808" i="2"/>
  <c r="F1809" i="2"/>
  <c r="F1810" i="2"/>
  <c r="F1811" i="2"/>
  <c r="F1812" i="2"/>
  <c r="F1813" i="2"/>
  <c r="F1814" i="2"/>
  <c r="F1815" i="2"/>
  <c r="F1816" i="2"/>
  <c r="F1817" i="2"/>
  <c r="F1818" i="2"/>
  <c r="F1819" i="2"/>
  <c r="F1820" i="2"/>
  <c r="F1821" i="2"/>
  <c r="F1822" i="2"/>
  <c r="F1823" i="2"/>
  <c r="F1824" i="2"/>
  <c r="F1825" i="2"/>
  <c r="F1826" i="2"/>
  <c r="F1827" i="2"/>
  <c r="F1828" i="2"/>
  <c r="F1829" i="2"/>
  <c r="F1830" i="2"/>
  <c r="F1831" i="2"/>
  <c r="F1832" i="2"/>
  <c r="F1833" i="2"/>
  <c r="F1834" i="2"/>
  <c r="F1835" i="2"/>
  <c r="F1836" i="2"/>
  <c r="F1837" i="2"/>
  <c r="F1838" i="2"/>
  <c r="F1839" i="2"/>
  <c r="F1840" i="2"/>
  <c r="F1841" i="2"/>
  <c r="F1842" i="2"/>
  <c r="F1843" i="2"/>
  <c r="F1844" i="2"/>
  <c r="F1845" i="2"/>
  <c r="F1846" i="2"/>
  <c r="F1847" i="2"/>
  <c r="F1848" i="2"/>
  <c r="F1849" i="2"/>
  <c r="F1850" i="2"/>
  <c r="F1851" i="2"/>
  <c r="F1852" i="2"/>
  <c r="F1853" i="2"/>
  <c r="F1854" i="2"/>
  <c r="F1855" i="2"/>
  <c r="F1856" i="2"/>
  <c r="F1857" i="2"/>
  <c r="F1858" i="2"/>
  <c r="F1859" i="2"/>
  <c r="F1860" i="2"/>
  <c r="F1861" i="2"/>
  <c r="F1862" i="2"/>
  <c r="F1863" i="2"/>
  <c r="F1864" i="2"/>
  <c r="F1865" i="2"/>
  <c r="F1866" i="2"/>
  <c r="F1867" i="2"/>
  <c r="F1868" i="2"/>
  <c r="F1869" i="2"/>
  <c r="F1870" i="2"/>
  <c r="F1871" i="2"/>
  <c r="F1872" i="2"/>
  <c r="F1873" i="2"/>
  <c r="F1874" i="2"/>
  <c r="F1875" i="2"/>
  <c r="F1876" i="2"/>
  <c r="F1877" i="2"/>
  <c r="F1878" i="2"/>
  <c r="F1879" i="2"/>
  <c r="F1880" i="2"/>
  <c r="F1881" i="2"/>
  <c r="F1882" i="2"/>
  <c r="F1883" i="2"/>
  <c r="F1884" i="2"/>
  <c r="F1885" i="2"/>
  <c r="F1886" i="2"/>
  <c r="F1887" i="2"/>
  <c r="F1888" i="2"/>
  <c r="F1889" i="2"/>
  <c r="F1890" i="2"/>
  <c r="F1891" i="2"/>
  <c r="F1892" i="2"/>
  <c r="F1893" i="2"/>
  <c r="F1894" i="2"/>
  <c r="F1895" i="2"/>
  <c r="F1896" i="2"/>
  <c r="F1897" i="2"/>
  <c r="F1898" i="2"/>
  <c r="F1899" i="2"/>
  <c r="F1900" i="2"/>
  <c r="F1901" i="2"/>
  <c r="F1902" i="2"/>
  <c r="F1903" i="2"/>
  <c r="F1904" i="2"/>
  <c r="F1905" i="2"/>
  <c r="F1906" i="2"/>
  <c r="F1907" i="2"/>
  <c r="F1908" i="2"/>
  <c r="F1909" i="2"/>
  <c r="F1910" i="2"/>
  <c r="F1911" i="2"/>
  <c r="F1912" i="2"/>
  <c r="F1913" i="2"/>
  <c r="F1914" i="2"/>
  <c r="F1915" i="2"/>
  <c r="F1916" i="2"/>
  <c r="F1917" i="2"/>
  <c r="F1918" i="2"/>
  <c r="F1919" i="2"/>
  <c r="F1920" i="2"/>
  <c r="F1921" i="2"/>
  <c r="F1922" i="2"/>
  <c r="F1923" i="2"/>
  <c r="F1924" i="2"/>
  <c r="F1925" i="2"/>
  <c r="F1926" i="2"/>
  <c r="F1927" i="2"/>
  <c r="F1928" i="2"/>
  <c r="F1929" i="2"/>
  <c r="F1930" i="2"/>
  <c r="F1931" i="2"/>
  <c r="F1932" i="2"/>
  <c r="F1933" i="2"/>
  <c r="F1934" i="2"/>
  <c r="F1935" i="2"/>
  <c r="F1936" i="2"/>
  <c r="F1937" i="2"/>
  <c r="F1938" i="2"/>
  <c r="F1939" i="2"/>
  <c r="F1940" i="2"/>
  <c r="F1941" i="2"/>
  <c r="F1942" i="2"/>
  <c r="F1943" i="2"/>
  <c r="F1944" i="2"/>
  <c r="F1945" i="2"/>
  <c r="F1946" i="2"/>
  <c r="F1947" i="2"/>
  <c r="F1948" i="2"/>
  <c r="F1949" i="2"/>
  <c r="F1950" i="2"/>
  <c r="F1951" i="2"/>
  <c r="F1952" i="2"/>
  <c r="F1953" i="2"/>
  <c r="F1954" i="2"/>
  <c r="F1955" i="2"/>
  <c r="F1956" i="2"/>
  <c r="F1957" i="2"/>
  <c r="F1958" i="2"/>
  <c r="F1959" i="2"/>
  <c r="F1960" i="2"/>
  <c r="F1961" i="2"/>
  <c r="F1962" i="2"/>
  <c r="F1963" i="2"/>
  <c r="F1964" i="2"/>
  <c r="F1965" i="2"/>
  <c r="F1966" i="2"/>
  <c r="F1967" i="2"/>
  <c r="F1968" i="2"/>
  <c r="F1969" i="2"/>
  <c r="F1970" i="2"/>
  <c r="F1971" i="2"/>
  <c r="F1972" i="2"/>
  <c r="F1973" i="2"/>
  <c r="F1974" i="2"/>
  <c r="F1975" i="2"/>
  <c r="F1976" i="2"/>
  <c r="F1977" i="2"/>
  <c r="F1978" i="2"/>
  <c r="F1979" i="2"/>
  <c r="F1980" i="2"/>
  <c r="F1981" i="2"/>
  <c r="F1982" i="2"/>
  <c r="F1983" i="2"/>
  <c r="F1984" i="2"/>
  <c r="F1985" i="2"/>
  <c r="F1986" i="2"/>
  <c r="F1987" i="2"/>
  <c r="F1988" i="2"/>
  <c r="F1989" i="2"/>
  <c r="F1990" i="2"/>
  <c r="F1991" i="2"/>
  <c r="F1992" i="2"/>
  <c r="F1993" i="2"/>
  <c r="F1994" i="2"/>
  <c r="F1995" i="2"/>
  <c r="F1996" i="2"/>
  <c r="F1997" i="2"/>
  <c r="F1998" i="2"/>
  <c r="F1999" i="2"/>
  <c r="F2000" i="2"/>
  <c r="G11" i="2"/>
  <c r="G296" i="2"/>
  <c r="G294" i="2"/>
  <c r="G292" i="2"/>
  <c r="G290" i="2"/>
  <c r="G288" i="2"/>
  <c r="G286" i="2"/>
  <c r="G284" i="2"/>
  <c r="G282" i="2"/>
  <c r="G280" i="2"/>
  <c r="G278" i="2"/>
  <c r="G276" i="2"/>
  <c r="G274" i="2"/>
  <c r="G272" i="2"/>
  <c r="G270" i="2"/>
  <c r="G268" i="2"/>
  <c r="G266" i="2"/>
  <c r="G264" i="2"/>
  <c r="G262" i="2"/>
  <c r="G260" i="2"/>
  <c r="G258" i="2"/>
  <c r="G256" i="2"/>
  <c r="G254" i="2"/>
  <c r="G252" i="2"/>
  <c r="G250" i="2"/>
  <c r="G248" i="2"/>
  <c r="G246" i="2"/>
  <c r="G244" i="2"/>
  <c r="G242" i="2"/>
  <c r="G240" i="2"/>
  <c r="G238" i="2"/>
  <c r="G236" i="2"/>
  <c r="G234" i="2"/>
  <c r="G232" i="2"/>
  <c r="G230" i="2"/>
  <c r="G228" i="2"/>
  <c r="G226" i="2"/>
  <c r="G224" i="2"/>
  <c r="G222" i="2"/>
  <c r="G220" i="2"/>
  <c r="G218" i="2"/>
  <c r="G216" i="2"/>
  <c r="G214" i="2"/>
  <c r="G212" i="2"/>
  <c r="G210" i="2"/>
  <c r="G208" i="2"/>
  <c r="G206" i="2"/>
  <c r="G204" i="2"/>
  <c r="G202" i="2"/>
  <c r="G200" i="2"/>
  <c r="G198" i="2"/>
  <c r="G196" i="2"/>
  <c r="G194" i="2"/>
  <c r="G192" i="2"/>
  <c r="G190" i="2"/>
  <c r="G188" i="2"/>
  <c r="G186" i="2"/>
  <c r="G184" i="2"/>
  <c r="G182" i="2"/>
  <c r="G180" i="2"/>
  <c r="G178" i="2"/>
  <c r="G176" i="2"/>
  <c r="G174" i="2"/>
  <c r="G172" i="2"/>
  <c r="G170" i="2"/>
  <c r="G168" i="2"/>
  <c r="G166" i="2"/>
  <c r="G164" i="2"/>
  <c r="G162" i="2"/>
  <c r="G160" i="2"/>
  <c r="G158" i="2"/>
  <c r="G156" i="2"/>
  <c r="G154" i="2"/>
  <c r="G152" i="2"/>
  <c r="G150" i="2"/>
  <c r="G148" i="2"/>
  <c r="G146" i="2"/>
  <c r="G144" i="2"/>
  <c r="G142" i="2"/>
  <c r="G140" i="2"/>
  <c r="G138" i="2"/>
  <c r="G136" i="2"/>
  <c r="G134" i="2"/>
  <c r="G132" i="2"/>
  <c r="G130" i="2"/>
  <c r="G128" i="2"/>
  <c r="G126" i="2"/>
  <c r="G124" i="2"/>
  <c r="G122" i="2"/>
  <c r="G120" i="2"/>
  <c r="G118" i="2"/>
  <c r="G116" i="2"/>
  <c r="G114" i="2"/>
  <c r="G112" i="2"/>
  <c r="G110" i="2"/>
  <c r="G108" i="2"/>
  <c r="G106" i="2"/>
  <c r="G104" i="2"/>
  <c r="G102" i="2"/>
  <c r="G100" i="2"/>
  <c r="G98" i="2"/>
  <c r="G96" i="2"/>
  <c r="G94" i="2"/>
  <c r="G92" i="2"/>
  <c r="G90" i="2"/>
  <c r="G88" i="2"/>
  <c r="G86" i="2"/>
  <c r="G84" i="2"/>
  <c r="G82" i="2"/>
  <c r="G80" i="2"/>
  <c r="G78" i="2"/>
  <c r="G76" i="2"/>
  <c r="G74" i="2"/>
  <c r="G72" i="2"/>
  <c r="G70" i="2"/>
  <c r="G68" i="2"/>
  <c r="G66" i="2"/>
  <c r="G64" i="2"/>
  <c r="G62" i="2"/>
  <c r="G60" i="2"/>
  <c r="G58" i="2"/>
  <c r="G56" i="2"/>
  <c r="G54" i="2"/>
  <c r="G52" i="2"/>
  <c r="G50" i="2"/>
  <c r="G48" i="2"/>
  <c r="G46" i="2"/>
  <c r="G44" i="2"/>
  <c r="G42" i="2"/>
  <c r="G40" i="2"/>
  <c r="G38" i="2"/>
  <c r="G36" i="2"/>
  <c r="G34" i="2"/>
  <c r="G32" i="2"/>
  <c r="G30" i="2"/>
  <c r="G26" i="2"/>
  <c r="G24" i="2"/>
  <c r="G22" i="2"/>
  <c r="G20" i="2"/>
  <c r="G18" i="2"/>
  <c r="G16" i="2"/>
  <c r="G14" i="2"/>
  <c r="G9" i="2"/>
  <c r="G7" i="2"/>
  <c r="G295" i="2"/>
  <c r="G293" i="2"/>
  <c r="G291" i="2"/>
  <c r="G289" i="2"/>
  <c r="G287" i="2"/>
  <c r="G285" i="2"/>
  <c r="G283" i="2"/>
  <c r="G281" i="2"/>
  <c r="G279" i="2"/>
  <c r="G277" i="2"/>
  <c r="G275" i="2"/>
  <c r="G273" i="2"/>
  <c r="G271" i="2"/>
  <c r="G269" i="2"/>
  <c r="G267" i="2"/>
  <c r="G265" i="2"/>
  <c r="G263" i="2"/>
  <c r="G261" i="2"/>
  <c r="G259" i="2"/>
  <c r="G257" i="2"/>
  <c r="G255" i="2"/>
  <c r="G253" i="2"/>
  <c r="G251" i="2"/>
  <c r="G249" i="2"/>
  <c r="G247" i="2"/>
  <c r="G245" i="2"/>
  <c r="G243" i="2"/>
  <c r="G241" i="2"/>
  <c r="G239" i="2"/>
  <c r="G237" i="2"/>
  <c r="G235" i="2"/>
  <c r="G233" i="2"/>
  <c r="G231" i="2"/>
  <c r="G229" i="2"/>
  <c r="G227" i="2"/>
  <c r="G225" i="2"/>
  <c r="G223" i="2"/>
  <c r="G221" i="2"/>
  <c r="G219" i="2"/>
  <c r="G217" i="2"/>
  <c r="G215" i="2"/>
  <c r="G213" i="2"/>
  <c r="G211" i="2"/>
  <c r="G209" i="2"/>
  <c r="G207" i="2"/>
  <c r="G205" i="2"/>
  <c r="G203" i="2"/>
  <c r="G201" i="2"/>
  <c r="G199" i="2"/>
  <c r="G197" i="2"/>
  <c r="G195" i="2"/>
  <c r="G193" i="2"/>
  <c r="G191" i="2"/>
  <c r="G189" i="2"/>
  <c r="G187" i="2"/>
  <c r="G185" i="2"/>
  <c r="G183" i="2"/>
  <c r="G181" i="2"/>
  <c r="G179" i="2"/>
  <c r="G177" i="2"/>
  <c r="G175" i="2"/>
  <c r="G173" i="2"/>
  <c r="G171" i="2"/>
  <c r="G169" i="2"/>
  <c r="G167" i="2"/>
  <c r="G165" i="2"/>
  <c r="G163" i="2"/>
  <c r="G161" i="2"/>
  <c r="G159" i="2"/>
  <c r="G157" i="2"/>
  <c r="G155" i="2"/>
  <c r="G153" i="2"/>
  <c r="G151" i="2"/>
  <c r="G149" i="2"/>
  <c r="G147" i="2"/>
  <c r="G145" i="2"/>
  <c r="G143" i="2"/>
  <c r="G141" i="2"/>
  <c r="G139" i="2"/>
  <c r="G137" i="2"/>
  <c r="G135" i="2"/>
  <c r="G133" i="2"/>
  <c r="G131" i="2"/>
  <c r="G129" i="2"/>
  <c r="G127" i="2"/>
  <c r="G125" i="2"/>
  <c r="G123" i="2"/>
  <c r="G121" i="2"/>
  <c r="G119" i="2"/>
  <c r="G117" i="2"/>
  <c r="G115" i="2"/>
  <c r="G113" i="2"/>
  <c r="G111" i="2"/>
  <c r="G109" i="2"/>
  <c r="G107" i="2"/>
  <c r="G105" i="2"/>
  <c r="G103" i="2"/>
  <c r="G101" i="2"/>
  <c r="G99" i="2"/>
  <c r="G97" i="2"/>
  <c r="G95" i="2"/>
  <c r="G93" i="2"/>
  <c r="G91" i="2"/>
  <c r="G89" i="2"/>
  <c r="G87" i="2"/>
  <c r="G85" i="2"/>
  <c r="G83" i="2"/>
  <c r="G81" i="2"/>
  <c r="G79" i="2"/>
  <c r="G77" i="2"/>
  <c r="G75" i="2"/>
  <c r="G73" i="2"/>
  <c r="G71" i="2"/>
  <c r="G69" i="2"/>
  <c r="G67" i="2"/>
  <c r="G65" i="2"/>
  <c r="G63" i="2"/>
  <c r="G61" i="2"/>
  <c r="G59" i="2"/>
  <c r="G57" i="2"/>
  <c r="G55" i="2"/>
  <c r="G53" i="2"/>
  <c r="G51" i="2"/>
  <c r="G49" i="2"/>
  <c r="G47" i="2"/>
  <c r="G45" i="2"/>
  <c r="G43" i="2"/>
  <c r="G41" i="2"/>
  <c r="G39" i="2"/>
  <c r="G37" i="2"/>
  <c r="G35" i="2"/>
  <c r="G33" i="2"/>
  <c r="G31" i="2"/>
  <c r="G29" i="2"/>
  <c r="G25" i="2"/>
  <c r="G23" i="2"/>
  <c r="G19" i="2"/>
  <c r="G17" i="2"/>
  <c r="G15" i="2"/>
  <c r="G8" i="2"/>
  <c r="G10" i="2"/>
  <c r="F3" i="1"/>
  <c r="H3" i="1"/>
</calcChain>
</file>

<file path=xl/sharedStrings.xml><?xml version="1.0" encoding="utf-8"?>
<sst xmlns="http://schemas.openxmlformats.org/spreadsheetml/2006/main" count="927" uniqueCount="500">
  <si>
    <t>الكود</t>
  </si>
  <si>
    <t>الصنف</t>
  </si>
  <si>
    <t>الوحدة</t>
  </si>
  <si>
    <t>الوارد</t>
  </si>
  <si>
    <t>الصادر</t>
  </si>
  <si>
    <t>السعر</t>
  </si>
  <si>
    <t>التاريخ</t>
  </si>
  <si>
    <t>الكمية</t>
  </si>
  <si>
    <t>السعر الاجمالي</t>
  </si>
  <si>
    <t xml:space="preserve"> </t>
  </si>
  <si>
    <t xml:space="preserve">embos china </t>
  </si>
  <si>
    <t>embos kori</t>
  </si>
  <si>
    <t>fifail  (mlwon)    58</t>
  </si>
  <si>
    <t>fifail india blaek</t>
  </si>
  <si>
    <t>forsan</t>
  </si>
  <si>
    <t>forsan  (ZH)</t>
  </si>
  <si>
    <t>forsan  vitnam  58</t>
  </si>
  <si>
    <t>forsan  vitnam  68</t>
  </si>
  <si>
    <t>forsan bint</t>
  </si>
  <si>
    <t>forsan golden</t>
  </si>
  <si>
    <t>forsan hingi       1</t>
  </si>
  <si>
    <t>forsan jamal      1</t>
  </si>
  <si>
    <t>forsan jamal      2</t>
  </si>
  <si>
    <t>forsan rendi</t>
  </si>
  <si>
    <t>forsan rgb bleak</t>
  </si>
  <si>
    <t>jambari NIT BL  58</t>
  </si>
  <si>
    <t>jensz (mlwon)   58</t>
  </si>
  <si>
    <t>jensz (mlwon)   68</t>
  </si>
  <si>
    <t>katan dablo   W</t>
  </si>
  <si>
    <t>katan tiwn   bl    58</t>
  </si>
  <si>
    <t>katan tiwn   bl    68</t>
  </si>
  <si>
    <t>katan tiwn   KH  58</t>
  </si>
  <si>
    <t>katan tiwn   LH   58</t>
  </si>
  <si>
    <t>katan tiwn  BN   58</t>
  </si>
  <si>
    <t>katan tiwn  MOF58</t>
  </si>
  <si>
    <t>katan tiwn  OD  58</t>
  </si>
  <si>
    <t>katan tiwn  RS   58</t>
  </si>
  <si>
    <t>katan tiwn  skri  58</t>
  </si>
  <si>
    <t>katan tiwn trcwz 58</t>
  </si>
  <si>
    <t>khareb taiwan</t>
  </si>
  <si>
    <t xml:space="preserve">koko jalksi </t>
  </si>
  <si>
    <t>lezer kori          58</t>
  </si>
  <si>
    <t>lezer kori          68</t>
  </si>
  <si>
    <t>lezer najmah    58</t>
  </si>
  <si>
    <t>lezer najmah    68</t>
  </si>
  <si>
    <t>lezer wardh      78</t>
  </si>
  <si>
    <t>lezer(mlwon)    58</t>
  </si>
  <si>
    <t>maisona</t>
  </si>
  <si>
    <t>malaki jamal</t>
  </si>
  <si>
    <t>malaki vitnam    58</t>
  </si>
  <si>
    <t>malaki vitnam    68</t>
  </si>
  <si>
    <t>matat lin            58</t>
  </si>
  <si>
    <t>moshama</t>
  </si>
  <si>
    <t>mostaqbal         58</t>
  </si>
  <si>
    <t>mostaqbal         68</t>
  </si>
  <si>
    <t xml:space="preserve">mostaqbal jamal </t>
  </si>
  <si>
    <t>nida   (LIN)  B N</t>
  </si>
  <si>
    <t>nida   (LIN)  K H</t>
  </si>
  <si>
    <t>nida   (LIN)  O D</t>
  </si>
  <si>
    <t>nida   (LIN)  R S</t>
  </si>
  <si>
    <t>nida bint rendi bl</t>
  </si>
  <si>
    <t>nida mlwon</t>
  </si>
  <si>
    <t>nida mlwon  BG</t>
  </si>
  <si>
    <t>nida mlwon  BN</t>
  </si>
  <si>
    <t>nida mlwon  KH</t>
  </si>
  <si>
    <t>nida mlwon  LH</t>
  </si>
  <si>
    <t>nida mlwon  OD</t>
  </si>
  <si>
    <t>nida mlwon  RS  D</t>
  </si>
  <si>
    <t>nida mlwon  RS  L</t>
  </si>
  <si>
    <t>nida mlwon  sokri</t>
  </si>
  <si>
    <t>nida mlwon(disn)</t>
  </si>
  <si>
    <t>shmokh</t>
  </si>
  <si>
    <t xml:space="preserve">shmokh d </t>
  </si>
  <si>
    <t>super katan</t>
  </si>
  <si>
    <t>boben</t>
  </si>
  <si>
    <t>boben cas japan</t>
  </si>
  <si>
    <t>CATER OVER LOOK</t>
  </si>
  <si>
    <t>fazlin (blaek)</t>
  </si>
  <si>
    <t>fazlin (whith)</t>
  </si>
  <si>
    <t>fosos (2cat) 12  ab</t>
  </si>
  <si>
    <t>fosos (2cat) 12  belak</t>
  </si>
  <si>
    <t>fosos (2cat) 12  bl*di</t>
  </si>
  <si>
    <t>fosos (2cat) 12  gl</t>
  </si>
  <si>
    <t>fosos (2cat) 12  himitit</t>
  </si>
  <si>
    <t>fosos (2cat) 12  mof</t>
  </si>
  <si>
    <t xml:space="preserve">fosos (2cat) 12  sim  </t>
  </si>
  <si>
    <t>fosos (2cat) 12blo zercn</t>
  </si>
  <si>
    <t>fosos (2cat) 12montana</t>
  </si>
  <si>
    <t>fosos (2cat) 16  ab</t>
  </si>
  <si>
    <t>fosos (2cat) 16  belak</t>
  </si>
  <si>
    <t>fosos (2cat) 16  bl*di</t>
  </si>
  <si>
    <t>fosos (2cat) 16  gl</t>
  </si>
  <si>
    <t>fosos (2cat) 16  himitit</t>
  </si>
  <si>
    <t>fosos (dmc)  ab</t>
  </si>
  <si>
    <t>fosos (dmc)  bl*dai</t>
  </si>
  <si>
    <t>fosos (dmc)  blaek</t>
  </si>
  <si>
    <t>fosos (dmc)  blo zar</t>
  </si>
  <si>
    <t>fosos (dmc)  boni</t>
  </si>
  <si>
    <t>fosos (dmc)  gl</t>
  </si>
  <si>
    <t>fosos (dmc)  himitit</t>
  </si>
  <si>
    <t>fosos (dmc)  montana</t>
  </si>
  <si>
    <t>fosos (dmc)  saym</t>
  </si>
  <si>
    <t>fosos (dmc) (D) mtas</t>
  </si>
  <si>
    <t>fosos (dmc) (L) psh</t>
  </si>
  <si>
    <t>fosos (dmc) (L)mtas</t>
  </si>
  <si>
    <t>fosos (dmc) ab      16</t>
  </si>
  <si>
    <t>fosos (dmc) belak  16</t>
  </si>
  <si>
    <t>fosos (dmc) bon    16</t>
  </si>
  <si>
    <t>fosos (dmc) gl       16</t>
  </si>
  <si>
    <t>fosos (dmc) himitit 16</t>
  </si>
  <si>
    <t>fosos (dmc) KH     16</t>
  </si>
  <si>
    <t>fsos masri</t>
  </si>
  <si>
    <t>hashwah  gara</t>
  </si>
  <si>
    <t>HELAL JAPAN</t>
  </si>
  <si>
    <t>HIM OVER LOOK</t>
  </si>
  <si>
    <t>HINGER</t>
  </si>
  <si>
    <t>KIS MARKIT XXL</t>
  </si>
  <si>
    <t>kitan (b 5) R</t>
  </si>
  <si>
    <t>kitan (b 5) CAT</t>
  </si>
  <si>
    <t>kitan (b 6) R</t>
  </si>
  <si>
    <t>kitan (b 6) CAT</t>
  </si>
  <si>
    <t>kitan china  blaek</t>
  </si>
  <si>
    <t>kitan china  golden</t>
  </si>
  <si>
    <t>kitan japan belak</t>
  </si>
  <si>
    <t>kitan japan boni</t>
  </si>
  <si>
    <t>kitan japan golden</t>
  </si>
  <si>
    <t>kitan japan kh</t>
  </si>
  <si>
    <t>kitan japan sokre</t>
  </si>
  <si>
    <t>kitan japan whith</t>
  </si>
  <si>
    <t>kitan japani rosas</t>
  </si>
  <si>
    <t>kitan morsedes</t>
  </si>
  <si>
    <t>kitan mota</t>
  </si>
  <si>
    <t>KITAN MOTA  ROL</t>
  </si>
  <si>
    <t>kiyat 200g (mlwon)</t>
  </si>
  <si>
    <t>kiyat 200g belak</t>
  </si>
  <si>
    <t>kiyat 200g wahit</t>
  </si>
  <si>
    <t>kiyat 700g belak</t>
  </si>
  <si>
    <t>kiyat 700g mlwon</t>
  </si>
  <si>
    <t>kiyat 700g wahit</t>
  </si>
  <si>
    <t>klib china</t>
  </si>
  <si>
    <t>kolfa shanab</t>
  </si>
  <si>
    <t>kotola lolo   (s)</t>
  </si>
  <si>
    <t>lasaqah        48</t>
  </si>
  <si>
    <t>max             14</t>
  </si>
  <si>
    <t>max             16</t>
  </si>
  <si>
    <t>max (over  look)</t>
  </si>
  <si>
    <t>milkat  tools</t>
  </si>
  <si>
    <t>oil   emarat</t>
  </si>
  <si>
    <t>oil mobil (super)</t>
  </si>
  <si>
    <t>oil mobil (whith)</t>
  </si>
  <si>
    <t>ROL MAGSALH</t>
  </si>
  <si>
    <t>satel japan</t>
  </si>
  <si>
    <t>SCISSORS CHINA</t>
  </si>
  <si>
    <t>SCISSORS JAPAN</t>
  </si>
  <si>
    <t>SCISSORS TAIWAN</t>
  </si>
  <si>
    <t>shith             24</t>
  </si>
  <si>
    <t>SHRIT BIA CHINA</t>
  </si>
  <si>
    <t>SHRIT BIA TAIWAN</t>
  </si>
  <si>
    <t>Sizes</t>
  </si>
  <si>
    <t>speren meechen</t>
  </si>
  <si>
    <t>tak  tak ( china )</t>
  </si>
  <si>
    <t>tak  tak ( japan )</t>
  </si>
  <si>
    <t>zigzag 20 belak</t>
  </si>
  <si>
    <t>zigzag 30 belak</t>
  </si>
  <si>
    <t>zigzag 30 belak mkf</t>
  </si>
  <si>
    <t>zigzag 40  ( N 3)</t>
  </si>
  <si>
    <t>zigzag 40 (mlwon)</t>
  </si>
  <si>
    <t>zigzag 40 blaek</t>
  </si>
  <si>
    <t>zigzag 45  ( N 3)</t>
  </si>
  <si>
    <t>zigzag 50 belak mkf</t>
  </si>
  <si>
    <t>zigzag 60 belak</t>
  </si>
  <si>
    <t>fifail (black)       58</t>
  </si>
  <si>
    <t>fifail (black)       68</t>
  </si>
  <si>
    <t>lezer( black  )   58</t>
  </si>
  <si>
    <t>lezer( black  )   68</t>
  </si>
  <si>
    <t>lezer( black  )   78</t>
  </si>
  <si>
    <t>matat fmli black 58</t>
  </si>
  <si>
    <t>matat fmli black 68</t>
  </si>
  <si>
    <t xml:space="preserve">nida   (LIN) black      </t>
  </si>
  <si>
    <t>nida hingi (black) 1</t>
  </si>
  <si>
    <t>nida hingi (black) 2</t>
  </si>
  <si>
    <t>nida hingi (black) 3</t>
  </si>
  <si>
    <t>nida jamal 1(black)</t>
  </si>
  <si>
    <t>nida jamal 2(black)</t>
  </si>
  <si>
    <t>nida kori(black)</t>
  </si>
  <si>
    <t>nida rendi(black)</t>
  </si>
  <si>
    <t>nida rgb black</t>
  </si>
  <si>
    <t>nida zh(black)</t>
  </si>
  <si>
    <t>satan  white</t>
  </si>
  <si>
    <t>satan  gloden</t>
  </si>
  <si>
    <t>toshi black         68</t>
  </si>
  <si>
    <t>احمد الدباسي</t>
  </si>
  <si>
    <t>الاندلس</t>
  </si>
  <si>
    <t>الخضيرة</t>
  </si>
  <si>
    <t>الفاخر</t>
  </si>
  <si>
    <t>الفتح</t>
  </si>
  <si>
    <t xml:space="preserve">الفجر </t>
  </si>
  <si>
    <t>الفيروز</t>
  </si>
  <si>
    <t>الهزازي</t>
  </si>
  <si>
    <t>باحسين</t>
  </si>
  <si>
    <t>باربيع</t>
  </si>
  <si>
    <t>باعقبة</t>
  </si>
  <si>
    <t xml:space="preserve">بن شيخ باغفار </t>
  </si>
  <si>
    <t xml:space="preserve">بن شيخ علي </t>
  </si>
  <si>
    <t>بن شيخ وليد</t>
  </si>
  <si>
    <t>حسن بنان</t>
  </si>
  <si>
    <t>ديرة</t>
  </si>
  <si>
    <t>راشد هندي</t>
  </si>
  <si>
    <t>ركن الامارات</t>
  </si>
  <si>
    <t>ركن الشهامة</t>
  </si>
  <si>
    <t>شاداب</t>
  </si>
  <si>
    <t xml:space="preserve">عبد الله البيتي </t>
  </si>
  <si>
    <t>عزوز</t>
  </si>
  <si>
    <t>عظيم</t>
  </si>
  <si>
    <t xml:space="preserve">عم محمد البيتي </t>
  </si>
  <si>
    <t xml:space="preserve">عمر بيتي </t>
  </si>
  <si>
    <t>كالو</t>
  </si>
  <si>
    <t>كريستال</t>
  </si>
  <si>
    <t>مجدي</t>
  </si>
  <si>
    <t>محفوظ</t>
  </si>
  <si>
    <t>محمد الدباسي</t>
  </si>
  <si>
    <t>محمد باطهف</t>
  </si>
  <si>
    <t>محيط الخليج</t>
  </si>
  <si>
    <t>نعمة الله</t>
  </si>
  <si>
    <t>المرسل</t>
  </si>
  <si>
    <t>المرسل اليه</t>
  </si>
  <si>
    <t>abdorzaq</t>
  </si>
  <si>
    <t>aala aden</t>
  </si>
  <si>
    <t>aashek</t>
  </si>
  <si>
    <t>abdulmnan kom</t>
  </si>
  <si>
    <t>abolhashim  brmawi</t>
  </si>
  <si>
    <t>altaf</t>
  </si>
  <si>
    <t>aman allah bldyh</t>
  </si>
  <si>
    <t>basher</t>
  </si>
  <si>
    <t>begalah hssan</t>
  </si>
  <si>
    <t>begalah rihan</t>
  </si>
  <si>
    <t>bilal kom</t>
  </si>
  <si>
    <t xml:space="preserve">d/noor mohamad </t>
  </si>
  <si>
    <t>faroq kom</t>
  </si>
  <si>
    <t>hafez brmawi</t>
  </si>
  <si>
    <t>haji jhanker</t>
  </si>
  <si>
    <t>hameed hosin mofez</t>
  </si>
  <si>
    <t>hamla mohen alden</t>
  </si>
  <si>
    <t>helal</t>
  </si>
  <si>
    <t>ibrahim mola</t>
  </si>
  <si>
    <t>ikram kom</t>
  </si>
  <si>
    <t>irfan brmawi(1)</t>
  </si>
  <si>
    <t>irfan brmawi(2)</t>
  </si>
  <si>
    <t xml:space="preserve">jaseem </t>
  </si>
  <si>
    <t>kamal olma</t>
  </si>
  <si>
    <t>kasim kom</t>
  </si>
  <si>
    <t>m/ abdolmalek</t>
  </si>
  <si>
    <t>m/abdrahman</t>
  </si>
  <si>
    <t>magsala fakhro</t>
  </si>
  <si>
    <t>magsala mohma</t>
  </si>
  <si>
    <t>mofed kom</t>
  </si>
  <si>
    <t>mohamd allah</t>
  </si>
  <si>
    <t>moner bilal</t>
  </si>
  <si>
    <t>nazer moner bilal</t>
  </si>
  <si>
    <t>noor aalam morki</t>
  </si>
  <si>
    <t>noor islam mto</t>
  </si>
  <si>
    <t>noor kamal</t>
  </si>
  <si>
    <t>obid allah</t>
  </si>
  <si>
    <t>rafeq brmawi</t>
  </si>
  <si>
    <t>riyaz kom</t>
  </si>
  <si>
    <t>robil</t>
  </si>
  <si>
    <t>saed noor  brmawi</t>
  </si>
  <si>
    <t>salem brmawi</t>
  </si>
  <si>
    <t>shfe allah</t>
  </si>
  <si>
    <t>sifislam   brmawi</t>
  </si>
  <si>
    <t>tyob zeya arhman</t>
  </si>
  <si>
    <t>yons olama</t>
  </si>
  <si>
    <t>zeya arhman</t>
  </si>
  <si>
    <t>عدد كرتون</t>
  </si>
  <si>
    <t>CEJST</t>
  </si>
  <si>
    <t>FIFAILmlwon</t>
  </si>
  <si>
    <t>FORSAN</t>
  </si>
  <si>
    <t>Katantiwan</t>
  </si>
  <si>
    <t>LEZERmlwon</t>
  </si>
  <si>
    <t>MALAKIM</t>
  </si>
  <si>
    <t>NIDAmlwon</t>
  </si>
  <si>
    <t>FIFAIL (mlwon)  58</t>
  </si>
  <si>
    <t>FIFAIL (   BG  )</t>
  </si>
  <si>
    <t>FIFAIL (   BN   )</t>
  </si>
  <si>
    <t>FIFAIL (  GLX  )</t>
  </si>
  <si>
    <t>fifail (RINDI)  58</t>
  </si>
  <si>
    <t>FIFAIL (   KH   )</t>
  </si>
  <si>
    <t>fifail (RINDI)  68</t>
  </si>
  <si>
    <t>FIFAIL (    LH  )</t>
  </si>
  <si>
    <t>fifail (BINT)   58</t>
  </si>
  <si>
    <t>FIFAIL (   OD   )</t>
  </si>
  <si>
    <t>fifail (BINT)   68</t>
  </si>
  <si>
    <t>FIFAIL (  RS D )</t>
  </si>
  <si>
    <t>fifail (HINGI) 58</t>
  </si>
  <si>
    <t>FIFAIL (  RS L )</t>
  </si>
  <si>
    <t>fifail (HINGI) 68</t>
  </si>
  <si>
    <t>FIFAIL (  sokri )</t>
  </si>
  <si>
    <t>ZOOM BL</t>
  </si>
  <si>
    <t>FIFAIL (  MOF )</t>
  </si>
  <si>
    <t>ZOOM MLWN</t>
  </si>
  <si>
    <t>CY CLOOR</t>
  </si>
  <si>
    <t>fosos2cat</t>
  </si>
  <si>
    <t xml:space="preserve">fososdmc  </t>
  </si>
  <si>
    <t>zigzag 20 white</t>
  </si>
  <si>
    <t>zigzag 30 white</t>
  </si>
  <si>
    <t>kolfa shanab fish</t>
  </si>
  <si>
    <t>oil   japan</t>
  </si>
  <si>
    <t>fosos (dmc) ab         16</t>
  </si>
  <si>
    <t>fosos (dmc) bon       16</t>
  </si>
  <si>
    <t>kitan mota CON</t>
  </si>
  <si>
    <t>fosos (dmc) gl           16</t>
  </si>
  <si>
    <t>fosos (dmc) KH         16</t>
  </si>
  <si>
    <t xml:space="preserve">FIFAILlblack  </t>
  </si>
  <si>
    <t>fifail (black)   58</t>
  </si>
  <si>
    <t>fifail (black)   68</t>
  </si>
  <si>
    <t>fifail india black</t>
  </si>
  <si>
    <t>NIDAblack</t>
  </si>
  <si>
    <t>LEZERblack</t>
  </si>
  <si>
    <t>fosos (2cat) 12  black</t>
  </si>
  <si>
    <t>fosos (2cat) 16  black</t>
  </si>
  <si>
    <t>fosos (dmc)  black</t>
  </si>
  <si>
    <t>fosos (dmc) black   16</t>
  </si>
  <si>
    <t>kitan china  black</t>
  </si>
  <si>
    <t>kitan japan black</t>
  </si>
  <si>
    <t>kiyat 200g black</t>
  </si>
  <si>
    <t>kiyat 700g black</t>
  </si>
  <si>
    <t>zigzag 20 black</t>
  </si>
  <si>
    <t>zigzag 30 black</t>
  </si>
  <si>
    <t>zigzag 30 black mkf</t>
  </si>
  <si>
    <t>zigzag 40 black</t>
  </si>
  <si>
    <t>zigzag 50 black mkf</t>
  </si>
  <si>
    <t>zigzag 60 black</t>
  </si>
  <si>
    <t>fazlin (black)</t>
  </si>
  <si>
    <t>fazlin (white)</t>
  </si>
  <si>
    <t>kiyat 200g white</t>
  </si>
  <si>
    <t>kiyat 700g white</t>
  </si>
  <si>
    <t>kitan japan white</t>
  </si>
  <si>
    <t>oil mobil (white)</t>
  </si>
  <si>
    <t>CY BLACK</t>
  </si>
  <si>
    <t>null</t>
  </si>
  <si>
    <t>oil</t>
  </si>
  <si>
    <t>NaN</t>
  </si>
  <si>
    <t>hLMORST</t>
  </si>
  <si>
    <t>kITAN</t>
  </si>
  <si>
    <t>kIYAT</t>
  </si>
  <si>
    <t>zigzag</t>
  </si>
  <si>
    <t>bCST</t>
  </si>
  <si>
    <t xml:space="preserve">Coco china </t>
  </si>
  <si>
    <t xml:space="preserve">Embos china </t>
  </si>
  <si>
    <t>Embos kori</t>
  </si>
  <si>
    <t>Jambari NIT BL  58</t>
  </si>
  <si>
    <t>Jensz (mlwon)   58</t>
  </si>
  <si>
    <t>Jensz (mlwon)   68</t>
  </si>
  <si>
    <t>Satan  golden</t>
  </si>
  <si>
    <t xml:space="preserve">Satan  white </t>
  </si>
  <si>
    <t>Shmokh</t>
  </si>
  <si>
    <t xml:space="preserve">Shmokh d </t>
  </si>
  <si>
    <t>Super katan</t>
  </si>
  <si>
    <t>Toshi black   68</t>
  </si>
  <si>
    <t>Fifail (black)   58</t>
  </si>
  <si>
    <t>Fifail (black)   68</t>
  </si>
  <si>
    <t>Fifail india black</t>
  </si>
  <si>
    <t>Fifail (RINDI)  58</t>
  </si>
  <si>
    <t>Fifail (RINDI)  68</t>
  </si>
  <si>
    <t>Fifail (BINT)   58</t>
  </si>
  <si>
    <t>Fifail (BINT)   68</t>
  </si>
  <si>
    <t>Fifail (HINGI) 58</t>
  </si>
  <si>
    <t>Fifail (HINGI) 68</t>
  </si>
  <si>
    <t>Forsan</t>
  </si>
  <si>
    <t>Forsan  (ZH)</t>
  </si>
  <si>
    <t>Forcing  vitnam  58</t>
  </si>
  <si>
    <t>Forsan  vitnam  68</t>
  </si>
  <si>
    <t>Forsan bint</t>
  </si>
  <si>
    <t>Forsan golden</t>
  </si>
  <si>
    <t>Forsan hingi       1</t>
  </si>
  <si>
    <t>Forsan jamal      1</t>
  </si>
  <si>
    <t>Forsan jamal      2</t>
  </si>
  <si>
    <t>Forsan rendi golden</t>
  </si>
  <si>
    <t>Katan tiwn   bl    58</t>
  </si>
  <si>
    <t>Katan tiwn   bl    68</t>
  </si>
  <si>
    <t>Katan tiwn   KH  58</t>
  </si>
  <si>
    <t>Katan tiwn   LH   58</t>
  </si>
  <si>
    <t>Katan tiwn  Big  58</t>
  </si>
  <si>
    <t>Katan tiwn  BN   58</t>
  </si>
  <si>
    <t>Katan tiwn  MOF58</t>
  </si>
  <si>
    <t>Katan tiwn  OD  58</t>
  </si>
  <si>
    <t>Katan tiwn  RS   58</t>
  </si>
  <si>
    <t>Katan tiwn  skri  58</t>
  </si>
  <si>
    <t>Katan tiwn trcwz 58</t>
  </si>
  <si>
    <t>Katan dablo   W</t>
  </si>
  <si>
    <t>Khareb taiwan</t>
  </si>
  <si>
    <t>Koshibo indonisi68</t>
  </si>
  <si>
    <t>Koshibo kori 44</t>
  </si>
  <si>
    <t xml:space="preserve">Koko jalksi </t>
  </si>
  <si>
    <t>Lezer(mlwon)58</t>
  </si>
  <si>
    <t>Lezer (   BG   )</t>
  </si>
  <si>
    <t>Lezer (  BN    )</t>
  </si>
  <si>
    <t>Lezer (  GLX  )</t>
  </si>
  <si>
    <t>Lezer (   KH   )</t>
  </si>
  <si>
    <t>Lezer (    LH   )</t>
  </si>
  <si>
    <t>Lezer (   OD   )</t>
  </si>
  <si>
    <t>Lezer (  RS D )</t>
  </si>
  <si>
    <t>Lezer (  RS L )</t>
  </si>
  <si>
    <t>Lezer (  sokri )</t>
  </si>
  <si>
    <t>Lezer (  MOF )</t>
  </si>
  <si>
    <t>Maisona</t>
  </si>
  <si>
    <t>Malaki indonisi</t>
  </si>
  <si>
    <t>Malaki jamal</t>
  </si>
  <si>
    <t>Malaki vitnam    58</t>
  </si>
  <si>
    <t>Malaki vitnam    68</t>
  </si>
  <si>
    <t>Matat fmli bleak 58</t>
  </si>
  <si>
    <t>Matat fmli bleak 68</t>
  </si>
  <si>
    <t>Matat lin            58</t>
  </si>
  <si>
    <t>Moshama</t>
  </si>
  <si>
    <t>Mostaqbal         58</t>
  </si>
  <si>
    <t>Mostaqbal         68</t>
  </si>
  <si>
    <t xml:space="preserve">Mostaqbal jamal </t>
  </si>
  <si>
    <t>Nida bint rendi bl</t>
  </si>
  <si>
    <t>Nida hingi (black) 1</t>
  </si>
  <si>
    <t>Nida hingi (black) 2</t>
  </si>
  <si>
    <t>Nida hingi (black) 3</t>
  </si>
  <si>
    <t>Nida jamal 1(black)</t>
  </si>
  <si>
    <t>Nida jamal 2(black)</t>
  </si>
  <si>
    <t>Nida kori(black)</t>
  </si>
  <si>
    <t>Nida zh (black)</t>
  </si>
  <si>
    <t>Nida rendi(black)</t>
  </si>
  <si>
    <t>Nida FLMANGO</t>
  </si>
  <si>
    <t>Nida rgb black</t>
  </si>
  <si>
    <t>Lezer kori          58</t>
  </si>
  <si>
    <t>Lezer kori          68</t>
  </si>
  <si>
    <t>Lezer najmah    58</t>
  </si>
  <si>
    <t>Lezer RINDI    78</t>
  </si>
  <si>
    <t>Lezer (wardh)  j 78</t>
  </si>
  <si>
    <t>Lezer (wardh)  h 78</t>
  </si>
  <si>
    <t>Lezer (wardh)   78</t>
  </si>
  <si>
    <t>Lezer( black )   58</t>
  </si>
  <si>
    <t>Lezer( black )   68</t>
  </si>
  <si>
    <t>Lezer( black )   78</t>
  </si>
  <si>
    <t>hELAL JAPAN</t>
  </si>
  <si>
    <t>hIM OVER LOOK</t>
  </si>
  <si>
    <t>hINGER</t>
  </si>
  <si>
    <t>rOL MAGSALH</t>
  </si>
  <si>
    <t>kIS MARKIT  XL</t>
  </si>
  <si>
    <t>kIS MARKIT XXL</t>
  </si>
  <si>
    <t>cATER OVER LOOK</t>
  </si>
  <si>
    <t>sHRIT BIA CHINA</t>
  </si>
  <si>
    <t>sCISSORS CHINA</t>
  </si>
  <si>
    <t>sCISSORS JAPAN</t>
  </si>
  <si>
    <t>sCISSORS TAIWAN</t>
  </si>
  <si>
    <t>sizes</t>
  </si>
  <si>
    <t>sHRIT BIA TAIWAN</t>
  </si>
  <si>
    <t>kolfa yoyo</t>
  </si>
  <si>
    <t>kolfa fosos</t>
  </si>
  <si>
    <t>kitan china  white</t>
  </si>
  <si>
    <t>kitan china 6</t>
  </si>
  <si>
    <t>Forsan rendi</t>
  </si>
  <si>
    <t>عبدالخالق لبتون</t>
  </si>
  <si>
    <t>Malaki HINGI</t>
  </si>
  <si>
    <t>Nida   (LIN)  B N</t>
  </si>
  <si>
    <t>Nida   (LIN)  K H</t>
  </si>
  <si>
    <t>Nida   (LIN)  O D</t>
  </si>
  <si>
    <t>Nida   (LIN)  R S</t>
  </si>
  <si>
    <t xml:space="preserve">Nida   (LIN) black  </t>
  </si>
  <si>
    <t>Nida mlwon</t>
  </si>
  <si>
    <t>Nida mlwon  BG</t>
  </si>
  <si>
    <t>Nida mlwon  BN</t>
  </si>
  <si>
    <t>Nida mlwon  GLX</t>
  </si>
  <si>
    <t>Nida mlwon  KH</t>
  </si>
  <si>
    <t>Nida mlwon  LH</t>
  </si>
  <si>
    <t>Nida mlwon  OD</t>
  </si>
  <si>
    <t>Nida mlwon  RS  D</t>
  </si>
  <si>
    <t>Nida mlwon  RS  L</t>
  </si>
  <si>
    <t>Nida mlwon  sokri</t>
  </si>
  <si>
    <t>Nida mlwon MOF</t>
  </si>
  <si>
    <t>Nida mlwon(disn)</t>
  </si>
  <si>
    <t>faya Zullah</t>
  </si>
  <si>
    <t>ismail tarha</t>
  </si>
  <si>
    <t>ismail rohinja</t>
  </si>
  <si>
    <t>rajab kitan</t>
  </si>
  <si>
    <t>fosos (2cat) safiha silver</t>
  </si>
  <si>
    <t>fosos (2cat) safiha golden</t>
  </si>
  <si>
    <t>fosos (2cat) safiha black</t>
  </si>
  <si>
    <t>الاسم</t>
  </si>
  <si>
    <t>حبة بالكرتون</t>
  </si>
  <si>
    <t>الاجمالي</t>
  </si>
  <si>
    <t>عمود1</t>
  </si>
  <si>
    <t>عمود2</t>
  </si>
  <si>
    <t>عمود3</t>
  </si>
  <si>
    <t>عمود4</t>
  </si>
  <si>
    <t>عمود5</t>
  </si>
  <si>
    <t>عمود6</t>
  </si>
  <si>
    <t>عمود7</t>
  </si>
  <si>
    <t>ابو سامي نيدا</t>
  </si>
  <si>
    <t>china</t>
  </si>
  <si>
    <t>نورعالم خالدية</t>
  </si>
  <si>
    <t>منير نذير</t>
  </si>
  <si>
    <t>nida mlwon tifani</t>
  </si>
  <si>
    <t>nida mlwon tikwazi</t>
  </si>
  <si>
    <t>kitan china 6D</t>
  </si>
  <si>
    <t>المستودع بالحبة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</si>
</sst>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9" x14ac:knownFonts="1">
    <font>
      <sz val="16"/>
      <color theme="1"/>
      <name val="Calibri"/>
      <family val="2"/>
      <charset val="178"/>
      <scheme val="minor"/>
    </font>
    <font>
      <sz val="18"/>
      <color theme="1"/>
      <name val="Calibri"/>
      <family val="2"/>
      <charset val="178"/>
      <scheme val="minor"/>
    </font>
    <font>
      <sz val="18"/>
      <color theme="1"/>
      <name val="Berlin Sans FB Demi"/>
      <family val="2"/>
    </font>
    <font>
      <sz val="16"/>
      <color theme="1"/>
      <name val="Calibri"/>
      <family val="2"/>
      <charset val="178"/>
      <scheme val="minor"/>
    </font>
    <font>
      <sz val="28"/>
      <color theme="0"/>
      <name val="Calibri"/>
      <family val="2"/>
      <charset val="178"/>
      <scheme val="minor"/>
    </font>
    <font>
      <sz val="20"/>
      <color theme="1"/>
      <name val="Calibri"/>
      <family val="2"/>
      <charset val="178"/>
      <scheme val="minor"/>
    </font>
    <font>
      <sz val="24"/>
      <color theme="0"/>
      <name val="Calibri"/>
      <family val="2"/>
      <scheme val="minor"/>
    </font>
    <font>
      <sz val="16"/>
      <color theme="0"/>
      <name val="Calibri"/>
      <family val="2"/>
      <scheme val="minor"/>
    </font>
    <font>
      <sz val="18"/>
      <color theme="1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2" tint="-0.749961851863155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4" tint="-0.249977111117893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74">
    <xf numFmtId="0" fontId="0" fillId="0" borderId="0" xfId="0"/>
    <xf numFmtId="0" fontId="0" fillId="0" borderId="0" xfId="0" applyAlignment="1">
      <alignment horizontal="center" vertical="center"/>
    </xf>
    <xf numFmtId="0" fontId="1" fillId="2" borderId="1" xfId="1" applyFill="1" applyBorder="1"/>
    <xf numFmtId="0" fontId="1" fillId="2" borderId="1" xfId="1" applyFill="1" applyBorder="1" applyAlignment="1">
      <alignment horizontal="center"/>
    </xf>
    <xf numFmtId="0" fontId="1" fillId="3" borderId="1" xfId="1" applyFill="1" applyBorder="1"/>
    <xf numFmtId="0" fontId="1" fillId="3" borderId="1" xfId="1" applyFill="1" applyBorder="1" applyAlignment="1">
      <alignment horizontal="center"/>
    </xf>
    <xf numFmtId="0" fontId="2" fillId="5" borderId="1" xfId="1" applyFont="1" applyFill="1" applyBorder="1"/>
    <xf numFmtId="0" fontId="0" fillId="0" borderId="0" xfId="0" applyAlignment="1">
      <alignment vertical="center"/>
    </xf>
    <xf numFmtId="0" fontId="0" fillId="4" borderId="1" xfId="0" applyFill="1" applyBorder="1"/>
    <xf numFmtId="0" fontId="3" fillId="8" borderId="0" xfId="0" applyFont="1" applyFill="1" applyAlignment="1">
      <alignment horizontal="center" vertical="center"/>
    </xf>
    <xf numFmtId="0" fontId="0" fillId="8" borderId="1" xfId="0" applyFill="1" applyBorder="1" applyAlignment="1">
      <alignment horizontal="center" vertical="center"/>
    </xf>
    <xf numFmtId="0" fontId="4" fillId="7" borderId="1" xfId="0" applyFont="1" applyFill="1" applyBorder="1" applyAlignment="1">
      <alignment horizontal="center" vertical="center"/>
    </xf>
    <xf numFmtId="0" fontId="4" fillId="7" borderId="1" xfId="1" applyFont="1" applyFill="1" applyBorder="1" applyAlignment="1">
      <alignment horizontal="center" vertical="center"/>
    </xf>
    <xf numFmtId="0" fontId="1" fillId="8" borderId="1" xfId="1" applyFill="1" applyBorder="1" applyAlignment="1">
      <alignment horizontal="center" vertical="center"/>
    </xf>
    <xf numFmtId="0" fontId="1" fillId="8" borderId="1" xfId="0" applyFont="1" applyFill="1" applyBorder="1" applyAlignment="1">
      <alignment horizontal="left" vertical="center"/>
    </xf>
    <xf numFmtId="0" fontId="1" fillId="8" borderId="1" xfId="1" applyFill="1" applyBorder="1" applyAlignment="1">
      <alignment horizontal="left" vertical="center"/>
    </xf>
    <xf numFmtId="0" fontId="1" fillId="8" borderId="1" xfId="1" applyFill="1" applyBorder="1" applyAlignment="1">
      <alignment vertical="center"/>
    </xf>
    <xf numFmtId="0" fontId="1" fillId="8" borderId="1" xfId="0" applyFont="1" applyFill="1" applyBorder="1" applyAlignment="1">
      <alignment vertical="center"/>
    </xf>
    <xf numFmtId="0" fontId="3" fillId="8" borderId="1" xfId="0" applyFont="1" applyFill="1" applyBorder="1" applyAlignment="1">
      <alignment horizontal="center" vertical="center"/>
    </xf>
    <xf numFmtId="0" fontId="3" fillId="8" borderId="1" xfId="0" applyFont="1" applyFill="1" applyBorder="1" applyAlignment="1">
      <alignment horizontal="left" vertical="center"/>
    </xf>
    <xf numFmtId="0" fontId="5" fillId="6" borderId="1" xfId="1" applyFont="1" applyFill="1" applyBorder="1" applyAlignment="1">
      <alignment horizontal="center" vertical="center"/>
    </xf>
    <xf numFmtId="0" fontId="5" fillId="6" borderId="1" xfId="0" applyFont="1" applyFill="1" applyBorder="1" applyAlignment="1">
      <alignment horizontal="center" vertical="center"/>
    </xf>
    <xf numFmtId="0" fontId="4" fillId="7" borderId="3" xfId="0" applyFont="1" applyFill="1" applyBorder="1" applyAlignment="1">
      <alignment horizontal="center" vertical="center"/>
    </xf>
    <xf numFmtId="0" fontId="1" fillId="8" borderId="3" xfId="1" applyFill="1" applyBorder="1" applyAlignment="1">
      <alignment horizontal="left" vertical="center"/>
    </xf>
    <xf numFmtId="0" fontId="1" fillId="8" borderId="3" xfId="1" applyFill="1" applyBorder="1" applyAlignment="1">
      <alignment vertical="center"/>
    </xf>
    <xf numFmtId="0" fontId="0" fillId="0" borderId="4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1" fillId="2" borderId="10" xfId="1" applyFill="1" applyBorder="1"/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1" fillId="8" borderId="10" xfId="1" applyFill="1" applyBorder="1" applyAlignment="1">
      <alignment horizontal="center" vertical="center"/>
    </xf>
    <xf numFmtId="0" fontId="0" fillId="9" borderId="11" xfId="0" applyFill="1" applyBorder="1" applyAlignment="1">
      <alignment horizontal="center" vertical="center"/>
    </xf>
    <xf numFmtId="0" fontId="0" fillId="9" borderId="8" xfId="0" applyFill="1" applyBorder="1" applyAlignment="1">
      <alignment horizontal="center" vertical="center"/>
    </xf>
    <xf numFmtId="0" fontId="0" fillId="9" borderId="9" xfId="0" applyFill="1" applyBorder="1" applyAlignment="1">
      <alignment horizontal="center" vertical="center"/>
    </xf>
    <xf numFmtId="0" fontId="1" fillId="8" borderId="10" xfId="0" applyFont="1" applyFill="1" applyBorder="1" applyAlignment="1">
      <alignment horizontal="left" vertical="center"/>
    </xf>
    <xf numFmtId="0" fontId="0" fillId="8" borderId="10" xfId="0" applyFill="1" applyBorder="1" applyAlignment="1">
      <alignment horizontal="center" vertical="center"/>
    </xf>
    <xf numFmtId="0" fontId="1" fillId="8" borderId="10" xfId="1" applyFill="1" applyBorder="1" applyAlignment="1">
      <alignment horizontal="left" vertical="center"/>
    </xf>
    <xf numFmtId="0" fontId="0" fillId="8" borderId="10" xfId="0" applyFill="1" applyBorder="1" applyAlignment="1">
      <alignment horizontal="left" vertical="center"/>
    </xf>
    <xf numFmtId="0" fontId="1" fillId="8" borderId="10" xfId="1" applyFill="1" applyBorder="1" applyAlignment="1">
      <alignment vertical="center"/>
    </xf>
    <xf numFmtId="0" fontId="1" fillId="8" borderId="10" xfId="0" applyFont="1" applyFill="1" applyBorder="1" applyAlignment="1">
      <alignment vertical="center"/>
    </xf>
    <xf numFmtId="0" fontId="0" fillId="9" borderId="12" xfId="0" applyFill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9" borderId="7" xfId="0" applyFill="1" applyBorder="1" applyAlignment="1">
      <alignment horizontal="center" vertical="center"/>
    </xf>
    <xf numFmtId="0" fontId="1" fillId="8" borderId="11" xfId="1" applyFill="1" applyBorder="1" applyAlignment="1">
      <alignment vertical="center"/>
    </xf>
    <xf numFmtId="0" fontId="1" fillId="2" borderId="11" xfId="1" applyFill="1" applyBorder="1"/>
    <xf numFmtId="0" fontId="0" fillId="9" borderId="13" xfId="0" applyFill="1" applyBorder="1" applyAlignment="1">
      <alignment horizontal="center" vertical="center"/>
    </xf>
    <xf numFmtId="0" fontId="7" fillId="10" borderId="0" xfId="0" applyFont="1" applyFill="1" applyAlignment="1">
      <alignment horizontal="center" vertical="center"/>
    </xf>
    <xf numFmtId="0" fontId="7" fillId="11" borderId="0" xfId="0" applyFont="1" applyFill="1" applyAlignment="1">
      <alignment horizontal="center" vertical="center"/>
    </xf>
    <xf numFmtId="0" fontId="7" fillId="11" borderId="10" xfId="0" applyFont="1" applyFill="1" applyBorder="1" applyAlignment="1">
      <alignment horizontal="center" vertical="center"/>
    </xf>
    <xf numFmtId="14" fontId="7" fillId="11" borderId="14" xfId="0" applyNumberFormat="1" applyFont="1" applyFill="1" applyBorder="1" applyAlignment="1">
      <alignment horizontal="center" vertical="center"/>
    </xf>
    <xf numFmtId="0" fontId="7" fillId="10" borderId="10" xfId="0" applyFont="1" applyFill="1" applyBorder="1" applyAlignment="1">
      <alignment horizontal="center" vertical="center"/>
    </xf>
    <xf numFmtId="14" fontId="7" fillId="10" borderId="14" xfId="0" applyNumberFormat="1" applyFont="1" applyFill="1" applyBorder="1" applyAlignment="1">
      <alignment horizontal="center" vertical="center"/>
    </xf>
    <xf numFmtId="0" fontId="7" fillId="10" borderId="14" xfId="0" applyFont="1" applyFill="1" applyBorder="1" applyAlignment="1">
      <alignment horizontal="center" vertical="center"/>
    </xf>
    <xf numFmtId="0" fontId="7" fillId="11" borderId="14" xfId="0" applyFont="1" applyFill="1" applyBorder="1" applyAlignment="1">
      <alignment horizontal="center" vertical="center"/>
    </xf>
    <xf numFmtId="0" fontId="7" fillId="11" borderId="15" xfId="0" applyFont="1" applyFill="1" applyBorder="1" applyAlignment="1">
      <alignment horizontal="center" vertical="center"/>
    </xf>
    <xf numFmtId="0" fontId="7" fillId="11" borderId="1" xfId="0" applyFont="1" applyFill="1" applyBorder="1" applyAlignment="1">
      <alignment horizontal="center" vertical="center"/>
    </xf>
    <xf numFmtId="0" fontId="6" fillId="12" borderId="0" xfId="0" applyFont="1" applyFill="1" applyAlignment="1">
      <alignment horizontal="center" vertical="center"/>
    </xf>
    <xf numFmtId="0" fontId="0" fillId="12" borderId="0" xfId="0" applyFill="1" applyAlignment="1">
      <alignment horizontal="center" vertical="center"/>
    </xf>
    <xf numFmtId="0" fontId="0" fillId="15" borderId="0" xfId="0" applyFill="1"/>
    <xf numFmtId="0" fontId="6" fillId="13" borderId="0" xfId="0" applyFont="1" applyFill="1" applyAlignment="1">
      <alignment horizontal="center" vertical="center"/>
    </xf>
    <xf numFmtId="0" fontId="7" fillId="14" borderId="0" xfId="0" applyFont="1" applyFill="1" applyAlignment="1">
      <alignment horizontal="center" vertical="center"/>
    </xf>
    <xf numFmtId="0" fontId="7" fillId="13" borderId="10" xfId="0" applyFont="1" applyFill="1" applyBorder="1" applyAlignment="1">
      <alignment vertical="center"/>
    </xf>
    <xf numFmtId="0" fontId="7" fillId="13" borderId="10" xfId="0" applyFont="1" applyFill="1" applyBorder="1" applyAlignment="1">
      <alignment horizontal="center" vertical="center"/>
    </xf>
    <xf numFmtId="0" fontId="7" fillId="14" borderId="10" xfId="0" applyFont="1" applyFill="1" applyBorder="1" applyAlignment="1">
      <alignment vertical="center"/>
    </xf>
    <xf numFmtId="0" fontId="7" fillId="14" borderId="10" xfId="0" applyFont="1" applyFill="1" applyBorder="1" applyAlignment="1">
      <alignment horizontal="center" vertical="center"/>
    </xf>
    <xf numFmtId="14" fontId="0" fillId="15" borderId="0" xfId="0" applyNumberFormat="1" applyFill="1"/>
    <xf numFmtId="14" fontId="6" fillId="13" borderId="2" xfId="0" applyNumberFormat="1" applyFont="1" applyFill="1" applyBorder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14" fontId="7" fillId="13" borderId="14" xfId="0" applyNumberFormat="1" applyFont="1" applyFill="1" applyBorder="1" applyAlignment="1">
      <alignment horizontal="center" vertical="center"/>
    </xf>
    <xf numFmtId="14" fontId="7" fillId="14" borderId="14" xfId="0" applyNumberFormat="1" applyFont="1" applyFill="1" applyBorder="1" applyAlignment="1">
      <alignment horizontal="center" vertical="center"/>
    </xf>
    <xf numFmtId="14" fontId="0" fillId="0" borderId="0" xfId="0" applyNumberFormat="1"/>
    <xf numFmtId="0" fontId="8" fillId="8" borderId="10" xfId="1" applyFont="1" applyFill="1" applyBorder="1" applyAlignment="1">
      <alignment horizontal="left" vertical="center"/>
    </xf>
    <xf numFmtId="0" fontId="7" fillId="0" borderId="10" xfId="0" applyFont="1" applyBorder="1" applyAlignment="1">
      <alignment horizontal="center" vertical="center"/>
    </xf>
  </cellXfs>
  <cellStyles count="2">
    <cellStyle name="Normal" xfId="0" builtinId="0"/>
    <cellStyle name="Normal 2" xfId="1" xr:uid="{00000000-0005-0000-0000-000001000000}"/>
  </cellStyles>
  <dxfs count="2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rial"/>
        <family val="2"/>
        <scheme val="minor"/>
      </font>
      <numFmt numFmtId="164" formatCode="dd/mm/yyyy"/>
      <fill>
        <patternFill patternType="solid">
          <fgColor indexed="64"/>
          <bgColor theme="5" tint="-0.49998474074526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rial"/>
        <family val="2"/>
        <scheme val="minor"/>
      </font>
      <fill>
        <patternFill patternType="solid">
          <fgColor indexed="64"/>
          <bgColor theme="5" tint="-0.49998474074526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rial"/>
        <family val="2"/>
        <scheme val="minor"/>
      </font>
      <fill>
        <patternFill patternType="solid">
          <fgColor indexed="64"/>
          <bgColor theme="5" tint="-0.49998474074526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rial"/>
        <family val="2"/>
        <scheme val="minor"/>
      </font>
      <fill>
        <patternFill patternType="solid">
          <fgColor indexed="64"/>
          <bgColor theme="5" tint="-0.49998474074526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rial"/>
        <family val="2"/>
        <scheme val="minor"/>
      </font>
      <fill>
        <patternFill patternType="solid">
          <fgColor indexed="64"/>
          <bgColor theme="5" tint="-0.49998474074526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rial"/>
        <family val="2"/>
        <scheme val="minor"/>
      </font>
      <fill>
        <patternFill patternType="solid">
          <fgColor indexed="64"/>
          <bgColor theme="5" tint="-0.49998474074526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rial"/>
        <family val="2"/>
        <scheme val="minor"/>
      </font>
      <fill>
        <patternFill patternType="solid">
          <fgColor indexed="64"/>
          <bgColor theme="5" tint="-0.49998474074526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rial"/>
        <family val="2"/>
        <scheme val="minor"/>
      </font>
      <fill>
        <patternFill patternType="solid">
          <fgColor indexed="64"/>
          <bgColor theme="5" tint="-0.499984740745262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rial"/>
        <family val="2"/>
        <scheme val="minor"/>
      </font>
      <fill>
        <patternFill patternType="solid">
          <fgColor indexed="64"/>
          <bgColor theme="5" tint="-0.49998474074526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4"/>
        <color theme="0"/>
        <name val="Arial"/>
        <family val="2"/>
        <scheme val="minor"/>
      </font>
      <fill>
        <patternFill patternType="solid">
          <fgColor indexed="64"/>
          <bgColor theme="5" tint="-0.49998474074526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rial"/>
        <family val="2"/>
        <scheme val="minor"/>
      </font>
      <fill>
        <patternFill patternType="solid">
          <fgColor indexed="64"/>
          <bgColor theme="4" tint="-0.49998474074526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rial"/>
        <family val="2"/>
        <scheme val="minor"/>
      </font>
      <fill>
        <patternFill patternType="solid">
          <fgColor indexed="64"/>
          <bgColor theme="4" tint="-0.49998474074526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rial"/>
        <family val="2"/>
        <scheme val="minor"/>
      </font>
      <fill>
        <patternFill patternType="solid">
          <fgColor indexed="64"/>
          <bgColor theme="4" tint="-0.49998474074526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rial"/>
        <family val="2"/>
        <scheme val="minor"/>
      </font>
      <fill>
        <patternFill patternType="solid">
          <fgColor indexed="64"/>
          <bgColor theme="4" tint="-0.49998474074526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rial"/>
        <family val="2"/>
        <scheme val="minor"/>
      </font>
      <fill>
        <patternFill patternType="solid">
          <fgColor indexed="64"/>
          <bgColor theme="4" tint="-0.49998474074526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rial"/>
        <family val="2"/>
        <scheme val="minor"/>
      </font>
      <fill>
        <patternFill patternType="solid">
          <fgColor indexed="64"/>
          <bgColor theme="4" tint="-0.49998474074526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rial"/>
        <family val="2"/>
        <scheme val="minor"/>
      </font>
      <fill>
        <patternFill patternType="solid">
          <fgColor indexed="64"/>
          <bgColor theme="4" tint="-0.49998474074526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rial"/>
        <family val="2"/>
        <scheme val="minor"/>
      </font>
      <fill>
        <patternFill patternType="solid">
          <fgColor indexed="64"/>
          <bgColor theme="4" tint="-0.49998474074526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rial"/>
        <family val="2"/>
        <scheme val="minor"/>
      </font>
      <fill>
        <patternFill patternType="solid">
          <fgColor indexed="64"/>
          <bgColor theme="4" tint="-0.49998474074526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4"/>
        <color theme="0"/>
        <name val="Arial"/>
        <family val="2"/>
        <scheme val="minor"/>
      </font>
      <fill>
        <patternFill patternType="solid">
          <fgColor indexed="64"/>
          <bgColor theme="5" tint="-0.249977111117893"/>
        </patternFill>
      </fill>
      <alignment horizontal="center" vertical="center" textRotation="0" wrapText="0" indent="0" justifyLastLine="0" shrinkToFit="0" readingOrder="0"/>
    </dxf>
    <dxf>
      <fill>
        <patternFill>
          <bgColor theme="7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4" tint="-0.499984740745262"/>
        </patternFill>
      </fill>
    </dxf>
    <dxf>
      <fill>
        <patternFill>
          <bgColor theme="2" tint="-0.749961851863155"/>
        </patternFill>
      </fill>
    </dxf>
  </dxfs>
  <tableStyles count="2" defaultTableStyle="TableStyleMedium2" defaultPivotStyle="PivotStyleLight16">
    <tableStyle name="نمط الجدول 1" pivot="0" count="2" xr9:uid="{00000000-0011-0000-FFFF-FFFF00000000}">
      <tableStyleElement type="firstRowStripe" dxfId="24"/>
      <tableStyleElement type="secondRowStripe" dxfId="23"/>
    </tableStyle>
    <tableStyle name="نمط الجدول 2" pivot="0" count="2" xr9:uid="{00000000-0011-0000-FFFF-FFFF01000000}">
      <tableStyleElement type="firstRowStripe" dxfId="22"/>
      <tableStyleElement type="secondRowStripe" dxfId="21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microsoft.com/office/2017/10/relationships/person" Target="persons/person.xml"/><Relationship Id="rId14" Type="http://schemas.microsoft.com/office/2006/relationships/vbaProject" Target="vbaProject.bin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741D758-DA9A-4D54-ABA0-7ED39C427B1A}" name="الجدول2" displayName="الجدول2" ref="A1:H2001" totalsRowShown="0" headerRowDxfId="20" dataDxfId="19">
  <autoFilter ref="A1:H2001" xr:uid="{D741D758-DA9A-4D54-ABA0-7ED39C427B1A}"/>
  <tableColumns count="8">
    <tableColumn id="1" xr3:uid="{DDD59672-D29F-4BDF-8AE7-BE13A916237A}" name="الوارد" dataDxfId="18"/>
    <tableColumn id="2" xr3:uid="{0B17D1DD-4EA4-4E37-BBE6-F49CA5759A50}" name="عمود1" dataDxfId="17"/>
    <tableColumn id="3" xr3:uid="{CD545B2C-C644-488B-9BEC-D3D4029969A6}" name="عمود2" dataDxfId="16">
      <calculatedColumnFormula>IFERROR(VLOOKUP(B2,منتجات!$A$3:$C$114,2,0),"")</calculatedColumnFormula>
    </tableColumn>
    <tableColumn id="4" xr3:uid="{9BCE815C-0806-4B98-8343-24868CF43ED1}" name="عمود3" dataDxfId="15">
      <calculatedColumnFormula>IFERROR(VLOOKUP(B2,منتجات!$A$3:$C$350,3,0),"")</calculatedColumnFormula>
    </tableColumn>
    <tableColumn id="5" xr3:uid="{37B5DA7A-4ECE-4F2C-A6C6-777D25799A72}" name="عمود4" dataDxfId="14"/>
    <tableColumn id="6" xr3:uid="{C532F203-744B-4184-B145-2DE9E9A2019F}" name="عمود5" dataDxfId="13">
      <calculatedColumnFormula>IFERROR(INDEX(منتجات!$G$3:$G$114,MATCH(B2,منتجات!$A$3:$A$115,0)),"")</calculatedColumnFormula>
    </tableColumn>
    <tableColumn id="7" xr3:uid="{86AFE887-9A5D-43E3-9181-2FBFF85951BB}" name="عمود6" dataDxfId="12">
      <calculatedColumnFormula>IFERROR(E2*F2,"")</calculatedColumnFormula>
    </tableColumn>
    <tableColumn id="8" xr3:uid="{F0C0A5BF-3669-427A-8904-CA05716E8CA1}" name="عمود7" dataDxfId="11"/>
  </tableColumns>
  <tableStyleInfo name="نمط الجدول 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3D1F05E-8295-4996-B275-841CCFEC8EDB}" name="الجدول3" displayName="الجدول3" ref="A2:H2000" totalsRowShown="0" headerRowDxfId="10" dataDxfId="9" tableBorderDxfId="8">
  <autoFilter ref="A2:H2000" xr:uid="{43D1F05E-8295-4996-B275-841CCFEC8EDB}"/>
  <tableColumns count="8">
    <tableColumn id="1" xr3:uid="{A1D3B497-F30D-467F-8349-6D3D7603AAB3}" name="الصادر" dataDxfId="7"/>
    <tableColumn id="2" xr3:uid="{F591A0D1-8840-4924-89E6-021D0722225E}" name="عمود1" dataDxfId="6"/>
    <tableColumn id="3" xr3:uid="{98E6DDFD-9399-4E43-A2EA-6F5F790BA2CA}" name="عمود2" dataDxfId="5">
      <calculatedColumnFormula>IFERROR(VLOOKUP(B3,منتجات!$A$3:$C$350,2,0),"")</calculatedColumnFormula>
    </tableColumn>
    <tableColumn id="4" xr3:uid="{41138514-FCDE-42C2-AF2F-13130668D157}" name="عمود3" dataDxfId="4">
      <calculatedColumnFormula>IFERROR(VLOOKUP(B3,منتجات!$A$3:$C$350,3,0),"")</calculatedColumnFormula>
    </tableColumn>
    <tableColumn id="5" xr3:uid="{5F6A332E-2AE7-4472-9332-7DFB9AD3B420}" name="عمود4" dataDxfId="3"/>
    <tableColumn id="6" xr3:uid="{63AF8128-8E15-43A9-8EF1-7742276577B4}" name="عمود5" dataDxfId="2">
      <calculatedColumnFormula>IFERROR(INDEX(منتجات!$G$3:$G$350,MATCH(B3,منتجات!$A$3:$A$115,0)),"")</calculatedColumnFormula>
    </tableColumn>
    <tableColumn id="7" xr3:uid="{09483C0B-23D9-44E5-92A2-D55C53EC89DC}" name="عمود6" dataDxfId="1">
      <calculatedColumnFormula>IFERROR(E3*F3*D3,"")</calculatedColumnFormula>
    </tableColumn>
    <tableColumn id="8" xr3:uid="{722B5E74-ECF7-482F-9B6A-3410D9BF7299}" name="عمود7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ورقة1"/>
  <dimension ref="A1:H356"/>
  <sheetViews>
    <sheetView zoomScale="40" zoomScaleNormal="40" workbookViewId="0">
      <pane ySplit="2" topLeftCell="A188" activePane="bottomLeft" state="frozen"/>
      <selection pane="bottomLeft" activeCell="E196" sqref="E196"/>
    </sheetView>
  </sheetViews>
  <sheetFormatPr defaultColWidth="9.08984375" defaultRowHeight="21" x14ac:dyDescent="0.35"/>
  <cols>
    <col min="1" max="1" width="24.36328125" style="1" bestFit="1" customWidth="1"/>
    <col min="2" max="2" width="9.08984375" style="1"/>
    <col min="3" max="3" width="8.90625" style="1" customWidth="1"/>
    <col min="4" max="4" width="9.08984375" style="1"/>
    <col min="5" max="5" width="5.1796875" style="1" customWidth="1"/>
    <col min="6" max="6" width="10.36328125" style="1" bestFit="1" customWidth="1"/>
    <col min="7" max="16384" width="9.08984375" style="1"/>
  </cols>
  <sheetData>
    <row r="1" spans="1:8" ht="28.9" customHeight="1" x14ac:dyDescent="0.35">
      <c r="A1"/>
      <c r="B1"/>
      <c r="C1"/>
      <c r="D1"/>
      <c r="E1"/>
      <c r="F1"/>
      <c r="G1"/>
      <c r="H1"/>
    </row>
    <row r="2" spans="1:8" x14ac:dyDescent="0.35">
      <c r="A2" t="s">
        <v>482</v>
      </c>
      <c r="B2" t="s">
        <v>0</v>
      </c>
      <c r="C2" t="s">
        <v>483</v>
      </c>
      <c r="D2" t="s">
        <v>3</v>
      </c>
      <c r="E2" t="s">
        <v>4</v>
      </c>
      <c r="F2" t="s">
        <v>499</v>
      </c>
      <c r="G2" t="s">
        <v>5</v>
      </c>
      <c r="H2" t="s">
        <v>484</v>
      </c>
    </row>
    <row r="3" spans="1:8" ht="23.25" x14ac:dyDescent="0.35">
      <c r="A3" s="45" t="s">
        <v>9</v>
      </c>
      <c r="B3" s="32">
        <v>1</v>
      </c>
      <c r="C3" s="33">
        <v>10</v>
      </c>
      <c r="D3" s="33">
        <f>SUMIF(وارد!$B$3:$B$2001,منتجات!A3,وارد!$E$3:$E$2001)</f>
        <v>0</v>
      </c>
      <c r="E3" s="33">
        <f>SUMIF(صادر!$B$5:$B$2001,منتجات!A3,صادر!$E$4:$E$2001)</f>
        <v>0</v>
      </c>
      <c r="F3" s="33">
        <f>(D3*C3)-E3</f>
        <v>0</v>
      </c>
      <c r="G3" s="33">
        <v>1</v>
      </c>
      <c r="H3" s="34">
        <f>F3*G3</f>
        <v>0</v>
      </c>
    </row>
    <row r="4" spans="1:8" ht="23.25" x14ac:dyDescent="0.35">
      <c r="A4" s="31" t="s">
        <v>347</v>
      </c>
      <c r="B4" s="32">
        <v>2</v>
      </c>
      <c r="C4" s="33">
        <v>10</v>
      </c>
      <c r="D4" s="33">
        <f>SUMIF(وارد!$B$3:$B$2001,منتجات!A4,وارد!$E$3:$E$2001)</f>
        <v>0</v>
      </c>
      <c r="E4" s="33">
        <f>SUMIF(صادر!$B$5:$B$2001,منتجات!A4,صادر!$E$4:$E$2001)</f>
        <v>0</v>
      </c>
      <c r="F4" s="33">
        <f t="shared" ref="F4:F67" si="0">(D4*C4)-E4</f>
        <v>0</v>
      </c>
      <c r="G4" s="33">
        <v>1</v>
      </c>
      <c r="H4" s="34">
        <f t="shared" ref="H4:H9" si="1">F4*G4</f>
        <v>0</v>
      </c>
    </row>
    <row r="5" spans="1:8" ht="23.25" x14ac:dyDescent="0.35">
      <c r="A5" s="31" t="s">
        <v>348</v>
      </c>
      <c r="B5" s="32">
        <v>3</v>
      </c>
      <c r="C5" s="33">
        <v>10</v>
      </c>
      <c r="D5" s="33">
        <f>SUMIF(وارد!$B$3:$B$2001,منتجات!A5,وارد!$E$3:$E$2001)</f>
        <v>0</v>
      </c>
      <c r="E5" s="33">
        <f>SUMIF(صادر!$B$5:$B$2001,منتجات!A5,صادر!$E$4:$E$2001)</f>
        <v>0</v>
      </c>
      <c r="F5" s="33">
        <f t="shared" si="0"/>
        <v>0</v>
      </c>
      <c r="G5" s="33">
        <v>1</v>
      </c>
      <c r="H5" s="34">
        <f t="shared" si="1"/>
        <v>0</v>
      </c>
    </row>
    <row r="6" spans="1:8" ht="23.25" x14ac:dyDescent="0.35">
      <c r="A6" s="31" t="s">
        <v>349</v>
      </c>
      <c r="B6" s="32">
        <v>4</v>
      </c>
      <c r="C6" s="33">
        <v>10</v>
      </c>
      <c r="D6" s="33">
        <f>SUMIF(وارد!$B$3:$B$2001,منتجات!A6,وارد!$E$3:$E$2001)</f>
        <v>0</v>
      </c>
      <c r="E6" s="33">
        <f>SUMIF(صادر!$B$5:$B$2001,منتجات!A6,صادر!$E$4:$E$2001)</f>
        <v>0</v>
      </c>
      <c r="F6" s="33">
        <f t="shared" si="0"/>
        <v>0</v>
      </c>
      <c r="G6" s="33">
        <v>1</v>
      </c>
      <c r="H6" s="34">
        <f t="shared" si="1"/>
        <v>0</v>
      </c>
    </row>
    <row r="7" spans="1:8" ht="23.25" x14ac:dyDescent="0.35">
      <c r="A7" s="31" t="s">
        <v>350</v>
      </c>
      <c r="B7" s="32">
        <v>5</v>
      </c>
      <c r="C7" s="33">
        <v>10</v>
      </c>
      <c r="D7" s="33">
        <f>SUMIF(وارد!$B$3:$B$2001,منتجات!A7,وارد!$E$3:$E$2001)</f>
        <v>0</v>
      </c>
      <c r="E7" s="33">
        <f>SUMIF(صادر!$B$5:$B$2001,منتجات!A7,صادر!$E$4:$E$2001)</f>
        <v>0</v>
      </c>
      <c r="F7" s="33">
        <f t="shared" si="0"/>
        <v>0</v>
      </c>
      <c r="G7" s="33">
        <v>1</v>
      </c>
      <c r="H7" s="34">
        <f t="shared" si="1"/>
        <v>0</v>
      </c>
    </row>
    <row r="8" spans="1:8" ht="23.25" x14ac:dyDescent="0.35">
      <c r="A8" s="31" t="s">
        <v>351</v>
      </c>
      <c r="B8" s="32">
        <v>6</v>
      </c>
      <c r="C8" s="33">
        <v>10</v>
      </c>
      <c r="D8" s="33">
        <f>SUMIF(وارد!$B$3:$B$2001,منتجات!A8,وارد!$E$3:$E$2001)</f>
        <v>0</v>
      </c>
      <c r="E8" s="33">
        <f>SUMIF(صادر!$B$5:$B$2001,منتجات!A8,صادر!$E$4:$E$2001)</f>
        <v>0</v>
      </c>
      <c r="F8" s="33">
        <f t="shared" si="0"/>
        <v>0</v>
      </c>
      <c r="G8" s="33">
        <v>1</v>
      </c>
      <c r="H8" s="34">
        <f t="shared" si="1"/>
        <v>0</v>
      </c>
    </row>
    <row r="9" spans="1:8" ht="23.25" x14ac:dyDescent="0.35">
      <c r="A9" s="31" t="s">
        <v>352</v>
      </c>
      <c r="B9" s="32">
        <v>7</v>
      </c>
      <c r="C9" s="33">
        <v>10</v>
      </c>
      <c r="D9" s="33">
        <f>SUMIF(وارد!$B$3:$B$2001,منتجات!A9,وارد!$E$3:$E$2001)</f>
        <v>0</v>
      </c>
      <c r="E9" s="33">
        <f>SUMIF(صادر!$B$5:$B$2001,منتجات!A9,صادر!$E$4:$E$2001)</f>
        <v>0</v>
      </c>
      <c r="F9" s="33">
        <f t="shared" si="0"/>
        <v>0</v>
      </c>
      <c r="G9" s="33">
        <v>1</v>
      </c>
      <c r="H9" s="34">
        <f t="shared" si="1"/>
        <v>0</v>
      </c>
    </row>
    <row r="10" spans="1:8" ht="23.25" x14ac:dyDescent="0.35">
      <c r="A10" s="31" t="s">
        <v>353</v>
      </c>
      <c r="B10" s="32">
        <v>8</v>
      </c>
      <c r="C10" s="33">
        <v>10</v>
      </c>
      <c r="D10" s="33">
        <f>SUMIF(وارد!$B$3:$B$2001,منتجات!A10,وارد!$E$3:$E$2001)</f>
        <v>0</v>
      </c>
      <c r="E10" s="33">
        <f>SUMIF(صادر!$B$5:$B$2001,منتجات!A10,صادر!$E$4:$E$2001)</f>
        <v>0</v>
      </c>
      <c r="F10" s="33">
        <f t="shared" si="0"/>
        <v>0</v>
      </c>
      <c r="G10" s="33">
        <v>1</v>
      </c>
      <c r="H10" s="34">
        <f t="shared" ref="H10:H65" si="2">F10*G10</f>
        <v>0</v>
      </c>
    </row>
    <row r="11" spans="1:8" ht="23.25" x14ac:dyDescent="0.35">
      <c r="A11" s="31" t="s">
        <v>354</v>
      </c>
      <c r="B11" s="32">
        <v>9</v>
      </c>
      <c r="C11" s="33">
        <v>10</v>
      </c>
      <c r="D11" s="33">
        <f>SUMIF(وارد!$B$3:$B$2001,منتجات!A11,وارد!$E$3:$E$2001)</f>
        <v>0</v>
      </c>
      <c r="E11" s="33">
        <f>SUMIF(صادر!$B$5:$B$2001,منتجات!A11,صادر!$E$4:$E$2001)</f>
        <v>0</v>
      </c>
      <c r="F11" s="33">
        <f t="shared" si="0"/>
        <v>0</v>
      </c>
      <c r="G11" s="33">
        <v>1</v>
      </c>
      <c r="H11" s="34">
        <f t="shared" si="2"/>
        <v>0</v>
      </c>
    </row>
    <row r="12" spans="1:8" ht="23.25" x14ac:dyDescent="0.35">
      <c r="A12" s="31" t="s">
        <v>355</v>
      </c>
      <c r="B12" s="32">
        <v>10</v>
      </c>
      <c r="C12" s="33">
        <v>10</v>
      </c>
      <c r="D12" s="33">
        <f>SUMIF(وارد!$B$3:$B$2001,منتجات!A12,وارد!$E$3:$E$2001)</f>
        <v>0</v>
      </c>
      <c r="E12" s="33">
        <f>SUMIF(صادر!$B$5:$B$2001,منتجات!A12,صادر!$E$4:$E$2001)</f>
        <v>0</v>
      </c>
      <c r="F12" s="33">
        <f t="shared" si="0"/>
        <v>0</v>
      </c>
      <c r="G12" s="33">
        <v>1</v>
      </c>
      <c r="H12" s="34">
        <f t="shared" si="2"/>
        <v>0</v>
      </c>
    </row>
    <row r="13" spans="1:8" ht="23.25" x14ac:dyDescent="0.35">
      <c r="A13" s="31" t="s">
        <v>356</v>
      </c>
      <c r="B13" s="32">
        <v>11</v>
      </c>
      <c r="C13" s="33">
        <v>10</v>
      </c>
      <c r="D13" s="33">
        <f>SUMIF(وارد!$B$3:$B$2001,منتجات!A13,وارد!$E$3:$E$2001)</f>
        <v>0</v>
      </c>
      <c r="E13" s="33">
        <f>SUMIF(صادر!$B$5:$B$2001,منتجات!A13,صادر!$E$4:$E$2001)</f>
        <v>0</v>
      </c>
      <c r="F13" s="33">
        <f t="shared" si="0"/>
        <v>0</v>
      </c>
      <c r="G13" s="33">
        <v>1</v>
      </c>
      <c r="H13" s="34">
        <f t="shared" si="2"/>
        <v>0</v>
      </c>
    </row>
    <row r="14" spans="1:8" ht="23.25" x14ac:dyDescent="0.35">
      <c r="A14" s="31" t="s">
        <v>297</v>
      </c>
      <c r="B14" s="32">
        <v>12</v>
      </c>
      <c r="C14" s="33">
        <v>10</v>
      </c>
      <c r="D14" s="33">
        <f>SUMIF(وارد!$B$3:$B$2001,منتجات!A14,وارد!$E$3:$E$2001)</f>
        <v>0</v>
      </c>
      <c r="E14" s="33">
        <f>SUMIF(صادر!$B$5:$B$2001,منتجات!A14,صادر!$E$4:$E$2001)</f>
        <v>0</v>
      </c>
      <c r="F14" s="33">
        <f t="shared" si="0"/>
        <v>0</v>
      </c>
      <c r="G14" s="33">
        <v>1</v>
      </c>
      <c r="H14" s="34">
        <f t="shared" si="2"/>
        <v>0</v>
      </c>
    </row>
    <row r="15" spans="1:8" ht="23.25" x14ac:dyDescent="0.35">
      <c r="A15" s="31" t="s">
        <v>299</v>
      </c>
      <c r="B15" s="32">
        <v>13</v>
      </c>
      <c r="C15" s="33">
        <v>10</v>
      </c>
      <c r="D15" s="33">
        <f>SUMIF(وارد!$B$3:$B$2001,منتجات!A15,وارد!$E$3:$E$2001)</f>
        <v>0</v>
      </c>
      <c r="E15" s="33">
        <f>SUMIF(صادر!$B$5:$B$2001,منتجات!A15,صادر!$E$4:$E$2001)</f>
        <v>0</v>
      </c>
      <c r="F15" s="33">
        <f t="shared" si="0"/>
        <v>0</v>
      </c>
      <c r="G15" s="33">
        <v>1</v>
      </c>
      <c r="H15" s="34">
        <f t="shared" si="2"/>
        <v>0</v>
      </c>
    </row>
    <row r="16" spans="1:8" ht="23.25" x14ac:dyDescent="0.35">
      <c r="A16" s="31" t="s">
        <v>300</v>
      </c>
      <c r="B16" s="32">
        <v>14</v>
      </c>
      <c r="C16" s="33">
        <v>10</v>
      </c>
      <c r="D16" s="33">
        <f>SUMIF(وارد!$B$3:$B$2001,منتجات!A16,وارد!$E$3:$E$2001)</f>
        <v>0</v>
      </c>
      <c r="E16" s="33">
        <f>SUMIF(صادر!$B$5:$B$2001,منتجات!A16,صادر!$E$4:$E$2001)</f>
        <v>0</v>
      </c>
      <c r="F16" s="33">
        <f t="shared" si="0"/>
        <v>0</v>
      </c>
      <c r="G16" s="33">
        <v>1</v>
      </c>
      <c r="H16" s="34">
        <f t="shared" si="2"/>
        <v>0</v>
      </c>
    </row>
    <row r="17" spans="1:8" ht="23.25" x14ac:dyDescent="0.35">
      <c r="A17" s="31" t="s">
        <v>338</v>
      </c>
      <c r="B17" s="32">
        <v>15</v>
      </c>
      <c r="C17" s="33">
        <v>10</v>
      </c>
      <c r="D17" s="33">
        <f>SUMIF(وارد!$B$3:$B$2001,منتجات!A17,وارد!$E$3:$E$2001)</f>
        <v>0</v>
      </c>
      <c r="E17" s="33">
        <f>SUMIF(صادر!$B$5:$B$2001,منتجات!A17,صادر!$E$4:$E$2001)</f>
        <v>0</v>
      </c>
      <c r="F17" s="33">
        <f t="shared" si="0"/>
        <v>0</v>
      </c>
      <c r="G17" s="33">
        <v>1</v>
      </c>
      <c r="H17" s="34">
        <f t="shared" si="2"/>
        <v>0</v>
      </c>
    </row>
    <row r="18" spans="1:8" ht="23.25" x14ac:dyDescent="0.35">
      <c r="A18" s="31" t="s">
        <v>357</v>
      </c>
      <c r="B18" s="32">
        <v>16</v>
      </c>
      <c r="C18" s="33">
        <v>10</v>
      </c>
      <c r="D18" s="33">
        <f>SUMIF(وارد!$B$3:$B$2001,منتجات!A18,وارد!$E$3:$E$2001)</f>
        <v>0</v>
      </c>
      <c r="E18" s="33">
        <f>SUMIF(صادر!$B$5:$B$2001,منتجات!A18,صادر!$E$4:$E$2001)</f>
        <v>0</v>
      </c>
      <c r="F18" s="33">
        <f t="shared" si="0"/>
        <v>0</v>
      </c>
      <c r="G18" s="33">
        <v>1</v>
      </c>
      <c r="H18" s="34">
        <f t="shared" si="2"/>
        <v>0</v>
      </c>
    </row>
    <row r="19" spans="1:8" ht="23.25" x14ac:dyDescent="0.35">
      <c r="A19" s="31" t="s">
        <v>358</v>
      </c>
      <c r="B19" s="32">
        <v>17</v>
      </c>
      <c r="C19" s="33">
        <v>10</v>
      </c>
      <c r="D19" s="33">
        <f>SUMIF(وارد!$B$3:$B$2001,منتجات!A19,وارد!$E$3:$E$2001)</f>
        <v>1</v>
      </c>
      <c r="E19" s="33">
        <f>SUMIF(صادر!$B$5:$B$2001,منتجات!A19,صادر!$E$4:$E$2001)</f>
        <v>0</v>
      </c>
      <c r="F19" s="33">
        <f t="shared" si="0"/>
        <v>10</v>
      </c>
      <c r="G19" s="33">
        <v>1</v>
      </c>
      <c r="H19" s="34">
        <f t="shared" si="2"/>
        <v>10</v>
      </c>
    </row>
    <row r="20" spans="1:8" ht="23.25" x14ac:dyDescent="0.35">
      <c r="A20" s="31" t="s">
        <v>339</v>
      </c>
      <c r="B20" s="32">
        <v>18</v>
      </c>
      <c r="C20" s="33">
        <v>10</v>
      </c>
      <c r="D20" s="33">
        <f>SUMIF(وارد!$B$3:$B$2001,منتجات!A20,وارد!$E$3:$E$2001)</f>
        <v>0</v>
      </c>
      <c r="E20" s="33">
        <f>SUMIF(صادر!$B$5:$B$2001,منتجات!A20,صادر!$E$4:$E$2001)</f>
        <v>0</v>
      </c>
      <c r="F20" s="33">
        <f t="shared" si="0"/>
        <v>0</v>
      </c>
      <c r="G20" s="33">
        <v>1</v>
      </c>
      <c r="H20" s="34">
        <f t="shared" si="2"/>
        <v>0</v>
      </c>
    </row>
    <row r="21" spans="1:8" ht="23.25" x14ac:dyDescent="0.35">
      <c r="A21" s="31"/>
      <c r="B21" s="32">
        <v>19</v>
      </c>
      <c r="C21" s="33">
        <v>10</v>
      </c>
      <c r="D21" s="33">
        <f>SUMIF(وارد!$B$3:$B$2001,منتجات!A21,وارد!$E$3:$E$2001)</f>
        <v>0</v>
      </c>
      <c r="E21" s="33">
        <f>SUMIF(صادر!$B$5:$B$2001,منتجات!A21,صادر!$E$4:$E$2001)</f>
        <v>0</v>
      </c>
      <c r="F21" s="33">
        <f t="shared" si="0"/>
        <v>0</v>
      </c>
      <c r="G21" s="33">
        <v>1</v>
      </c>
      <c r="H21" s="34">
        <f t="shared" si="2"/>
        <v>0</v>
      </c>
    </row>
    <row r="22" spans="1:8" ht="23.25" x14ac:dyDescent="0.35">
      <c r="A22" s="35" t="s">
        <v>281</v>
      </c>
      <c r="B22" s="32">
        <v>20</v>
      </c>
      <c r="C22" s="33">
        <v>10</v>
      </c>
      <c r="D22" s="33">
        <f>SUMIF(وارد!$B$3:$B$2001,منتجات!A22,وارد!$E$3:$E$2001)</f>
        <v>0</v>
      </c>
      <c r="E22" s="33">
        <f>SUMIF(صادر!$B$5:$B$2001,منتجات!A22,صادر!$E$4:$E$2001)</f>
        <v>0</v>
      </c>
      <c r="F22" s="33">
        <f t="shared" si="0"/>
        <v>0</v>
      </c>
      <c r="G22" s="33">
        <v>1</v>
      </c>
      <c r="H22" s="34">
        <f t="shared" si="2"/>
        <v>0</v>
      </c>
    </row>
    <row r="23" spans="1:8" ht="23.25" x14ac:dyDescent="0.35">
      <c r="A23" s="35" t="s">
        <v>282</v>
      </c>
      <c r="B23" s="32">
        <v>21</v>
      </c>
      <c r="C23" s="33">
        <v>10</v>
      </c>
      <c r="D23" s="33">
        <f>SUMIF(وارد!$B$3:$B$2001,منتجات!A23,وارد!$E$3:$E$2001)</f>
        <v>0</v>
      </c>
      <c r="E23" s="33">
        <f>SUMIF(صادر!$B$5:$B$2001,منتجات!A23,صادر!$E$4:$E$2001)</f>
        <v>0</v>
      </c>
      <c r="F23" s="33">
        <f t="shared" si="0"/>
        <v>0</v>
      </c>
      <c r="G23" s="33">
        <v>1</v>
      </c>
      <c r="H23" s="34">
        <f t="shared" si="2"/>
        <v>0</v>
      </c>
    </row>
    <row r="24" spans="1:8" ht="23.25" x14ac:dyDescent="0.35">
      <c r="A24" s="35" t="s">
        <v>283</v>
      </c>
      <c r="B24" s="32">
        <v>22</v>
      </c>
      <c r="C24" s="33">
        <v>10</v>
      </c>
      <c r="D24" s="33">
        <f>SUMIF(وارد!$B$3:$B$2001,منتجات!A24,وارد!$E$3:$E$2001)</f>
        <v>0</v>
      </c>
      <c r="E24" s="33">
        <f>SUMIF(صادر!$B$5:$B$2001,منتجات!A24,صادر!$E$4:$E$2001)</f>
        <v>0</v>
      </c>
      <c r="F24" s="33">
        <f t="shared" si="0"/>
        <v>0</v>
      </c>
      <c r="G24" s="33">
        <v>1</v>
      </c>
      <c r="H24" s="34">
        <f t="shared" si="2"/>
        <v>0</v>
      </c>
    </row>
    <row r="25" spans="1:8" ht="23.25" x14ac:dyDescent="0.35">
      <c r="A25" s="35" t="s">
        <v>284</v>
      </c>
      <c r="B25" s="32">
        <v>23</v>
      </c>
      <c r="C25" s="33">
        <v>10</v>
      </c>
      <c r="D25" s="33">
        <f>SUMIF(وارد!$B$3:$B$2001,منتجات!A25,وارد!$E$3:$E$2001)</f>
        <v>0</v>
      </c>
      <c r="E25" s="33">
        <f>SUMIF(صادر!$B$5:$B$2001,منتجات!A25,صادر!$E$4:$E$2001)</f>
        <v>0</v>
      </c>
      <c r="F25" s="33">
        <f t="shared" si="0"/>
        <v>0</v>
      </c>
      <c r="G25" s="33">
        <v>1</v>
      </c>
      <c r="H25" s="34">
        <f t="shared" si="2"/>
        <v>0</v>
      </c>
    </row>
    <row r="26" spans="1:8" ht="23.25" x14ac:dyDescent="0.35">
      <c r="A26" s="35" t="s">
        <v>286</v>
      </c>
      <c r="B26" s="32">
        <v>24</v>
      </c>
      <c r="C26" s="33">
        <v>10</v>
      </c>
      <c r="D26" s="33">
        <f>SUMIF(وارد!$B$3:$B$2001,منتجات!A26,وارد!$E$3:$E$2001)</f>
        <v>0</v>
      </c>
      <c r="E26" s="33">
        <f>SUMIF(صادر!$B$5:$B$2001,منتجات!A26,صادر!$E$4:$E$2001)</f>
        <v>0</v>
      </c>
      <c r="F26" s="33">
        <f t="shared" si="0"/>
        <v>0</v>
      </c>
      <c r="G26" s="33">
        <v>1</v>
      </c>
      <c r="H26" s="34">
        <f t="shared" si="2"/>
        <v>0</v>
      </c>
    </row>
    <row r="27" spans="1:8" ht="23.25" x14ac:dyDescent="0.35">
      <c r="A27" s="35" t="s">
        <v>288</v>
      </c>
      <c r="B27" s="32">
        <v>25</v>
      </c>
      <c r="C27" s="33">
        <v>10</v>
      </c>
      <c r="D27" s="33">
        <f>SUMIF(وارد!$B$3:$B$2001,منتجات!A27,وارد!$E$3:$E$2001)</f>
        <v>0</v>
      </c>
      <c r="E27" s="33">
        <f>SUMIF(صادر!$B$5:$B$2001,منتجات!A27,صادر!$E$4:$E$2001)</f>
        <v>0</v>
      </c>
      <c r="F27" s="33">
        <f t="shared" si="0"/>
        <v>0</v>
      </c>
      <c r="G27" s="33">
        <v>1</v>
      </c>
      <c r="H27" s="34">
        <f t="shared" si="2"/>
        <v>0</v>
      </c>
    </row>
    <row r="28" spans="1:8" ht="23.25" x14ac:dyDescent="0.35">
      <c r="A28" s="35" t="s">
        <v>290</v>
      </c>
      <c r="B28" s="32">
        <v>26</v>
      </c>
      <c r="C28" s="33">
        <v>10</v>
      </c>
      <c r="D28" s="33">
        <f>SUMIF(وارد!$B$3:$B$2001,منتجات!A28,وارد!$E$3:$E$2001)</f>
        <v>0</v>
      </c>
      <c r="E28" s="33">
        <f>SUMIF(صادر!$B$5:$B$2001,منتجات!A28,صادر!$E$4:$E$2001)</f>
        <v>0</v>
      </c>
      <c r="F28" s="33">
        <f t="shared" si="0"/>
        <v>0</v>
      </c>
      <c r="G28" s="33">
        <v>1</v>
      </c>
      <c r="H28" s="34">
        <f t="shared" si="2"/>
        <v>0</v>
      </c>
    </row>
    <row r="29" spans="1:8" ht="23.25" x14ac:dyDescent="0.35">
      <c r="A29" s="35" t="s">
        <v>292</v>
      </c>
      <c r="B29" s="32">
        <v>27</v>
      </c>
      <c r="C29" s="33">
        <v>10</v>
      </c>
      <c r="D29" s="33">
        <f>SUMIF(وارد!$B$3:$B$2001,منتجات!A29,وارد!$E$3:$E$2001)</f>
        <v>0</v>
      </c>
      <c r="E29" s="33">
        <f>SUMIF(صادر!$B$5:$B$2001,منتجات!A29,صادر!$E$4:$E$2001)</f>
        <v>0</v>
      </c>
      <c r="F29" s="33">
        <f t="shared" si="0"/>
        <v>0</v>
      </c>
      <c r="G29" s="33">
        <v>1</v>
      </c>
      <c r="H29" s="34">
        <f t="shared" si="2"/>
        <v>0</v>
      </c>
    </row>
    <row r="30" spans="1:8" ht="23.25" x14ac:dyDescent="0.35">
      <c r="A30" s="35" t="s">
        <v>294</v>
      </c>
      <c r="B30" s="32">
        <v>28</v>
      </c>
      <c r="C30" s="33">
        <v>10</v>
      </c>
      <c r="D30" s="33">
        <f>SUMIF(وارد!$B$3:$B$2001,منتجات!A30,وارد!$E$3:$E$2001)</f>
        <v>0</v>
      </c>
      <c r="E30" s="33">
        <f>SUMIF(صادر!$B$5:$B$2001,منتجات!A30,صادر!$E$4:$E$2001)</f>
        <v>0</v>
      </c>
      <c r="F30" s="33">
        <f t="shared" si="0"/>
        <v>0</v>
      </c>
      <c r="G30" s="33">
        <v>1</v>
      </c>
      <c r="H30" s="34">
        <f t="shared" si="2"/>
        <v>0</v>
      </c>
    </row>
    <row r="31" spans="1:8" ht="23.25" x14ac:dyDescent="0.35">
      <c r="A31" s="35" t="s">
        <v>296</v>
      </c>
      <c r="B31" s="32">
        <v>29</v>
      </c>
      <c r="C31" s="33">
        <v>10</v>
      </c>
      <c r="D31" s="33">
        <f>SUMIF(وارد!$B$3:$B$2001,منتجات!A31,وارد!$E$3:$E$2001)</f>
        <v>0</v>
      </c>
      <c r="E31" s="33">
        <f>SUMIF(صادر!$B$5:$B$2001,منتجات!A31,صادر!$E$4:$E$2001)</f>
        <v>0</v>
      </c>
      <c r="F31" s="33">
        <f t="shared" si="0"/>
        <v>0</v>
      </c>
      <c r="G31" s="33">
        <v>1</v>
      </c>
      <c r="H31" s="34">
        <f t="shared" si="2"/>
        <v>0</v>
      </c>
    </row>
    <row r="32" spans="1:8" ht="23.25" x14ac:dyDescent="0.35">
      <c r="A32" s="35" t="s">
        <v>298</v>
      </c>
      <c r="B32" s="32">
        <v>30</v>
      </c>
      <c r="C32" s="33">
        <v>10</v>
      </c>
      <c r="D32" s="33">
        <f>SUMIF(وارد!$B$3:$B$2001,منتجات!A32,وارد!$E$3:$E$2001)</f>
        <v>0</v>
      </c>
      <c r="E32" s="33">
        <f>SUMIF(صادر!$B$5:$B$2001,منتجات!A32,صادر!$E$4:$E$2001)</f>
        <v>0</v>
      </c>
      <c r="F32" s="33">
        <f t="shared" si="0"/>
        <v>0</v>
      </c>
      <c r="G32" s="33">
        <v>1</v>
      </c>
      <c r="H32" s="34">
        <f t="shared" si="2"/>
        <v>0</v>
      </c>
    </row>
    <row r="33" spans="1:8" x14ac:dyDescent="0.35">
      <c r="A33" s="36" t="s">
        <v>339</v>
      </c>
      <c r="B33" s="32">
        <v>31</v>
      </c>
      <c r="C33" s="33">
        <v>10</v>
      </c>
      <c r="D33" s="33">
        <f>SUMIF(وارد!$B$3:$B$2001,منتجات!A33,وارد!$E$3:$E$2001)</f>
        <v>0</v>
      </c>
      <c r="E33" s="33">
        <f>SUMIF(صادر!$B$5:$B$2001,منتجات!A33,صادر!$E$4:$E$2001)</f>
        <v>0</v>
      </c>
      <c r="F33" s="33">
        <f t="shared" si="0"/>
        <v>0</v>
      </c>
      <c r="G33" s="33">
        <v>1</v>
      </c>
      <c r="H33" s="34">
        <f t="shared" si="2"/>
        <v>0</v>
      </c>
    </row>
    <row r="34" spans="1:8" x14ac:dyDescent="0.35">
      <c r="A34" s="36"/>
      <c r="B34" s="32">
        <v>32</v>
      </c>
      <c r="C34" s="33">
        <v>10</v>
      </c>
      <c r="D34" s="33">
        <f>SUMIF(وارد!$B$3:$B$2001,منتجات!A34,وارد!$E$3:$E$2001)</f>
        <v>0</v>
      </c>
      <c r="E34" s="33">
        <f>SUMIF(صادر!$B$5:$B$2001,منتجات!A34,صادر!$E$4:$E$2001)</f>
        <v>0</v>
      </c>
      <c r="F34" s="33">
        <f t="shared" si="0"/>
        <v>0</v>
      </c>
      <c r="G34" s="33">
        <v>1</v>
      </c>
      <c r="H34" s="34">
        <f t="shared" si="2"/>
        <v>0</v>
      </c>
    </row>
    <row r="35" spans="1:8" ht="23.25" x14ac:dyDescent="0.35">
      <c r="A35" s="31" t="s">
        <v>313</v>
      </c>
      <c r="B35" s="32">
        <v>33</v>
      </c>
      <c r="C35" s="33">
        <v>10</v>
      </c>
      <c r="D35" s="33">
        <f>SUMIF(وارد!$B$3:$B$2001,منتجات!A35,وارد!$E$3:$E$2001)</f>
        <v>1</v>
      </c>
      <c r="E35" s="33">
        <f>SUMIF(صادر!$B$5:$B$2001,منتجات!A35,صادر!$E$4:$E$2001)</f>
        <v>0</v>
      </c>
      <c r="F35" s="33">
        <f t="shared" si="0"/>
        <v>10</v>
      </c>
      <c r="G35" s="33">
        <v>1</v>
      </c>
      <c r="H35" s="34">
        <f t="shared" si="2"/>
        <v>10</v>
      </c>
    </row>
    <row r="36" spans="1:8" ht="23.25" x14ac:dyDescent="0.35">
      <c r="A36" s="31" t="s">
        <v>314</v>
      </c>
      <c r="B36" s="32">
        <v>34</v>
      </c>
      <c r="C36" s="33">
        <v>10</v>
      </c>
      <c r="D36" s="33">
        <f>SUMIF(وارد!$B$3:$B$2001,منتجات!A36,وارد!$E$3:$E$2001)</f>
        <v>0</v>
      </c>
      <c r="E36" s="33">
        <f>SUMIF(صادر!$B$5:$B$2001,منتجات!A36,صادر!$E$4:$E$2001)</f>
        <v>0</v>
      </c>
      <c r="F36" s="33">
        <f t="shared" si="0"/>
        <v>0</v>
      </c>
      <c r="G36" s="33">
        <v>1</v>
      </c>
      <c r="H36" s="34">
        <f t="shared" si="2"/>
        <v>0</v>
      </c>
    </row>
    <row r="37" spans="1:8" ht="23.25" x14ac:dyDescent="0.35">
      <c r="A37" s="31" t="s">
        <v>315</v>
      </c>
      <c r="B37" s="32">
        <v>35</v>
      </c>
      <c r="C37" s="33">
        <v>10</v>
      </c>
      <c r="D37" s="33">
        <f>SUMIF(وارد!$B$3:$B$2001,منتجات!A37,وارد!$E$3:$E$2001)</f>
        <v>0</v>
      </c>
      <c r="E37" s="33">
        <f>SUMIF(صادر!$B$5:$B$2001,منتجات!A37,صادر!$E$4:$E$2001)</f>
        <v>0</v>
      </c>
      <c r="F37" s="33">
        <f t="shared" si="0"/>
        <v>0</v>
      </c>
      <c r="G37" s="33">
        <v>1</v>
      </c>
      <c r="H37" s="34">
        <f t="shared" si="2"/>
        <v>0</v>
      </c>
    </row>
    <row r="38" spans="1:8" ht="23.25" x14ac:dyDescent="0.35">
      <c r="A38" s="31" t="s">
        <v>285</v>
      </c>
      <c r="B38" s="32">
        <v>36</v>
      </c>
      <c r="C38" s="33">
        <v>10</v>
      </c>
      <c r="D38" s="33">
        <f>SUMIF(وارد!$B$3:$B$2001,منتجات!A38,وارد!$E$3:$E$2001)</f>
        <v>0</v>
      </c>
      <c r="E38" s="33">
        <f>SUMIF(صادر!$B$5:$B$2001,منتجات!A38,صادر!$E$4:$E$2001)</f>
        <v>0</v>
      </c>
      <c r="F38" s="33">
        <f t="shared" si="0"/>
        <v>0</v>
      </c>
      <c r="G38" s="33">
        <v>1</v>
      </c>
      <c r="H38" s="34">
        <f t="shared" si="2"/>
        <v>0</v>
      </c>
    </row>
    <row r="39" spans="1:8" ht="23.25" x14ac:dyDescent="0.35">
      <c r="A39" s="31" t="s">
        <v>287</v>
      </c>
      <c r="B39" s="32">
        <v>37</v>
      </c>
      <c r="C39" s="33">
        <v>10</v>
      </c>
      <c r="D39" s="33">
        <f>SUMIF(وارد!$B$3:$B$2001,منتجات!A39,وارد!$E$3:$E$2001)</f>
        <v>0</v>
      </c>
      <c r="E39" s="33">
        <f>SUMIF(صادر!$B$5:$B$2001,منتجات!A39,صادر!$E$4:$E$2001)</f>
        <v>0</v>
      </c>
      <c r="F39" s="33">
        <f t="shared" si="0"/>
        <v>0</v>
      </c>
      <c r="G39" s="33">
        <v>1</v>
      </c>
      <c r="H39" s="34">
        <f t="shared" si="2"/>
        <v>0</v>
      </c>
    </row>
    <row r="40" spans="1:8" ht="23.25" x14ac:dyDescent="0.35">
      <c r="A40" s="31" t="s">
        <v>289</v>
      </c>
      <c r="B40" s="32">
        <v>38</v>
      </c>
      <c r="C40" s="33">
        <v>10</v>
      </c>
      <c r="D40" s="33">
        <f>SUMIF(وارد!$B$3:$B$2001,منتجات!A40,وارد!$E$3:$E$2001)</f>
        <v>20</v>
      </c>
      <c r="E40" s="33">
        <f>SUMIF(صادر!$B$5:$B$2001,منتجات!A40,صادر!$E$4:$E$2001)</f>
        <v>0</v>
      </c>
      <c r="F40" s="33">
        <f t="shared" si="0"/>
        <v>200</v>
      </c>
      <c r="G40" s="33">
        <v>1</v>
      </c>
      <c r="H40" s="34">
        <f t="shared" si="2"/>
        <v>200</v>
      </c>
    </row>
    <row r="41" spans="1:8" ht="23.25" x14ac:dyDescent="0.35">
      <c r="A41" s="31" t="s">
        <v>291</v>
      </c>
      <c r="B41" s="32">
        <v>39</v>
      </c>
      <c r="C41" s="33">
        <v>10</v>
      </c>
      <c r="D41" s="33">
        <f>SUMIF(وارد!$B$3:$B$2001,منتجات!A41,وارد!$E$3:$E$2001)</f>
        <v>2</v>
      </c>
      <c r="E41" s="33">
        <f>SUMIF(صادر!$B$5:$B$2001,منتجات!A41,صادر!$E$4:$E$2001)</f>
        <v>0</v>
      </c>
      <c r="F41" s="33">
        <f t="shared" si="0"/>
        <v>20</v>
      </c>
      <c r="G41" s="33">
        <v>1</v>
      </c>
      <c r="H41" s="34">
        <f t="shared" si="2"/>
        <v>20</v>
      </c>
    </row>
    <row r="42" spans="1:8" ht="23.25" x14ac:dyDescent="0.35">
      <c r="A42" s="31" t="s">
        <v>293</v>
      </c>
      <c r="B42" s="32">
        <v>40</v>
      </c>
      <c r="C42" s="33">
        <v>10</v>
      </c>
      <c r="D42" s="33">
        <f>SUMIF(وارد!$B$3:$B$2001,منتجات!A42,وارد!$E$3:$E$2001)</f>
        <v>0</v>
      </c>
      <c r="E42" s="33">
        <f>SUMIF(صادر!$B$5:$B$2001,منتجات!A42,صادر!$E$4:$E$2001)</f>
        <v>0</v>
      </c>
      <c r="F42" s="33">
        <f t="shared" si="0"/>
        <v>0</v>
      </c>
      <c r="G42" s="33">
        <v>1</v>
      </c>
      <c r="H42" s="34">
        <f t="shared" si="2"/>
        <v>0</v>
      </c>
    </row>
    <row r="43" spans="1:8" ht="23.25" x14ac:dyDescent="0.35">
      <c r="A43" s="31" t="s">
        <v>295</v>
      </c>
      <c r="B43" s="32">
        <v>41</v>
      </c>
      <c r="C43" s="33">
        <v>10</v>
      </c>
      <c r="D43" s="33">
        <f>SUMIF(وارد!$B$3:$B$2001,منتجات!A43,وارد!$E$3:$E$2001)</f>
        <v>0</v>
      </c>
      <c r="E43" s="33">
        <f>SUMIF(صادر!$B$5:$B$2001,منتجات!A43,صادر!$E$4:$E$2001)</f>
        <v>0</v>
      </c>
      <c r="F43" s="33">
        <f t="shared" si="0"/>
        <v>0</v>
      </c>
      <c r="G43" s="33">
        <v>1</v>
      </c>
      <c r="H43" s="34">
        <f t="shared" si="2"/>
        <v>0</v>
      </c>
    </row>
    <row r="44" spans="1:8" x14ac:dyDescent="0.35">
      <c r="A44" s="36" t="s">
        <v>339</v>
      </c>
      <c r="B44" s="32">
        <v>42</v>
      </c>
      <c r="C44" s="33">
        <v>10</v>
      </c>
      <c r="D44" s="33">
        <f>SUMIF(وارد!$B$3:$B$2001,منتجات!A44,وارد!$E$3:$E$2001)</f>
        <v>0</v>
      </c>
      <c r="E44" s="33">
        <f>SUMIF(صادر!$B$5:$B$2001,منتجات!A44,صادر!$E$4:$E$2001)</f>
        <v>0</v>
      </c>
      <c r="F44" s="33">
        <f t="shared" si="0"/>
        <v>0</v>
      </c>
      <c r="G44" s="33">
        <v>1</v>
      </c>
      <c r="H44" s="34">
        <f t="shared" si="2"/>
        <v>0</v>
      </c>
    </row>
    <row r="45" spans="1:8" x14ac:dyDescent="0.35">
      <c r="A45" s="36"/>
      <c r="B45" s="32">
        <v>43</v>
      </c>
      <c r="C45" s="33">
        <v>10</v>
      </c>
      <c r="D45" s="33">
        <f>SUMIF(وارد!$B$3:$B$2001,منتجات!A45,وارد!$E$3:$E$2001)</f>
        <v>0</v>
      </c>
      <c r="E45" s="33">
        <f>SUMIF(صادر!$B$5:$B$2001,منتجات!A45,صادر!$E$4:$E$2001)</f>
        <v>0</v>
      </c>
      <c r="F45" s="33">
        <f t="shared" si="0"/>
        <v>0</v>
      </c>
      <c r="G45" s="33">
        <v>1</v>
      </c>
      <c r="H45" s="34">
        <f t="shared" si="2"/>
        <v>0</v>
      </c>
    </row>
    <row r="46" spans="1:8" ht="23.25" x14ac:dyDescent="0.35">
      <c r="A46" s="31" t="s">
        <v>359</v>
      </c>
      <c r="B46" s="32">
        <v>44</v>
      </c>
      <c r="C46" s="33">
        <v>10</v>
      </c>
      <c r="D46" s="33">
        <f>SUMIF(وارد!$B$3:$B$2001,منتجات!A46,وارد!$E$3:$E$2001)</f>
        <v>1</v>
      </c>
      <c r="E46" s="33">
        <f>SUMIF(صادر!$B$5:$B$2001,منتجات!A46,صادر!$E$4:$E$2001)</f>
        <v>0</v>
      </c>
      <c r="F46" s="33">
        <f t="shared" si="0"/>
        <v>10</v>
      </c>
      <c r="G46" s="33">
        <v>1</v>
      </c>
      <c r="H46" s="34">
        <f t="shared" si="2"/>
        <v>10</v>
      </c>
    </row>
    <row r="47" spans="1:8" ht="23.25" x14ac:dyDescent="0.35">
      <c r="A47" s="31" t="s">
        <v>360</v>
      </c>
      <c r="B47" s="32">
        <v>45</v>
      </c>
      <c r="C47" s="33">
        <v>10</v>
      </c>
      <c r="D47" s="33">
        <f>SUMIF(وارد!$B$3:$B$2001,منتجات!A47,وارد!$E$3:$E$2001)</f>
        <v>0</v>
      </c>
      <c r="E47" s="33">
        <f>SUMIF(صادر!$B$5:$B$2001,منتجات!A47,صادر!$E$4:$E$2001)</f>
        <v>0</v>
      </c>
      <c r="F47" s="33">
        <f t="shared" si="0"/>
        <v>0</v>
      </c>
      <c r="G47" s="33">
        <v>1</v>
      </c>
      <c r="H47" s="34">
        <f t="shared" si="2"/>
        <v>0</v>
      </c>
    </row>
    <row r="48" spans="1:8" ht="23.25" x14ac:dyDescent="0.35">
      <c r="A48" s="31" t="s">
        <v>361</v>
      </c>
      <c r="B48" s="32">
        <v>46</v>
      </c>
      <c r="C48" s="33">
        <v>10</v>
      </c>
      <c r="D48" s="33">
        <f>SUMIF(وارد!$B$3:$B$2001,منتجات!A48,وارد!$E$3:$E$2001)</f>
        <v>0</v>
      </c>
      <c r="E48" s="33">
        <f>SUMIF(صادر!$B$5:$B$2001,منتجات!A48,صادر!$E$4:$E$2001)</f>
        <v>0</v>
      </c>
      <c r="F48" s="33">
        <f t="shared" si="0"/>
        <v>0</v>
      </c>
      <c r="G48" s="33">
        <v>1</v>
      </c>
      <c r="H48" s="34">
        <f t="shared" si="2"/>
        <v>0</v>
      </c>
    </row>
    <row r="49" spans="1:8" ht="23.25" x14ac:dyDescent="0.35">
      <c r="A49" s="31" t="s">
        <v>362</v>
      </c>
      <c r="B49" s="32">
        <v>47</v>
      </c>
      <c r="C49" s="33">
        <v>10</v>
      </c>
      <c r="D49" s="33">
        <f>SUMIF(وارد!$B$3:$B$2001,منتجات!A49,وارد!$E$3:$E$2001)</f>
        <v>0</v>
      </c>
      <c r="E49" s="33">
        <f>SUMIF(صادر!$B$5:$B$2001,منتجات!A49,صادر!$E$4:$E$2001)</f>
        <v>0</v>
      </c>
      <c r="F49" s="33">
        <f t="shared" si="0"/>
        <v>0</v>
      </c>
      <c r="G49" s="33">
        <v>1</v>
      </c>
      <c r="H49" s="34">
        <f t="shared" si="2"/>
        <v>0</v>
      </c>
    </row>
    <row r="50" spans="1:8" ht="23.25" x14ac:dyDescent="0.35">
      <c r="A50" s="31" t="s">
        <v>363</v>
      </c>
      <c r="B50" s="32">
        <v>48</v>
      </c>
      <c r="C50" s="33">
        <v>10</v>
      </c>
      <c r="D50" s="33">
        <f>SUMIF(وارد!$B$3:$B$2001,منتجات!A50,وارد!$E$3:$E$2001)</f>
        <v>0</v>
      </c>
      <c r="E50" s="33">
        <f>SUMIF(صادر!$B$5:$B$2001,منتجات!A50,صادر!$E$4:$E$2001)</f>
        <v>0</v>
      </c>
      <c r="F50" s="33">
        <f t="shared" si="0"/>
        <v>0</v>
      </c>
      <c r="G50" s="33">
        <v>1</v>
      </c>
      <c r="H50" s="34">
        <f t="shared" si="2"/>
        <v>0</v>
      </c>
    </row>
    <row r="51" spans="1:8" ht="23.25" x14ac:dyDescent="0.35">
      <c r="A51" s="31" t="s">
        <v>364</v>
      </c>
      <c r="B51" s="32">
        <v>49</v>
      </c>
      <c r="C51" s="33">
        <v>10</v>
      </c>
      <c r="D51" s="33">
        <f>SUMIF(وارد!$B$3:$B$2001,منتجات!A51,وارد!$E$3:$E$2001)</f>
        <v>20</v>
      </c>
      <c r="E51" s="33">
        <f>SUMIF(صادر!$B$5:$B$2001,منتجات!A51,صادر!$E$4:$E$2001)</f>
        <v>0</v>
      </c>
      <c r="F51" s="33">
        <f t="shared" si="0"/>
        <v>200</v>
      </c>
      <c r="G51" s="33">
        <v>1</v>
      </c>
      <c r="H51" s="34">
        <f t="shared" si="2"/>
        <v>200</v>
      </c>
    </row>
    <row r="52" spans="1:8" ht="23.25" x14ac:dyDescent="0.35">
      <c r="A52" s="31" t="s">
        <v>365</v>
      </c>
      <c r="B52" s="32">
        <v>50</v>
      </c>
      <c r="C52" s="33">
        <v>10</v>
      </c>
      <c r="D52" s="33">
        <f>SUMIF(وارد!$B$3:$B$2001,منتجات!A52,وارد!$E$3:$E$2001)</f>
        <v>2</v>
      </c>
      <c r="E52" s="33">
        <f>SUMIF(صادر!$B$5:$B$2001,منتجات!A52,صادر!$E$4:$E$2001)</f>
        <v>0</v>
      </c>
      <c r="F52" s="33">
        <f t="shared" si="0"/>
        <v>20</v>
      </c>
      <c r="G52" s="33">
        <v>1</v>
      </c>
      <c r="H52" s="34">
        <f t="shared" si="2"/>
        <v>20</v>
      </c>
    </row>
    <row r="53" spans="1:8" ht="23.25" x14ac:dyDescent="0.35">
      <c r="A53" s="31" t="s">
        <v>366</v>
      </c>
      <c r="B53" s="32">
        <v>51</v>
      </c>
      <c r="C53" s="33">
        <v>10</v>
      </c>
      <c r="D53" s="33">
        <f>SUMIF(وارد!$B$3:$B$2001,منتجات!A53,وارد!$E$3:$E$2001)</f>
        <v>0</v>
      </c>
      <c r="E53" s="33">
        <f>SUMIF(صادر!$B$5:$B$2001,منتجات!A53,صادر!$E$4:$E$2001)</f>
        <v>0</v>
      </c>
      <c r="F53" s="33">
        <f t="shared" si="0"/>
        <v>0</v>
      </c>
      <c r="G53" s="33">
        <v>1</v>
      </c>
      <c r="H53" s="34">
        <f t="shared" si="2"/>
        <v>0</v>
      </c>
    </row>
    <row r="54" spans="1:8" ht="23.25" x14ac:dyDescent="0.35">
      <c r="A54" s="31" t="s">
        <v>367</v>
      </c>
      <c r="B54" s="32">
        <v>52</v>
      </c>
      <c r="C54" s="33">
        <v>10</v>
      </c>
      <c r="D54" s="33">
        <f>SUMIF(وارد!$B$3:$B$2001,منتجات!A54,وارد!$E$3:$E$2001)</f>
        <v>0</v>
      </c>
      <c r="E54" s="33">
        <f>SUMIF(صادر!$B$5:$B$2001,منتجات!A54,صادر!$E$4:$E$2001)</f>
        <v>0</v>
      </c>
      <c r="F54" s="33">
        <f t="shared" si="0"/>
        <v>0</v>
      </c>
      <c r="G54" s="33">
        <v>1</v>
      </c>
      <c r="H54" s="34">
        <f t="shared" si="2"/>
        <v>0</v>
      </c>
    </row>
    <row r="55" spans="1:8" x14ac:dyDescent="0.35">
      <c r="A55" s="36" t="s">
        <v>339</v>
      </c>
      <c r="B55" s="32">
        <v>53</v>
      </c>
      <c r="C55" s="33">
        <v>10</v>
      </c>
      <c r="D55" s="33">
        <f>SUMIF(وارد!$B$3:$B$2001,منتجات!A55,وارد!$E$3:$E$2001)</f>
        <v>0</v>
      </c>
      <c r="E55" s="33">
        <f>SUMIF(صادر!$B$5:$B$2001,منتجات!A55,صادر!$E$4:$E$2001)</f>
        <v>0</v>
      </c>
      <c r="F55" s="33">
        <f t="shared" si="0"/>
        <v>0</v>
      </c>
      <c r="G55" s="33">
        <v>1</v>
      </c>
      <c r="H55" s="34">
        <f t="shared" si="2"/>
        <v>0</v>
      </c>
    </row>
    <row r="56" spans="1:8" x14ac:dyDescent="0.35">
      <c r="A56" s="36"/>
      <c r="B56" s="32">
        <v>54</v>
      </c>
      <c r="C56" s="33">
        <v>10</v>
      </c>
      <c r="D56" s="33">
        <f>SUMIF(وارد!$B$3:$B$2001,منتجات!A56,وارد!$E$3:$E$2001)</f>
        <v>0</v>
      </c>
      <c r="E56" s="33">
        <f>SUMIF(صادر!$B$5:$B$2001,منتجات!A56,صادر!$E$4:$E$2001)</f>
        <v>0</v>
      </c>
      <c r="F56" s="33">
        <f t="shared" si="0"/>
        <v>0</v>
      </c>
      <c r="G56" s="33">
        <v>1</v>
      </c>
      <c r="H56" s="34">
        <f t="shared" si="2"/>
        <v>0</v>
      </c>
    </row>
    <row r="57" spans="1:8" ht="23.25" x14ac:dyDescent="0.35">
      <c r="A57" s="37" t="s">
        <v>368</v>
      </c>
      <c r="B57" s="32">
        <v>55</v>
      </c>
      <c r="C57" s="33">
        <v>10</v>
      </c>
      <c r="D57" s="33">
        <f>SUMIF(وارد!$B$3:$B$2001,منتجات!A57,وارد!$E$3:$E$2001)</f>
        <v>0</v>
      </c>
      <c r="E57" s="33">
        <f>SUMIF(صادر!$B$5:$B$2001,منتجات!A57,صادر!$E$4:$E$2001)</f>
        <v>0</v>
      </c>
      <c r="F57" s="33">
        <f t="shared" si="0"/>
        <v>0</v>
      </c>
      <c r="G57" s="33">
        <v>1</v>
      </c>
      <c r="H57" s="34">
        <f t="shared" si="2"/>
        <v>0</v>
      </c>
    </row>
    <row r="58" spans="1:8" ht="23.25" x14ac:dyDescent="0.35">
      <c r="A58" s="37" t="s">
        <v>369</v>
      </c>
      <c r="B58" s="32">
        <v>56</v>
      </c>
      <c r="C58" s="33">
        <v>10</v>
      </c>
      <c r="D58" s="33">
        <f>SUMIF(وارد!$B$3:$B$2001,منتجات!A58,وارد!$E$3:$E$2001)</f>
        <v>0</v>
      </c>
      <c r="E58" s="33">
        <f>SUMIF(صادر!$B$5:$B$2001,منتجات!A58,صادر!$E$4:$E$2001)</f>
        <v>0</v>
      </c>
      <c r="F58" s="33">
        <f t="shared" si="0"/>
        <v>0</v>
      </c>
      <c r="G58" s="33">
        <v>1</v>
      </c>
      <c r="H58" s="34">
        <f t="shared" si="2"/>
        <v>0</v>
      </c>
    </row>
    <row r="59" spans="1:8" ht="23.25" x14ac:dyDescent="0.35">
      <c r="A59" s="37" t="s">
        <v>370</v>
      </c>
      <c r="B59" s="32">
        <v>57</v>
      </c>
      <c r="C59" s="33">
        <v>10</v>
      </c>
      <c r="D59" s="33">
        <f>SUMIF(وارد!$B$3:$B$2001,منتجات!A59,وارد!$E$3:$E$2001)</f>
        <v>0</v>
      </c>
      <c r="E59" s="33">
        <f>SUMIF(صادر!$B$5:$B$2001,منتجات!A59,صادر!$E$4:$E$2001)</f>
        <v>0</v>
      </c>
      <c r="F59" s="33">
        <f t="shared" si="0"/>
        <v>0</v>
      </c>
      <c r="G59" s="33">
        <v>1</v>
      </c>
      <c r="H59" s="34">
        <f t="shared" si="2"/>
        <v>0</v>
      </c>
    </row>
    <row r="60" spans="1:8" ht="23.25" x14ac:dyDescent="0.35">
      <c r="A60" s="37" t="s">
        <v>371</v>
      </c>
      <c r="B60" s="32">
        <v>58</v>
      </c>
      <c r="C60" s="33">
        <v>10</v>
      </c>
      <c r="D60" s="33">
        <f>SUMIF(وارد!$B$3:$B$2001,منتجات!A60,وارد!$E$3:$E$2001)</f>
        <v>0</v>
      </c>
      <c r="E60" s="33">
        <f>SUMIF(صادر!$B$5:$B$2001,منتجات!A60,صادر!$E$4:$E$2001)</f>
        <v>0</v>
      </c>
      <c r="F60" s="33">
        <f t="shared" si="0"/>
        <v>0</v>
      </c>
      <c r="G60" s="33">
        <v>1</v>
      </c>
      <c r="H60" s="34">
        <f t="shared" si="2"/>
        <v>0</v>
      </c>
    </row>
    <row r="61" spans="1:8" ht="23.25" x14ac:dyDescent="0.35">
      <c r="A61" s="37" t="s">
        <v>372</v>
      </c>
      <c r="B61" s="32">
        <v>59</v>
      </c>
      <c r="C61" s="33">
        <v>10</v>
      </c>
      <c r="D61" s="33">
        <f>SUMIF(وارد!$B$3:$B$2001,منتجات!A61,وارد!$E$3:$E$2001)</f>
        <v>5</v>
      </c>
      <c r="E61" s="33">
        <f>SUMIF(صادر!$B$5:$B$2001,منتجات!A61,صادر!$E$4:$E$2001)</f>
        <v>0</v>
      </c>
      <c r="F61" s="33">
        <f t="shared" si="0"/>
        <v>50</v>
      </c>
      <c r="G61" s="33">
        <v>1</v>
      </c>
      <c r="H61" s="34">
        <f t="shared" si="2"/>
        <v>50</v>
      </c>
    </row>
    <row r="62" spans="1:8" ht="23.25" x14ac:dyDescent="0.35">
      <c r="A62" s="37" t="s">
        <v>373</v>
      </c>
      <c r="B62" s="32">
        <v>60</v>
      </c>
      <c r="C62" s="33">
        <v>10</v>
      </c>
      <c r="D62" s="33">
        <f>SUMIF(وارد!$B$3:$B$2001,منتجات!A62,وارد!$E$3:$E$2001)</f>
        <v>2</v>
      </c>
      <c r="E62" s="33">
        <f>SUMIF(صادر!$B$5:$B$2001,منتجات!A62,صادر!$E$4:$E$2001)</f>
        <v>0</v>
      </c>
      <c r="F62" s="33">
        <f t="shared" si="0"/>
        <v>20</v>
      </c>
      <c r="G62" s="33">
        <v>1</v>
      </c>
      <c r="H62" s="34">
        <f t="shared" si="2"/>
        <v>20</v>
      </c>
    </row>
    <row r="63" spans="1:8" ht="23.25" x14ac:dyDescent="0.35">
      <c r="A63" s="37" t="s">
        <v>374</v>
      </c>
      <c r="B63" s="32">
        <v>61</v>
      </c>
      <c r="C63" s="33">
        <v>10</v>
      </c>
      <c r="D63" s="33">
        <f>SUMIF(وارد!$B$3:$B$2001,منتجات!A63,وارد!$E$3:$E$2001)</f>
        <v>0</v>
      </c>
      <c r="E63" s="33">
        <f>SUMIF(صادر!$B$5:$B$2001,منتجات!A63,صادر!$E$4:$E$2001)</f>
        <v>0</v>
      </c>
      <c r="F63" s="33">
        <f t="shared" si="0"/>
        <v>0</v>
      </c>
      <c r="G63" s="33">
        <v>1</v>
      </c>
      <c r="H63" s="34">
        <f t="shared" si="2"/>
        <v>0</v>
      </c>
    </row>
    <row r="64" spans="1:8" ht="23.25" x14ac:dyDescent="0.35">
      <c r="A64" s="37" t="s">
        <v>375</v>
      </c>
      <c r="B64" s="32">
        <v>62</v>
      </c>
      <c r="C64" s="33">
        <v>10</v>
      </c>
      <c r="D64" s="33">
        <f>SUMIF(وارد!$B$3:$B$2001,منتجات!A64,وارد!$E$3:$E$2001)</f>
        <v>0</v>
      </c>
      <c r="E64" s="33">
        <f>SUMIF(صادر!$B$5:$B$2001,منتجات!A64,صادر!$E$4:$E$2001)</f>
        <v>0</v>
      </c>
      <c r="F64" s="33">
        <f t="shared" si="0"/>
        <v>0</v>
      </c>
      <c r="G64" s="33">
        <v>1</v>
      </c>
      <c r="H64" s="34">
        <f t="shared" si="2"/>
        <v>0</v>
      </c>
    </row>
    <row r="65" spans="1:8" ht="23.25" x14ac:dyDescent="0.35">
      <c r="A65" s="37" t="s">
        <v>376</v>
      </c>
      <c r="B65" s="32">
        <v>63</v>
      </c>
      <c r="C65" s="33">
        <v>10</v>
      </c>
      <c r="D65" s="33">
        <f>SUMIF(وارد!$B$3:$B$2001,منتجات!A65,وارد!$E$3:$E$2001)</f>
        <v>0</v>
      </c>
      <c r="E65" s="33">
        <f>SUMIF(صادر!$B$5:$B$2001,منتجات!A65,صادر!$E$4:$E$2001)</f>
        <v>0</v>
      </c>
      <c r="F65" s="33">
        <f t="shared" si="0"/>
        <v>0</v>
      </c>
      <c r="G65" s="33">
        <v>1</v>
      </c>
      <c r="H65" s="34">
        <f t="shared" si="2"/>
        <v>0</v>
      </c>
    </row>
    <row r="66" spans="1:8" ht="23.25" x14ac:dyDescent="0.35">
      <c r="A66" s="31" t="s">
        <v>455</v>
      </c>
      <c r="B66" s="32">
        <v>64</v>
      </c>
      <c r="C66" s="33">
        <v>10</v>
      </c>
      <c r="D66" s="33">
        <f>SUMIF(وارد!$B$3:$B$2001,منتجات!A66,وارد!$E$3:$E$2001)</f>
        <v>5</v>
      </c>
      <c r="E66" s="33">
        <f>SUMIF(صادر!$B$5:$B$2001,منتجات!A66,صادر!$E$4:$E$2001)</f>
        <v>0</v>
      </c>
      <c r="F66" s="33">
        <f t="shared" si="0"/>
        <v>50</v>
      </c>
      <c r="G66" s="33">
        <v>1</v>
      </c>
      <c r="H66" s="34">
        <f t="shared" ref="H66:H69" si="3">F66*G66</f>
        <v>50</v>
      </c>
    </row>
    <row r="67" spans="1:8" ht="23.25" x14ac:dyDescent="0.35">
      <c r="A67" s="37" t="s">
        <v>377</v>
      </c>
      <c r="B67" s="32">
        <v>65</v>
      </c>
      <c r="C67" s="33">
        <v>10</v>
      </c>
      <c r="D67" s="33">
        <f>SUMIF(وارد!$B$3:$B$2001,منتجات!A67,وارد!$E$3:$E$2001)</f>
        <v>0</v>
      </c>
      <c r="E67" s="33">
        <f>SUMIF(صادر!$B$5:$B$2001,منتجات!A67,صادر!$E$4:$E$2001)</f>
        <v>0</v>
      </c>
      <c r="F67" s="33">
        <f t="shared" si="0"/>
        <v>0</v>
      </c>
      <c r="G67" s="33">
        <v>1</v>
      </c>
      <c r="H67" s="34">
        <f t="shared" si="3"/>
        <v>0</v>
      </c>
    </row>
    <row r="68" spans="1:8" ht="23.25" x14ac:dyDescent="0.35">
      <c r="A68" s="37" t="s">
        <v>339</v>
      </c>
      <c r="B68" s="32">
        <v>66</v>
      </c>
      <c r="C68" s="33">
        <v>10</v>
      </c>
      <c r="D68" s="33">
        <f>SUMIF(وارد!$B$3:$B$2001,منتجات!A68,وارد!$E$3:$E$2001)</f>
        <v>0</v>
      </c>
      <c r="E68" s="33">
        <f>SUMIF(صادر!$B$5:$B$2001,منتجات!A68,صادر!$E$4:$E$2001)</f>
        <v>0</v>
      </c>
      <c r="F68" s="33">
        <f t="shared" ref="F68:F131" si="4">(D68*C68)-E68</f>
        <v>0</v>
      </c>
      <c r="G68" s="33">
        <v>1</v>
      </c>
      <c r="H68" s="34">
        <f t="shared" si="3"/>
        <v>0</v>
      </c>
    </row>
    <row r="69" spans="1:8" ht="23.25" x14ac:dyDescent="0.35">
      <c r="A69" s="31"/>
      <c r="B69" s="32">
        <v>67</v>
      </c>
      <c r="C69" s="33">
        <v>10</v>
      </c>
      <c r="D69" s="33">
        <f>SUMIF(وارد!$B$3:$B$2001,منتجات!A69,وارد!$E$3:$E$2001)</f>
        <v>0</v>
      </c>
      <c r="E69" s="33">
        <f>SUMIF(صادر!$B$5:$B$2001,منتجات!A69,صادر!$E$4:$E$2001)</f>
        <v>0</v>
      </c>
      <c r="F69" s="33">
        <f t="shared" si="4"/>
        <v>0</v>
      </c>
      <c r="G69" s="33">
        <v>1</v>
      </c>
      <c r="H69" s="34">
        <f t="shared" si="3"/>
        <v>0</v>
      </c>
    </row>
    <row r="70" spans="1:8" ht="23.25" x14ac:dyDescent="0.35">
      <c r="A70" s="37" t="s">
        <v>378</v>
      </c>
      <c r="B70" s="32">
        <v>68</v>
      </c>
      <c r="C70" s="33">
        <v>10</v>
      </c>
      <c r="D70" s="33">
        <f>SUMIF(وارد!$B$3:$B$2001,منتجات!A70,وارد!$E$3:$E$2001)</f>
        <v>0</v>
      </c>
      <c r="E70" s="33">
        <f>SUMIF(صادر!$B$5:$B$2001,منتجات!A70,صادر!$E$4:$E$2001)</f>
        <v>0</v>
      </c>
      <c r="F70" s="33">
        <f t="shared" si="4"/>
        <v>0</v>
      </c>
      <c r="G70" s="33">
        <v>1</v>
      </c>
      <c r="H70" s="34">
        <f t="shared" ref="H70:H133" si="5">F70*G70</f>
        <v>0</v>
      </c>
    </row>
    <row r="71" spans="1:8" ht="23.25" x14ac:dyDescent="0.35">
      <c r="A71" s="37" t="s">
        <v>379</v>
      </c>
      <c r="B71" s="32">
        <v>69</v>
      </c>
      <c r="C71" s="33">
        <v>10</v>
      </c>
      <c r="D71" s="33">
        <f>SUMIF(وارد!$B$3:$B$2001,منتجات!A71,وارد!$E$3:$E$2001)</f>
        <v>0</v>
      </c>
      <c r="E71" s="33">
        <f>SUMIF(صادر!$B$5:$B$2001,منتجات!A71,صادر!$E$4:$E$2001)</f>
        <v>0</v>
      </c>
      <c r="F71" s="33">
        <f t="shared" si="4"/>
        <v>0</v>
      </c>
      <c r="G71" s="33">
        <v>1</v>
      </c>
      <c r="H71" s="34">
        <f t="shared" si="5"/>
        <v>0</v>
      </c>
    </row>
    <row r="72" spans="1:8" ht="23.25" x14ac:dyDescent="0.35">
      <c r="A72" s="37" t="s">
        <v>380</v>
      </c>
      <c r="B72" s="32">
        <v>70</v>
      </c>
      <c r="C72" s="33">
        <v>10</v>
      </c>
      <c r="D72" s="33">
        <f>SUMIF(وارد!$B$3:$B$2001,منتجات!A72,وارد!$E$3:$E$2001)</f>
        <v>0</v>
      </c>
      <c r="E72" s="33">
        <f>SUMIF(صادر!$B$5:$B$2001,منتجات!A72,صادر!$E$4:$E$2001)</f>
        <v>0</v>
      </c>
      <c r="F72" s="33">
        <f t="shared" si="4"/>
        <v>0</v>
      </c>
      <c r="G72" s="33">
        <v>1</v>
      </c>
      <c r="H72" s="34">
        <f t="shared" si="5"/>
        <v>0</v>
      </c>
    </row>
    <row r="73" spans="1:8" ht="23.25" x14ac:dyDescent="0.35">
      <c r="A73" s="37" t="s">
        <v>381</v>
      </c>
      <c r="B73" s="32">
        <v>71</v>
      </c>
      <c r="C73" s="33">
        <v>10</v>
      </c>
      <c r="D73" s="33">
        <f>SUMIF(وارد!$B$3:$B$2001,منتجات!A73,وارد!$E$3:$E$2001)</f>
        <v>0</v>
      </c>
      <c r="E73" s="33">
        <f>SUMIF(صادر!$B$5:$B$2001,منتجات!A73,صادر!$E$4:$E$2001)</f>
        <v>0</v>
      </c>
      <c r="F73" s="33">
        <f t="shared" si="4"/>
        <v>0</v>
      </c>
      <c r="G73" s="33">
        <v>1</v>
      </c>
      <c r="H73" s="34">
        <f t="shared" si="5"/>
        <v>0</v>
      </c>
    </row>
    <row r="74" spans="1:8" ht="23.25" x14ac:dyDescent="0.35">
      <c r="A74" s="37" t="s">
        <v>382</v>
      </c>
      <c r="B74" s="32">
        <v>72</v>
      </c>
      <c r="C74" s="33">
        <v>10</v>
      </c>
      <c r="D74" s="33">
        <f>SUMIF(وارد!$B$3:$B$2001,منتجات!A74,وارد!$E$3:$E$2001)</f>
        <v>0</v>
      </c>
      <c r="E74" s="33">
        <f>SUMIF(صادر!$B$5:$B$2001,منتجات!A74,صادر!$E$4:$E$2001)</f>
        <v>0</v>
      </c>
      <c r="F74" s="33">
        <f t="shared" si="4"/>
        <v>0</v>
      </c>
      <c r="G74" s="33">
        <v>1</v>
      </c>
      <c r="H74" s="34">
        <f t="shared" si="5"/>
        <v>0</v>
      </c>
    </row>
    <row r="75" spans="1:8" ht="23.25" x14ac:dyDescent="0.35">
      <c r="A75" s="37" t="s">
        <v>383</v>
      </c>
      <c r="B75" s="32">
        <v>73</v>
      </c>
      <c r="C75" s="33">
        <v>10</v>
      </c>
      <c r="D75" s="33">
        <f>SUMIF(وارد!$B$3:$B$2001,منتجات!A75,وارد!$E$3:$E$2001)</f>
        <v>0</v>
      </c>
      <c r="E75" s="33">
        <f>SUMIF(صادر!$B$5:$B$2001,منتجات!A75,صادر!$E$4:$E$2001)</f>
        <v>0</v>
      </c>
      <c r="F75" s="33">
        <f t="shared" si="4"/>
        <v>0</v>
      </c>
      <c r="G75" s="33">
        <v>1</v>
      </c>
      <c r="H75" s="34">
        <f t="shared" si="5"/>
        <v>0</v>
      </c>
    </row>
    <row r="76" spans="1:8" ht="23.25" x14ac:dyDescent="0.35">
      <c r="A76" s="37" t="s">
        <v>384</v>
      </c>
      <c r="B76" s="32">
        <v>74</v>
      </c>
      <c r="C76" s="33">
        <v>10</v>
      </c>
      <c r="D76" s="33">
        <f>SUMIF(وارد!$B$3:$B$2001,منتجات!A76,وارد!$E$3:$E$2001)</f>
        <v>0</v>
      </c>
      <c r="E76" s="33">
        <f>SUMIF(صادر!$B$5:$B$2001,منتجات!A76,صادر!$E$4:$E$2001)</f>
        <v>0</v>
      </c>
      <c r="F76" s="33">
        <f t="shared" si="4"/>
        <v>0</v>
      </c>
      <c r="G76" s="33">
        <v>1</v>
      </c>
      <c r="H76" s="34">
        <f t="shared" si="5"/>
        <v>0</v>
      </c>
    </row>
    <row r="77" spans="1:8" ht="23.25" x14ac:dyDescent="0.35">
      <c r="A77" s="37" t="s">
        <v>385</v>
      </c>
      <c r="B77" s="32">
        <v>75</v>
      </c>
      <c r="C77" s="33">
        <v>10</v>
      </c>
      <c r="D77" s="33">
        <f>SUMIF(وارد!$B$3:$B$2001,منتجات!A77,وارد!$E$3:$E$2001)</f>
        <v>0</v>
      </c>
      <c r="E77" s="33">
        <f>SUMIF(صادر!$B$5:$B$2001,منتجات!A77,صادر!$E$4:$E$2001)</f>
        <v>0</v>
      </c>
      <c r="F77" s="33">
        <f t="shared" si="4"/>
        <v>0</v>
      </c>
      <c r="G77" s="33">
        <v>1</v>
      </c>
      <c r="H77" s="34">
        <f t="shared" si="5"/>
        <v>0</v>
      </c>
    </row>
    <row r="78" spans="1:8" ht="23.25" x14ac:dyDescent="0.35">
      <c r="A78" s="37" t="s">
        <v>386</v>
      </c>
      <c r="B78" s="32">
        <v>76</v>
      </c>
      <c r="C78" s="33">
        <v>10</v>
      </c>
      <c r="D78" s="33">
        <f>SUMIF(وارد!$B$3:$B$2001,منتجات!A78,وارد!$E$3:$E$2001)</f>
        <v>0</v>
      </c>
      <c r="E78" s="33">
        <f>SUMIF(صادر!$B$5:$B$2001,منتجات!A78,صادر!$E$4:$E$2001)</f>
        <v>0</v>
      </c>
      <c r="F78" s="33">
        <f t="shared" si="4"/>
        <v>0</v>
      </c>
      <c r="G78" s="33">
        <v>1</v>
      </c>
      <c r="H78" s="34">
        <f t="shared" si="5"/>
        <v>0</v>
      </c>
    </row>
    <row r="79" spans="1:8" ht="23.25" x14ac:dyDescent="0.35">
      <c r="A79" s="37" t="s">
        <v>387</v>
      </c>
      <c r="B79" s="32">
        <v>77</v>
      </c>
      <c r="C79" s="33">
        <v>10</v>
      </c>
      <c r="D79" s="33">
        <f>SUMIF(وارد!$B$3:$B$2001,منتجات!A79,وارد!$E$3:$E$2001)</f>
        <v>0</v>
      </c>
      <c r="E79" s="33">
        <f>SUMIF(صادر!$B$5:$B$2001,منتجات!A79,صادر!$E$4:$E$2001)</f>
        <v>0</v>
      </c>
      <c r="F79" s="33">
        <f t="shared" si="4"/>
        <v>0</v>
      </c>
      <c r="G79" s="33">
        <v>1</v>
      </c>
      <c r="H79" s="34">
        <f t="shared" si="5"/>
        <v>0</v>
      </c>
    </row>
    <row r="80" spans="1:8" ht="23.25" x14ac:dyDescent="0.35">
      <c r="A80" s="37" t="s">
        <v>388</v>
      </c>
      <c r="B80" s="32">
        <v>78</v>
      </c>
      <c r="C80" s="33">
        <v>10</v>
      </c>
      <c r="D80" s="33">
        <f>SUMIF(وارد!$B$3:$B$2001,منتجات!A80,وارد!$E$3:$E$2001)</f>
        <v>0</v>
      </c>
      <c r="E80" s="33">
        <f>SUMIF(صادر!$B$5:$B$2001,منتجات!A80,صادر!$E$4:$E$2001)</f>
        <v>0</v>
      </c>
      <c r="F80" s="33">
        <f t="shared" si="4"/>
        <v>0</v>
      </c>
      <c r="G80" s="33">
        <v>1</v>
      </c>
      <c r="H80" s="34">
        <f t="shared" si="5"/>
        <v>0</v>
      </c>
    </row>
    <row r="81" spans="1:8" ht="23.25" x14ac:dyDescent="0.35">
      <c r="A81" s="31" t="s">
        <v>389</v>
      </c>
      <c r="B81" s="32">
        <v>79</v>
      </c>
      <c r="C81" s="33">
        <v>10</v>
      </c>
      <c r="D81" s="33">
        <f>SUMIF(وارد!$B$3:$B$2001,منتجات!A81,وارد!$E$3:$E$2001)</f>
        <v>0</v>
      </c>
      <c r="E81" s="33">
        <f>SUMIF(صادر!$B$5:$B$2001,منتجات!A81,صادر!$E$4:$E$2001)</f>
        <v>0</v>
      </c>
      <c r="F81" s="33">
        <f t="shared" si="4"/>
        <v>0</v>
      </c>
      <c r="G81" s="33">
        <v>1</v>
      </c>
      <c r="H81" s="34">
        <f t="shared" si="5"/>
        <v>0</v>
      </c>
    </row>
    <row r="82" spans="1:8" ht="23.25" x14ac:dyDescent="0.35">
      <c r="A82" s="31" t="s">
        <v>390</v>
      </c>
      <c r="B82" s="32">
        <v>80</v>
      </c>
      <c r="C82" s="33">
        <v>10</v>
      </c>
      <c r="D82" s="33">
        <f>SUMIF(وارد!$B$3:$B$2001,منتجات!A82,وارد!$E$3:$E$2001)</f>
        <v>0</v>
      </c>
      <c r="E82" s="33">
        <f>SUMIF(صادر!$B$5:$B$2001,منتجات!A82,صادر!$E$4:$E$2001)</f>
        <v>0</v>
      </c>
      <c r="F82" s="33">
        <f t="shared" si="4"/>
        <v>0</v>
      </c>
      <c r="G82" s="33">
        <v>1</v>
      </c>
      <c r="H82" s="34">
        <f t="shared" si="5"/>
        <v>0</v>
      </c>
    </row>
    <row r="83" spans="1:8" ht="23.25" x14ac:dyDescent="0.35">
      <c r="A83" s="31" t="s">
        <v>391</v>
      </c>
      <c r="B83" s="32">
        <v>81</v>
      </c>
      <c r="C83" s="33">
        <v>10</v>
      </c>
      <c r="D83" s="33">
        <f>SUMIF(وارد!$B$3:$B$2001,منتجات!A83,وارد!$E$3:$E$2001)</f>
        <v>0</v>
      </c>
      <c r="E83" s="33">
        <f>SUMIF(صادر!$B$5:$B$2001,منتجات!A83,صادر!$E$4:$E$2001)</f>
        <v>0</v>
      </c>
      <c r="F83" s="33">
        <f t="shared" si="4"/>
        <v>0</v>
      </c>
      <c r="G83" s="33">
        <v>1</v>
      </c>
      <c r="H83" s="34">
        <f t="shared" si="5"/>
        <v>0</v>
      </c>
    </row>
    <row r="84" spans="1:8" ht="23.25" x14ac:dyDescent="0.35">
      <c r="A84" s="31" t="s">
        <v>392</v>
      </c>
      <c r="B84" s="32">
        <v>82</v>
      </c>
      <c r="C84" s="33">
        <v>10</v>
      </c>
      <c r="D84" s="33">
        <f>SUMIF(وارد!$B$3:$B$2001,منتجات!A84,وارد!$E$3:$E$2001)</f>
        <v>0</v>
      </c>
      <c r="E84" s="33">
        <f>SUMIF(صادر!$B$5:$B$2001,منتجات!A84,صادر!$E$4:$E$2001)</f>
        <v>0</v>
      </c>
      <c r="F84" s="33">
        <f t="shared" si="4"/>
        <v>0</v>
      </c>
      <c r="G84" s="33">
        <v>1</v>
      </c>
      <c r="H84" s="34">
        <f t="shared" si="5"/>
        <v>0</v>
      </c>
    </row>
    <row r="85" spans="1:8" ht="23.25" x14ac:dyDescent="0.35">
      <c r="A85" s="31" t="s">
        <v>393</v>
      </c>
      <c r="B85" s="32">
        <v>83</v>
      </c>
      <c r="C85" s="33">
        <v>10</v>
      </c>
      <c r="D85" s="33">
        <f>SUMIF(وارد!$B$3:$B$2001,منتجات!A85,وارد!$E$3:$E$2001)</f>
        <v>0</v>
      </c>
      <c r="E85" s="33">
        <f>SUMIF(صادر!$B$5:$B$2001,منتجات!A85,صادر!$E$4:$E$2001)</f>
        <v>0</v>
      </c>
      <c r="F85" s="33">
        <f t="shared" si="4"/>
        <v>0</v>
      </c>
      <c r="G85" s="33">
        <v>1</v>
      </c>
      <c r="H85" s="34">
        <f t="shared" si="5"/>
        <v>0</v>
      </c>
    </row>
    <row r="86" spans="1:8" ht="23.25" x14ac:dyDescent="0.35">
      <c r="A86" s="31" t="s">
        <v>339</v>
      </c>
      <c r="B86" s="32">
        <v>84</v>
      </c>
      <c r="C86" s="33">
        <v>10</v>
      </c>
      <c r="D86" s="33">
        <f>SUMIF(وارد!$B$3:$B$2001,منتجات!A86,وارد!$E$3:$E$2001)</f>
        <v>0</v>
      </c>
      <c r="E86" s="33">
        <f>SUMIF(صادر!$B$5:$B$2001,منتجات!A86,صادر!$E$4:$E$2001)</f>
        <v>0</v>
      </c>
      <c r="F86" s="33">
        <f t="shared" si="4"/>
        <v>0</v>
      </c>
      <c r="G86" s="33">
        <v>1</v>
      </c>
      <c r="H86" s="34">
        <f t="shared" si="5"/>
        <v>0</v>
      </c>
    </row>
    <row r="87" spans="1:8" ht="23.25" x14ac:dyDescent="0.35">
      <c r="A87" s="31"/>
      <c r="B87" s="32">
        <v>85</v>
      </c>
      <c r="C87" s="33">
        <v>10</v>
      </c>
      <c r="D87" s="33">
        <f>SUMIF(وارد!$B$3:$B$2001,منتجات!A87,وارد!$E$3:$E$2001)</f>
        <v>0</v>
      </c>
      <c r="E87" s="33">
        <f>SUMIF(صادر!$B$5:$B$2001,منتجات!A87,صادر!$E$4:$E$2001)</f>
        <v>0</v>
      </c>
      <c r="F87" s="33">
        <f t="shared" si="4"/>
        <v>0</v>
      </c>
      <c r="G87" s="33">
        <v>1</v>
      </c>
      <c r="H87" s="34">
        <f t="shared" si="5"/>
        <v>0</v>
      </c>
    </row>
    <row r="88" spans="1:8" ht="23.25" x14ac:dyDescent="0.35">
      <c r="A88" s="37" t="s">
        <v>394</v>
      </c>
      <c r="B88" s="32">
        <v>86</v>
      </c>
      <c r="C88" s="33">
        <v>10</v>
      </c>
      <c r="D88" s="33">
        <f>SUMIF(وارد!$B$3:$B$2001,منتجات!A88,وارد!$E$3:$E$2001)</f>
        <v>4</v>
      </c>
      <c r="E88" s="33">
        <f>SUMIF(صادر!$B$5:$B$2001,منتجات!A88,صادر!$E$4:$E$2001)</f>
        <v>0</v>
      </c>
      <c r="F88" s="33">
        <f t="shared" si="4"/>
        <v>40</v>
      </c>
      <c r="G88" s="33">
        <v>1</v>
      </c>
      <c r="H88" s="34">
        <f t="shared" si="5"/>
        <v>40</v>
      </c>
    </row>
    <row r="89" spans="1:8" ht="23.25" x14ac:dyDescent="0.35">
      <c r="A89" s="35" t="s">
        <v>395</v>
      </c>
      <c r="B89" s="32">
        <v>87</v>
      </c>
      <c r="C89" s="33">
        <v>10</v>
      </c>
      <c r="D89" s="33">
        <f>SUMIF(وارد!$B$3:$B$2001,منتجات!A89,وارد!$E$3:$E$2001)</f>
        <v>0</v>
      </c>
      <c r="E89" s="33">
        <f>SUMIF(صادر!$B$5:$B$2001,منتجات!A89,صادر!$E$4:$E$2001)</f>
        <v>0</v>
      </c>
      <c r="F89" s="33">
        <f t="shared" si="4"/>
        <v>0</v>
      </c>
      <c r="G89" s="33">
        <v>1</v>
      </c>
      <c r="H89" s="34">
        <f t="shared" si="5"/>
        <v>0</v>
      </c>
    </row>
    <row r="90" spans="1:8" ht="23.25" x14ac:dyDescent="0.35">
      <c r="A90" s="35" t="s">
        <v>396</v>
      </c>
      <c r="B90" s="32">
        <v>88</v>
      </c>
      <c r="C90" s="33">
        <v>10</v>
      </c>
      <c r="D90" s="33">
        <f>SUMIF(وارد!$B$3:$B$2001,منتجات!A90,وارد!$E$3:$E$2001)</f>
        <v>0</v>
      </c>
      <c r="E90" s="33">
        <f>SUMIF(صادر!$B$5:$B$2001,منتجات!A90,صادر!$E$4:$E$2001)</f>
        <v>0</v>
      </c>
      <c r="F90" s="33">
        <f t="shared" si="4"/>
        <v>0</v>
      </c>
      <c r="G90" s="33">
        <v>1</v>
      </c>
      <c r="H90" s="34">
        <f t="shared" si="5"/>
        <v>0</v>
      </c>
    </row>
    <row r="91" spans="1:8" ht="23.25" x14ac:dyDescent="0.35">
      <c r="A91" s="35" t="s">
        <v>397</v>
      </c>
      <c r="B91" s="32">
        <v>89</v>
      </c>
      <c r="C91" s="33">
        <v>10</v>
      </c>
      <c r="D91" s="33">
        <f>SUMIF(وارد!$B$3:$B$2001,منتجات!A91,وارد!$E$3:$E$2001)</f>
        <v>0</v>
      </c>
      <c r="E91" s="33">
        <f>SUMIF(صادر!$B$5:$B$2001,منتجات!A91,صادر!$E$4:$E$2001)</f>
        <v>0</v>
      </c>
      <c r="F91" s="33">
        <f t="shared" si="4"/>
        <v>0</v>
      </c>
      <c r="G91" s="33">
        <v>1</v>
      </c>
      <c r="H91" s="34">
        <f t="shared" si="5"/>
        <v>0</v>
      </c>
    </row>
    <row r="92" spans="1:8" ht="23.25" x14ac:dyDescent="0.35">
      <c r="A92" s="35" t="s">
        <v>398</v>
      </c>
      <c r="B92" s="32">
        <v>90</v>
      </c>
      <c r="C92" s="33">
        <v>10</v>
      </c>
      <c r="D92" s="33">
        <f>SUMIF(وارد!$B$3:$B$2001,منتجات!A92,وارد!$E$3:$E$2001)</f>
        <v>0</v>
      </c>
      <c r="E92" s="33">
        <f>SUMIF(صادر!$B$5:$B$2001,منتجات!A92,صادر!$E$4:$E$2001)</f>
        <v>0</v>
      </c>
      <c r="F92" s="33">
        <f t="shared" si="4"/>
        <v>0</v>
      </c>
      <c r="G92" s="33">
        <v>1</v>
      </c>
      <c r="H92" s="34">
        <f t="shared" si="5"/>
        <v>0</v>
      </c>
    </row>
    <row r="93" spans="1:8" ht="23.25" x14ac:dyDescent="0.35">
      <c r="A93" s="35" t="s">
        <v>399</v>
      </c>
      <c r="B93" s="32">
        <v>91</v>
      </c>
      <c r="C93" s="33">
        <v>10</v>
      </c>
      <c r="D93" s="33">
        <f>SUMIF(وارد!$B$3:$B$2001,منتجات!A93,وارد!$E$3:$E$2001)</f>
        <v>0</v>
      </c>
      <c r="E93" s="33">
        <f>SUMIF(صادر!$B$5:$B$2001,منتجات!A93,صادر!$E$4:$E$2001)</f>
        <v>0</v>
      </c>
      <c r="F93" s="33">
        <f t="shared" si="4"/>
        <v>0</v>
      </c>
      <c r="G93" s="33">
        <v>1</v>
      </c>
      <c r="H93" s="34">
        <f t="shared" si="5"/>
        <v>0</v>
      </c>
    </row>
    <row r="94" spans="1:8" ht="23.25" x14ac:dyDescent="0.35">
      <c r="A94" s="35" t="s">
        <v>400</v>
      </c>
      <c r="B94" s="32">
        <v>92</v>
      </c>
      <c r="C94" s="33">
        <v>10</v>
      </c>
      <c r="D94" s="33">
        <f>SUMIF(وارد!$B$3:$B$2001,منتجات!A94,وارد!$E$3:$E$2001)</f>
        <v>0</v>
      </c>
      <c r="E94" s="33">
        <f>SUMIF(صادر!$B$5:$B$2001,منتجات!A94,صادر!$E$4:$E$2001)</f>
        <v>0</v>
      </c>
      <c r="F94" s="33">
        <f t="shared" si="4"/>
        <v>0</v>
      </c>
      <c r="G94" s="33">
        <v>1</v>
      </c>
      <c r="H94" s="34">
        <f t="shared" si="5"/>
        <v>0</v>
      </c>
    </row>
    <row r="95" spans="1:8" ht="23.25" x14ac:dyDescent="0.35">
      <c r="A95" s="35" t="s">
        <v>401</v>
      </c>
      <c r="B95" s="32">
        <v>93</v>
      </c>
      <c r="C95" s="33">
        <v>10</v>
      </c>
      <c r="D95" s="33">
        <f>SUMIF(وارد!$B$3:$B$2001,منتجات!A95,وارد!$E$3:$E$2001)</f>
        <v>0</v>
      </c>
      <c r="E95" s="33">
        <f>SUMIF(صادر!$B$5:$B$2001,منتجات!A95,صادر!$E$4:$E$2001)</f>
        <v>0</v>
      </c>
      <c r="F95" s="33">
        <f t="shared" si="4"/>
        <v>0</v>
      </c>
      <c r="G95" s="33">
        <v>1</v>
      </c>
      <c r="H95" s="34">
        <f t="shared" si="5"/>
        <v>0</v>
      </c>
    </row>
    <row r="96" spans="1:8" ht="23.25" x14ac:dyDescent="0.35">
      <c r="A96" s="35" t="s">
        <v>402</v>
      </c>
      <c r="B96" s="32">
        <v>94</v>
      </c>
      <c r="C96" s="33">
        <v>10</v>
      </c>
      <c r="D96" s="33">
        <f>SUMIF(وارد!$B$3:$B$2001,منتجات!A96,وارد!$E$3:$E$2001)</f>
        <v>0</v>
      </c>
      <c r="E96" s="33">
        <f>SUMIF(صادر!$B$5:$B$2001,منتجات!A96,صادر!$E$4:$E$2001)</f>
        <v>0</v>
      </c>
      <c r="F96" s="33">
        <f t="shared" si="4"/>
        <v>0</v>
      </c>
      <c r="G96" s="33">
        <v>1</v>
      </c>
      <c r="H96" s="34">
        <f t="shared" si="5"/>
        <v>0</v>
      </c>
    </row>
    <row r="97" spans="1:8" ht="23.25" x14ac:dyDescent="0.35">
      <c r="A97" s="35" t="s">
        <v>403</v>
      </c>
      <c r="B97" s="32">
        <v>95</v>
      </c>
      <c r="C97" s="33">
        <v>10</v>
      </c>
      <c r="D97" s="33">
        <f>SUMIF(وارد!$B$3:$B$2001,منتجات!A97,وارد!$E$3:$E$2001)</f>
        <v>0</v>
      </c>
      <c r="E97" s="33">
        <f>SUMIF(صادر!$B$5:$B$2001,منتجات!A97,صادر!$E$4:$E$2001)</f>
        <v>0</v>
      </c>
      <c r="F97" s="33">
        <f t="shared" si="4"/>
        <v>0</v>
      </c>
      <c r="G97" s="33">
        <v>1</v>
      </c>
      <c r="H97" s="34">
        <f t="shared" si="5"/>
        <v>0</v>
      </c>
    </row>
    <row r="98" spans="1:8" ht="23.25" x14ac:dyDescent="0.35">
      <c r="A98" s="35" t="s">
        <v>404</v>
      </c>
      <c r="B98" s="32">
        <v>96</v>
      </c>
      <c r="C98" s="33">
        <v>10</v>
      </c>
      <c r="D98" s="33">
        <f>SUMIF(وارد!$B$3:$B$2001,منتجات!A98,وارد!$E$3:$E$2001)</f>
        <v>0</v>
      </c>
      <c r="E98" s="33">
        <f>SUMIF(صادر!$B$5:$B$2001,منتجات!A98,صادر!$E$4:$E$2001)</f>
        <v>0</v>
      </c>
      <c r="F98" s="33">
        <f t="shared" si="4"/>
        <v>0</v>
      </c>
      <c r="G98" s="33">
        <v>1</v>
      </c>
      <c r="H98" s="34">
        <f t="shared" si="5"/>
        <v>0</v>
      </c>
    </row>
    <row r="99" spans="1:8" x14ac:dyDescent="0.35">
      <c r="A99" s="38" t="s">
        <v>339</v>
      </c>
      <c r="B99" s="32">
        <v>97</v>
      </c>
      <c r="C99" s="33">
        <v>10</v>
      </c>
      <c r="D99" s="33">
        <f>SUMIF(وارد!$B$3:$B$2001,منتجات!A99,وارد!$E$3:$E$2001)</f>
        <v>0</v>
      </c>
      <c r="E99" s="33">
        <f>SUMIF(صادر!$B$5:$B$2001,منتجات!A99,صادر!$E$4:$E$2001)</f>
        <v>0</v>
      </c>
      <c r="F99" s="33">
        <f t="shared" si="4"/>
        <v>0</v>
      </c>
      <c r="G99" s="33">
        <v>1</v>
      </c>
      <c r="H99" s="34">
        <f t="shared" si="5"/>
        <v>0</v>
      </c>
    </row>
    <row r="100" spans="1:8" x14ac:dyDescent="0.35">
      <c r="A100" s="36"/>
      <c r="B100" s="32">
        <v>98</v>
      </c>
      <c r="C100" s="33">
        <v>10</v>
      </c>
      <c r="D100" s="33">
        <f>SUMIF(وارد!$B$3:$B$2001,منتجات!A100,وارد!$E$3:$E$2001)</f>
        <v>0</v>
      </c>
      <c r="E100" s="33">
        <f>SUMIF(صادر!$B$5:$B$2001,منتجات!A100,صادر!$E$4:$E$2001)</f>
        <v>0</v>
      </c>
      <c r="F100" s="33">
        <f t="shared" si="4"/>
        <v>0</v>
      </c>
      <c r="G100" s="33">
        <v>1</v>
      </c>
      <c r="H100" s="34">
        <f t="shared" si="5"/>
        <v>0</v>
      </c>
    </row>
    <row r="101" spans="1:8" ht="23.25" x14ac:dyDescent="0.35">
      <c r="A101" s="37" t="s">
        <v>405</v>
      </c>
      <c r="B101" s="32">
        <v>99</v>
      </c>
      <c r="C101" s="33">
        <v>10</v>
      </c>
      <c r="D101" s="33">
        <f>SUMIF(وارد!$B$3:$B$2001,منتجات!A101,وارد!$E$3:$E$2001)</f>
        <v>0</v>
      </c>
      <c r="E101" s="33">
        <f>SUMIF(صادر!$B$5:$B$2001,منتجات!A101,صادر!$E$4:$E$2001)</f>
        <v>0</v>
      </c>
      <c r="F101" s="33">
        <f t="shared" si="4"/>
        <v>0</v>
      </c>
      <c r="G101" s="33">
        <v>1</v>
      </c>
      <c r="H101" s="34">
        <f t="shared" si="5"/>
        <v>0</v>
      </c>
    </row>
    <row r="102" spans="1:8" ht="23.25" x14ac:dyDescent="0.35">
      <c r="A102" s="37" t="s">
        <v>406</v>
      </c>
      <c r="B102" s="32">
        <v>100</v>
      </c>
      <c r="C102" s="33">
        <v>10</v>
      </c>
      <c r="D102" s="33">
        <f>SUMIF(وارد!$B$3:$B$2001,منتجات!A102,وارد!$E$3:$E$2001)</f>
        <v>0</v>
      </c>
      <c r="E102" s="33">
        <f>SUMIF(صادر!$B$5:$B$2001,منتجات!A102,صادر!$E$4:$E$2001)</f>
        <v>0</v>
      </c>
      <c r="F102" s="33">
        <f t="shared" si="4"/>
        <v>0</v>
      </c>
      <c r="G102" s="33">
        <v>1</v>
      </c>
      <c r="H102" s="34">
        <f t="shared" si="5"/>
        <v>0</v>
      </c>
    </row>
    <row r="103" spans="1:8" ht="23.25" x14ac:dyDescent="0.35">
      <c r="A103" s="37" t="s">
        <v>457</v>
      </c>
      <c r="B103" s="32">
        <v>101</v>
      </c>
      <c r="C103" s="33">
        <v>10</v>
      </c>
      <c r="D103" s="33">
        <f>SUMIF(وارد!$B$3:$B$2001,منتجات!A103,وارد!$E$3:$E$2001)</f>
        <v>2</v>
      </c>
      <c r="E103" s="33">
        <f>SUMIF(صادر!$B$5:$B$2001,منتجات!A103,صادر!$E$4:$E$2001)</f>
        <v>0</v>
      </c>
      <c r="F103" s="33">
        <f t="shared" si="4"/>
        <v>20</v>
      </c>
      <c r="G103" s="33">
        <v>1</v>
      </c>
      <c r="H103" s="34">
        <f t="shared" si="5"/>
        <v>20</v>
      </c>
    </row>
    <row r="104" spans="1:8" ht="23.25" x14ac:dyDescent="0.35">
      <c r="A104" s="37" t="s">
        <v>407</v>
      </c>
      <c r="B104" s="32">
        <v>102</v>
      </c>
      <c r="C104" s="33">
        <v>10</v>
      </c>
      <c r="D104" s="33">
        <f>SUMIF(وارد!$B$3:$B$2001,منتجات!A104,وارد!$E$3:$E$2001)</f>
        <v>1</v>
      </c>
      <c r="E104" s="33">
        <f>SUMIF(صادر!$B$5:$B$2001,منتجات!A104,صادر!$E$4:$E$2001)</f>
        <v>0</v>
      </c>
      <c r="F104" s="33">
        <f t="shared" si="4"/>
        <v>10</v>
      </c>
      <c r="G104" s="33">
        <v>1</v>
      </c>
      <c r="H104" s="34">
        <f t="shared" si="5"/>
        <v>10</v>
      </c>
    </row>
    <row r="105" spans="1:8" ht="23.25" x14ac:dyDescent="0.35">
      <c r="A105" s="37" t="s">
        <v>408</v>
      </c>
      <c r="B105" s="32">
        <v>103</v>
      </c>
      <c r="C105" s="33">
        <v>10</v>
      </c>
      <c r="D105" s="33">
        <f>SUMIF(وارد!$B$3:$B$2001,منتجات!A105,وارد!$E$3:$E$2001)</f>
        <v>0</v>
      </c>
      <c r="E105" s="33">
        <f>SUMIF(صادر!$B$5:$B$2001,منتجات!A105,صادر!$E$4:$E$2001)</f>
        <v>0</v>
      </c>
      <c r="F105" s="33">
        <f t="shared" si="4"/>
        <v>0</v>
      </c>
      <c r="G105" s="33">
        <v>1</v>
      </c>
      <c r="H105" s="34">
        <f t="shared" si="5"/>
        <v>0</v>
      </c>
    </row>
    <row r="106" spans="1:8" ht="23.25" x14ac:dyDescent="0.35">
      <c r="A106" s="37" t="s">
        <v>409</v>
      </c>
      <c r="B106" s="32">
        <v>104</v>
      </c>
      <c r="C106" s="33">
        <v>10</v>
      </c>
      <c r="D106" s="33">
        <f>SUMIF(وارد!$B$3:$B$2001,منتجات!A106,وارد!$E$3:$E$2001)</f>
        <v>0</v>
      </c>
      <c r="E106" s="33">
        <f>SUMIF(صادر!$B$5:$B$2001,منتجات!A106,صادر!$E$4:$E$2001)</f>
        <v>0</v>
      </c>
      <c r="F106" s="33">
        <f t="shared" si="4"/>
        <v>0</v>
      </c>
      <c r="G106" s="33">
        <v>1</v>
      </c>
      <c r="H106" s="34">
        <f t="shared" si="5"/>
        <v>0</v>
      </c>
    </row>
    <row r="107" spans="1:8" ht="23.25" x14ac:dyDescent="0.35">
      <c r="A107" s="37" t="s">
        <v>410</v>
      </c>
      <c r="B107" s="32">
        <v>105</v>
      </c>
      <c r="C107" s="33">
        <v>10</v>
      </c>
      <c r="D107" s="33">
        <f>SUMIF(وارد!$B$3:$B$2001,منتجات!A107,وارد!$E$3:$E$2001)</f>
        <v>0</v>
      </c>
      <c r="E107" s="33">
        <f>SUMIF(صادر!$B$5:$B$2001,منتجات!A107,صادر!$E$4:$E$2001)</f>
        <v>0</v>
      </c>
      <c r="F107" s="33">
        <f t="shared" si="4"/>
        <v>0</v>
      </c>
      <c r="G107" s="33">
        <v>1</v>
      </c>
      <c r="H107" s="34">
        <f t="shared" si="5"/>
        <v>0</v>
      </c>
    </row>
    <row r="108" spans="1:8" ht="23.25" x14ac:dyDescent="0.35">
      <c r="A108" s="37" t="s">
        <v>411</v>
      </c>
      <c r="B108" s="32">
        <v>106</v>
      </c>
      <c r="C108" s="33">
        <v>10</v>
      </c>
      <c r="D108" s="33">
        <f>SUMIF(وارد!$B$3:$B$2001,منتجات!A108,وارد!$E$3:$E$2001)</f>
        <v>0</v>
      </c>
      <c r="E108" s="33">
        <f>SUMIF(صادر!$B$5:$B$2001,منتجات!A108,صادر!$E$4:$E$2001)</f>
        <v>0</v>
      </c>
      <c r="F108" s="33">
        <f t="shared" si="4"/>
        <v>0</v>
      </c>
      <c r="G108" s="33">
        <v>1</v>
      </c>
      <c r="H108" s="34">
        <f t="shared" si="5"/>
        <v>0</v>
      </c>
    </row>
    <row r="109" spans="1:8" ht="23.25" x14ac:dyDescent="0.35">
      <c r="A109" s="37" t="s">
        <v>412</v>
      </c>
      <c r="B109" s="32">
        <v>107</v>
      </c>
      <c r="C109" s="33">
        <v>10</v>
      </c>
      <c r="D109" s="33">
        <f>SUMIF(وارد!$B$3:$B$2001,منتجات!A109,وارد!$E$3:$E$2001)</f>
        <v>0</v>
      </c>
      <c r="E109" s="33">
        <f>SUMIF(صادر!$B$5:$B$2001,منتجات!A109,صادر!$E$4:$E$2001)</f>
        <v>0</v>
      </c>
      <c r="F109" s="33">
        <f t="shared" si="4"/>
        <v>0</v>
      </c>
      <c r="G109" s="33">
        <v>1</v>
      </c>
      <c r="H109" s="34">
        <f t="shared" si="5"/>
        <v>0</v>
      </c>
    </row>
    <row r="110" spans="1:8" ht="23.25" x14ac:dyDescent="0.35">
      <c r="A110" s="37" t="s">
        <v>413</v>
      </c>
      <c r="B110" s="32">
        <v>108</v>
      </c>
      <c r="C110" s="33">
        <v>10</v>
      </c>
      <c r="D110" s="33">
        <f>SUMIF(وارد!$B$3:$B$2001,منتجات!A110,وارد!$E$3:$E$2001)</f>
        <v>0</v>
      </c>
      <c r="E110" s="33">
        <f>SUMIF(صادر!$B$5:$B$2001,منتجات!A110,صادر!$E$4:$E$2001)</f>
        <v>0</v>
      </c>
      <c r="F110" s="33">
        <f t="shared" si="4"/>
        <v>0</v>
      </c>
      <c r="G110" s="33">
        <v>1</v>
      </c>
      <c r="H110" s="34">
        <f t="shared" si="5"/>
        <v>0</v>
      </c>
    </row>
    <row r="111" spans="1:8" ht="23.25" x14ac:dyDescent="0.35">
      <c r="A111" s="37" t="s">
        <v>414</v>
      </c>
      <c r="B111" s="32">
        <v>109</v>
      </c>
      <c r="C111" s="33">
        <v>10</v>
      </c>
      <c r="D111" s="33">
        <f>SUMIF(وارد!$B$3:$B$2001,منتجات!A111,وارد!$E$3:$E$2001)</f>
        <v>0</v>
      </c>
      <c r="E111" s="33">
        <f>SUMIF(صادر!$B$5:$B$2001,منتجات!A111,صادر!$E$4:$E$2001)</f>
        <v>0</v>
      </c>
      <c r="F111" s="33">
        <f t="shared" si="4"/>
        <v>0</v>
      </c>
      <c r="G111" s="33">
        <v>1</v>
      </c>
      <c r="H111" s="34">
        <f t="shared" si="5"/>
        <v>0</v>
      </c>
    </row>
    <row r="112" spans="1:8" ht="23.25" x14ac:dyDescent="0.35">
      <c r="A112" s="37" t="s">
        <v>415</v>
      </c>
      <c r="B112" s="32">
        <v>110</v>
      </c>
      <c r="C112" s="33">
        <v>10</v>
      </c>
      <c r="D112" s="33">
        <f>SUMIF(وارد!$B$3:$B$2001,منتجات!A112,وارد!$E$3:$E$2001)</f>
        <v>2</v>
      </c>
      <c r="E112" s="33">
        <f>SUMIF(صادر!$B$5:$B$2001,منتجات!A112,صادر!$E$4:$E$2001)</f>
        <v>2</v>
      </c>
      <c r="F112" s="33">
        <f t="shared" si="4"/>
        <v>18</v>
      </c>
      <c r="G112" s="33">
        <v>1</v>
      </c>
      <c r="H112" s="34">
        <f t="shared" si="5"/>
        <v>18</v>
      </c>
    </row>
    <row r="113" spans="1:8" ht="23.25" x14ac:dyDescent="0.35">
      <c r="A113" s="37" t="s">
        <v>416</v>
      </c>
      <c r="B113" s="32">
        <v>111</v>
      </c>
      <c r="C113" s="33">
        <v>10</v>
      </c>
      <c r="D113" s="33">
        <f>SUMIF(وارد!$B$3:$B$2001,منتجات!A113,وارد!$E$3:$E$2001)</f>
        <v>0</v>
      </c>
      <c r="E113" s="33">
        <f>SUMIF(صادر!$B$5:$B$2001,منتجات!A113,صادر!$E$4:$E$2001)</f>
        <v>0</v>
      </c>
      <c r="F113" s="33">
        <f t="shared" si="4"/>
        <v>0</v>
      </c>
      <c r="G113" s="33">
        <v>1</v>
      </c>
      <c r="H113" s="34">
        <f t="shared" si="5"/>
        <v>0</v>
      </c>
    </row>
    <row r="114" spans="1:8" x14ac:dyDescent="0.35">
      <c r="A114" s="36" t="s">
        <v>339</v>
      </c>
      <c r="B114" s="32">
        <v>112</v>
      </c>
      <c r="C114" s="33">
        <v>10</v>
      </c>
      <c r="D114" s="33">
        <f>SUMIF(وارد!$B$3:$B$2001,منتجات!A114,وارد!$E$3:$E$2001)</f>
        <v>0</v>
      </c>
      <c r="E114" s="33">
        <f>SUMIF(صادر!$B$5:$B$2001,منتجات!A114,صادر!$E$4:$E$2001)</f>
        <v>0</v>
      </c>
      <c r="F114" s="33">
        <f t="shared" si="4"/>
        <v>0</v>
      </c>
      <c r="G114" s="33">
        <v>1</v>
      </c>
      <c r="H114" s="34">
        <f t="shared" si="5"/>
        <v>0</v>
      </c>
    </row>
    <row r="115" spans="1:8" ht="23.25" x14ac:dyDescent="0.35">
      <c r="A115" s="28"/>
      <c r="B115" s="32">
        <v>113</v>
      </c>
      <c r="C115" s="33">
        <v>10</v>
      </c>
      <c r="D115" s="33">
        <f>SUMIF(وارد!$B$3:$B$2001,منتجات!A115,وارد!$E$3:$E$2001)</f>
        <v>0</v>
      </c>
      <c r="E115" s="33">
        <f>SUMIF(صادر!$B$5:$B$2001,منتجات!A115,صادر!$E$4:$E$2001)</f>
        <v>0</v>
      </c>
      <c r="F115" s="33">
        <f t="shared" si="4"/>
        <v>0</v>
      </c>
      <c r="G115" s="33">
        <v>1</v>
      </c>
      <c r="H115" s="34">
        <f t="shared" si="5"/>
        <v>0</v>
      </c>
    </row>
    <row r="116" spans="1:8" ht="23.25" x14ac:dyDescent="0.35">
      <c r="A116" s="37" t="s">
        <v>458</v>
      </c>
      <c r="B116" s="32">
        <v>114</v>
      </c>
      <c r="C116" s="33">
        <v>10</v>
      </c>
      <c r="D116" s="33">
        <f>SUMIF(وارد!$B$3:$B$2001,منتجات!A116,وارد!$E$3:$E$2001)</f>
        <v>0</v>
      </c>
      <c r="E116" s="33">
        <f>SUMIF(صادر!$B$5:$B$2001,منتجات!A116,صادر!$E$4:$E$2001)</f>
        <v>0</v>
      </c>
      <c r="F116" s="33">
        <f t="shared" si="4"/>
        <v>0</v>
      </c>
      <c r="G116" s="33">
        <v>1</v>
      </c>
      <c r="H116" s="34">
        <f t="shared" si="5"/>
        <v>0</v>
      </c>
    </row>
    <row r="117" spans="1:8" ht="23.25" x14ac:dyDescent="0.35">
      <c r="A117" s="37" t="s">
        <v>459</v>
      </c>
      <c r="B117" s="32">
        <v>115</v>
      </c>
      <c r="C117" s="33">
        <v>10</v>
      </c>
      <c r="D117" s="33">
        <f>SUMIF(وارد!$B$3:$B$2001,منتجات!A117,وارد!$E$3:$E$2001)</f>
        <v>0</v>
      </c>
      <c r="E117" s="33">
        <f>SUMIF(صادر!$B$5:$B$2001,منتجات!A117,صادر!$E$4:$E$2001)</f>
        <v>1</v>
      </c>
      <c r="F117" s="33">
        <f t="shared" si="4"/>
        <v>-1</v>
      </c>
      <c r="G117" s="33">
        <v>1</v>
      </c>
      <c r="H117" s="34">
        <f t="shared" si="5"/>
        <v>-1</v>
      </c>
    </row>
    <row r="118" spans="1:8" ht="23.25" x14ac:dyDescent="0.35">
      <c r="A118" s="37" t="s">
        <v>460</v>
      </c>
      <c r="B118" s="32">
        <v>116</v>
      </c>
      <c r="C118" s="33">
        <v>10</v>
      </c>
      <c r="D118" s="33">
        <f>SUMIF(وارد!$B$3:$B$2001,منتجات!A118,وارد!$E$3:$E$2001)</f>
        <v>0</v>
      </c>
      <c r="E118" s="33">
        <f>SUMIF(صادر!$B$5:$B$2001,منتجات!A118,صادر!$E$4:$E$2001)</f>
        <v>0</v>
      </c>
      <c r="F118" s="33">
        <f t="shared" si="4"/>
        <v>0</v>
      </c>
      <c r="G118" s="33">
        <v>1</v>
      </c>
      <c r="H118" s="34">
        <f t="shared" si="5"/>
        <v>0</v>
      </c>
    </row>
    <row r="119" spans="1:8" ht="23.25" x14ac:dyDescent="0.35">
      <c r="A119" s="37" t="s">
        <v>461</v>
      </c>
      <c r="B119" s="32">
        <v>117</v>
      </c>
      <c r="C119" s="33">
        <v>10</v>
      </c>
      <c r="D119" s="33">
        <f>SUMIF(وارد!$B$3:$B$2001,منتجات!A119,وارد!$E$3:$E$2001)</f>
        <v>0</v>
      </c>
      <c r="E119" s="33">
        <f>SUMIF(صادر!$B$5:$B$2001,منتجات!A119,صادر!$E$4:$E$2001)</f>
        <v>0</v>
      </c>
      <c r="F119" s="33">
        <f t="shared" si="4"/>
        <v>0</v>
      </c>
      <c r="G119" s="33">
        <v>1</v>
      </c>
      <c r="H119" s="34">
        <f t="shared" si="5"/>
        <v>0</v>
      </c>
    </row>
    <row r="120" spans="1:8" ht="23.25" x14ac:dyDescent="0.35">
      <c r="A120" s="37" t="s">
        <v>462</v>
      </c>
      <c r="B120" s="32">
        <v>118</v>
      </c>
      <c r="C120" s="33">
        <v>10</v>
      </c>
      <c r="D120" s="33">
        <f>SUMIF(وارد!$B$3:$B$2001,منتجات!A120,وارد!$E$3:$E$2001)</f>
        <v>0</v>
      </c>
      <c r="E120" s="33">
        <f>SUMIF(صادر!$B$5:$B$2001,منتجات!A120,صادر!$E$4:$E$2001)</f>
        <v>0</v>
      </c>
      <c r="F120" s="33">
        <f t="shared" si="4"/>
        <v>0</v>
      </c>
      <c r="G120" s="33">
        <v>1</v>
      </c>
      <c r="H120" s="34">
        <f t="shared" si="5"/>
        <v>0</v>
      </c>
    </row>
    <row r="121" spans="1:8" ht="23.25" x14ac:dyDescent="0.35">
      <c r="A121" s="37" t="s">
        <v>463</v>
      </c>
      <c r="B121" s="32">
        <v>119</v>
      </c>
      <c r="C121" s="33">
        <v>10</v>
      </c>
      <c r="D121" s="33">
        <f>SUMIF(وارد!$B$3:$B$2001,منتجات!A121,وارد!$E$3:$E$2001)</f>
        <v>0</v>
      </c>
      <c r="E121" s="33">
        <f>SUMIF(صادر!$B$5:$B$2001,منتجات!A121,صادر!$E$4:$E$2001)</f>
        <v>1</v>
      </c>
      <c r="F121" s="33">
        <f t="shared" si="4"/>
        <v>-1</v>
      </c>
      <c r="G121" s="33">
        <v>1</v>
      </c>
      <c r="H121" s="34">
        <f t="shared" si="5"/>
        <v>-1</v>
      </c>
    </row>
    <row r="122" spans="1:8" ht="23.25" x14ac:dyDescent="0.35">
      <c r="A122" s="37" t="s">
        <v>464</v>
      </c>
      <c r="B122" s="32">
        <v>120</v>
      </c>
      <c r="C122" s="33">
        <v>10</v>
      </c>
      <c r="D122" s="33">
        <f>SUMIF(وارد!$B$3:$B$2001,منتجات!A122,وارد!$E$3:$E$2001)</f>
        <v>0</v>
      </c>
      <c r="E122" s="33">
        <f>SUMIF(صادر!$B$5:$B$2001,منتجات!A122,صادر!$E$4:$E$2001)</f>
        <v>0</v>
      </c>
      <c r="F122" s="33">
        <f t="shared" si="4"/>
        <v>0</v>
      </c>
      <c r="G122" s="33">
        <v>1</v>
      </c>
      <c r="H122" s="34">
        <f t="shared" si="5"/>
        <v>0</v>
      </c>
    </row>
    <row r="123" spans="1:8" ht="23.25" x14ac:dyDescent="0.35">
      <c r="A123" s="37" t="s">
        <v>465</v>
      </c>
      <c r="B123" s="32">
        <v>121</v>
      </c>
      <c r="C123" s="33">
        <v>10</v>
      </c>
      <c r="D123" s="33">
        <f>SUMIF(وارد!$B$3:$B$2001,منتجات!A123,وارد!$E$3:$E$2001)</f>
        <v>0</v>
      </c>
      <c r="E123" s="33">
        <f>SUMIF(صادر!$B$5:$B$2001,منتجات!A123,صادر!$E$4:$E$2001)</f>
        <v>0</v>
      </c>
      <c r="F123" s="33">
        <f t="shared" si="4"/>
        <v>0</v>
      </c>
      <c r="G123" s="33">
        <v>1</v>
      </c>
      <c r="H123" s="34">
        <f t="shared" si="5"/>
        <v>0</v>
      </c>
    </row>
    <row r="124" spans="1:8" ht="23.25" x14ac:dyDescent="0.35">
      <c r="A124" s="37" t="s">
        <v>466</v>
      </c>
      <c r="B124" s="32">
        <v>122</v>
      </c>
      <c r="C124" s="33">
        <v>10</v>
      </c>
      <c r="D124" s="33">
        <f>SUMIF(وارد!$B$3:$B$2001,منتجات!A124,وارد!$E$3:$E$2001)</f>
        <v>0</v>
      </c>
      <c r="E124" s="33">
        <f>SUMIF(صادر!$B$5:$B$2001,منتجات!A124,صادر!$E$4:$E$2001)</f>
        <v>0</v>
      </c>
      <c r="F124" s="33">
        <f t="shared" si="4"/>
        <v>0</v>
      </c>
      <c r="G124" s="33">
        <v>1</v>
      </c>
      <c r="H124" s="34">
        <f t="shared" si="5"/>
        <v>0</v>
      </c>
    </row>
    <row r="125" spans="1:8" ht="23.25" x14ac:dyDescent="0.35">
      <c r="A125" s="37" t="s">
        <v>467</v>
      </c>
      <c r="B125" s="32">
        <v>123</v>
      </c>
      <c r="C125" s="33">
        <v>10</v>
      </c>
      <c r="D125" s="33">
        <f>SUMIF(وارد!$B$3:$B$2001,منتجات!A125,وارد!$E$3:$E$2001)</f>
        <v>2</v>
      </c>
      <c r="E125" s="33">
        <f>SUMIF(صادر!$B$5:$B$2001,منتجات!A125,صادر!$E$4:$E$2001)</f>
        <v>0</v>
      </c>
      <c r="F125" s="33">
        <f t="shared" si="4"/>
        <v>20</v>
      </c>
      <c r="G125" s="33">
        <v>1</v>
      </c>
      <c r="H125" s="34">
        <f t="shared" si="5"/>
        <v>20</v>
      </c>
    </row>
    <row r="126" spans="1:8" ht="23.25" x14ac:dyDescent="0.35">
      <c r="A126" s="37" t="s">
        <v>468</v>
      </c>
      <c r="B126" s="32">
        <v>124</v>
      </c>
      <c r="C126" s="33">
        <v>10</v>
      </c>
      <c r="D126" s="33">
        <f>SUMIF(وارد!$B$3:$B$2001,منتجات!A126,وارد!$E$3:$E$2001)</f>
        <v>2</v>
      </c>
      <c r="E126" s="33">
        <f>SUMIF(صادر!$B$5:$B$2001,منتجات!A126,صادر!$E$4:$E$2001)</f>
        <v>0</v>
      </c>
      <c r="F126" s="33">
        <f t="shared" si="4"/>
        <v>20</v>
      </c>
      <c r="G126" s="33">
        <v>1</v>
      </c>
      <c r="H126" s="34">
        <f t="shared" si="5"/>
        <v>20</v>
      </c>
    </row>
    <row r="127" spans="1:8" ht="23.25" x14ac:dyDescent="0.35">
      <c r="A127" s="37" t="s">
        <v>469</v>
      </c>
      <c r="B127" s="32">
        <v>125</v>
      </c>
      <c r="C127" s="33">
        <v>10</v>
      </c>
      <c r="D127" s="33">
        <f>SUMIF(وارد!$B$3:$B$2001,منتجات!A127,وارد!$E$3:$E$2001)</f>
        <v>3</v>
      </c>
      <c r="E127" s="33">
        <f>SUMIF(صادر!$B$5:$B$2001,منتجات!A127,صادر!$E$4:$E$2001)</f>
        <v>0</v>
      </c>
      <c r="F127" s="33">
        <f t="shared" si="4"/>
        <v>30</v>
      </c>
      <c r="G127" s="33">
        <v>1</v>
      </c>
      <c r="H127" s="34">
        <f t="shared" si="5"/>
        <v>30</v>
      </c>
    </row>
    <row r="128" spans="1:8" ht="23.25" x14ac:dyDescent="0.35">
      <c r="A128" s="37" t="s">
        <v>470</v>
      </c>
      <c r="B128" s="32">
        <v>126</v>
      </c>
      <c r="C128" s="33">
        <v>10</v>
      </c>
      <c r="D128" s="33">
        <f>SUMIF(وارد!$B$3:$B$2001,منتجات!A128,وارد!$E$3:$E$2001)</f>
        <v>0</v>
      </c>
      <c r="E128" s="33">
        <f>SUMIF(صادر!$B$5:$B$2001,منتجات!A128,صادر!$E$4:$E$2001)</f>
        <v>0</v>
      </c>
      <c r="F128" s="33">
        <f t="shared" si="4"/>
        <v>0</v>
      </c>
      <c r="G128" s="33">
        <v>1</v>
      </c>
      <c r="H128" s="34">
        <f t="shared" si="5"/>
        <v>0</v>
      </c>
    </row>
    <row r="129" spans="1:8" ht="23.25" x14ac:dyDescent="0.35">
      <c r="A129" s="37" t="s">
        <v>471</v>
      </c>
      <c r="B129" s="32">
        <v>127</v>
      </c>
      <c r="C129" s="33">
        <v>10</v>
      </c>
      <c r="D129" s="33">
        <f>SUMIF(وارد!$B$3:$B$2001,منتجات!A129,وارد!$E$3:$E$2001)</f>
        <v>0</v>
      </c>
      <c r="E129" s="33">
        <f>SUMIF(صادر!$B$5:$B$2001,منتجات!A129,صادر!$E$4:$E$2001)</f>
        <v>0</v>
      </c>
      <c r="F129" s="33">
        <f t="shared" si="4"/>
        <v>0</v>
      </c>
      <c r="G129" s="33">
        <v>1</v>
      </c>
      <c r="H129" s="34">
        <f t="shared" si="5"/>
        <v>0</v>
      </c>
    </row>
    <row r="130" spans="1:8" ht="23.25" x14ac:dyDescent="0.35">
      <c r="A130" s="37" t="s">
        <v>472</v>
      </c>
      <c r="B130" s="32">
        <v>128</v>
      </c>
      <c r="C130" s="33">
        <v>10</v>
      </c>
      <c r="D130" s="33">
        <f>SUMIF(وارد!$B$3:$B$2001,منتجات!A130,وارد!$E$3:$E$2001)</f>
        <v>1</v>
      </c>
      <c r="E130" s="33">
        <f>SUMIF(صادر!$B$5:$B$2001,منتجات!A130,صادر!$E$4:$E$2001)</f>
        <v>0</v>
      </c>
      <c r="F130" s="33">
        <f t="shared" si="4"/>
        <v>10</v>
      </c>
      <c r="G130" s="33">
        <v>1</v>
      </c>
      <c r="H130" s="34">
        <f t="shared" si="5"/>
        <v>10</v>
      </c>
    </row>
    <row r="131" spans="1:8" ht="23.25" x14ac:dyDescent="0.35">
      <c r="A131" s="37" t="s">
        <v>473</v>
      </c>
      <c r="B131" s="32">
        <v>129</v>
      </c>
      <c r="C131" s="33">
        <v>10</v>
      </c>
      <c r="D131" s="33">
        <f>SUMIF(وارد!$B$3:$B$2001,منتجات!A131,وارد!$E$3:$E$2001)</f>
        <v>0</v>
      </c>
      <c r="E131" s="33">
        <f>SUMIF(صادر!$B$5:$B$2001,منتجات!A131,صادر!$E$4:$E$2001)</f>
        <v>0</v>
      </c>
      <c r="F131" s="33">
        <f t="shared" si="4"/>
        <v>0</v>
      </c>
      <c r="G131" s="33">
        <v>1</v>
      </c>
      <c r="H131" s="34">
        <f t="shared" si="5"/>
        <v>0</v>
      </c>
    </row>
    <row r="132" spans="1:8" ht="23.25" x14ac:dyDescent="0.35">
      <c r="A132" s="37" t="s">
        <v>496</v>
      </c>
      <c r="B132" s="32">
        <v>130</v>
      </c>
      <c r="C132" s="33">
        <v>10</v>
      </c>
      <c r="D132" s="33">
        <f>SUMIF(وارد!$B$3:$B$2001,منتجات!A132,وارد!$E$3:$E$2001)</f>
        <v>0</v>
      </c>
      <c r="E132" s="33">
        <f>SUMIF(صادر!$B$5:$B$2001,منتجات!A132,صادر!$E$4:$E$2001)</f>
        <v>0</v>
      </c>
      <c r="F132" s="33">
        <f t="shared" ref="F132:F195" si="6">(D132*C132)-E132</f>
        <v>0</v>
      </c>
      <c r="G132" s="33">
        <v>1</v>
      </c>
      <c r="H132" s="34">
        <f t="shared" si="5"/>
        <v>0</v>
      </c>
    </row>
    <row r="133" spans="1:8" ht="23.25" x14ac:dyDescent="0.35">
      <c r="A133" s="72" t="s">
        <v>497</v>
      </c>
      <c r="B133" s="32">
        <v>131</v>
      </c>
      <c r="C133" s="33">
        <v>10</v>
      </c>
      <c r="D133" s="33">
        <f>SUMIF(وارد!$B$3:$B$2001,منتجات!A133,وارد!$E$3:$E$2001)</f>
        <v>0</v>
      </c>
      <c r="E133" s="33">
        <f>SUMIF(صادر!$B$5:$B$2001,منتجات!A133,صادر!$E$4:$E$2001)</f>
        <v>0</v>
      </c>
      <c r="F133" s="33">
        <f t="shared" si="6"/>
        <v>0</v>
      </c>
      <c r="G133" s="33">
        <v>1</v>
      </c>
      <c r="H133" s="34">
        <f t="shared" si="5"/>
        <v>0</v>
      </c>
    </row>
    <row r="134" spans="1:8" ht="23.25" x14ac:dyDescent="0.35">
      <c r="A134" s="37" t="s">
        <v>474</v>
      </c>
      <c r="B134" s="32">
        <v>132</v>
      </c>
      <c r="C134" s="33">
        <v>10</v>
      </c>
      <c r="D134" s="33">
        <f>SUMIF(وارد!$B$3:$B$2001,منتجات!A134,وارد!$E$3:$E$2001)</f>
        <v>0</v>
      </c>
      <c r="E134" s="33">
        <f>SUMIF(صادر!$B$5:$B$2001,منتجات!A134,صادر!$E$4:$E$2001)</f>
        <v>0</v>
      </c>
      <c r="F134" s="33">
        <f t="shared" si="6"/>
        <v>0</v>
      </c>
      <c r="G134" s="33">
        <v>1</v>
      </c>
      <c r="H134" s="34">
        <f t="shared" ref="H134:H197" si="7">F134*G134</f>
        <v>0</v>
      </c>
    </row>
    <row r="135" spans="1:8" ht="23.25" x14ac:dyDescent="0.35">
      <c r="A135" s="37" t="s">
        <v>339</v>
      </c>
      <c r="B135" s="32">
        <v>133</v>
      </c>
      <c r="C135" s="33">
        <v>10</v>
      </c>
      <c r="D135" s="33">
        <f>SUMIF(وارد!$B$3:$B$2001,منتجات!A135,وارد!$E$3:$E$2001)</f>
        <v>0</v>
      </c>
      <c r="E135" s="33">
        <f>SUMIF(صادر!$B$5:$B$2001,منتجات!A135,صادر!$E$4:$E$2001)</f>
        <v>0</v>
      </c>
      <c r="F135" s="33">
        <f t="shared" si="6"/>
        <v>0</v>
      </c>
      <c r="G135" s="33">
        <v>1</v>
      </c>
      <c r="H135" s="34">
        <f t="shared" si="7"/>
        <v>0</v>
      </c>
    </row>
    <row r="136" spans="1:8" x14ac:dyDescent="0.35">
      <c r="A136" s="41"/>
      <c r="B136" s="32">
        <v>134</v>
      </c>
      <c r="C136" s="33">
        <v>10</v>
      </c>
      <c r="D136" s="33">
        <f>SUMIF(وارد!$B$3:$B$2001,منتجات!A136,وارد!$E$3:$E$2001)</f>
        <v>0</v>
      </c>
      <c r="E136" s="33">
        <f>SUMIF(صادر!$B$5:$B$2001,منتجات!A136,صادر!$E$4:$E$2001)</f>
        <v>0</v>
      </c>
      <c r="F136" s="33">
        <f t="shared" si="6"/>
        <v>0</v>
      </c>
      <c r="G136" s="33">
        <v>1</v>
      </c>
      <c r="H136" s="34">
        <f t="shared" si="7"/>
        <v>0</v>
      </c>
    </row>
    <row r="137" spans="1:8" ht="23.25" x14ac:dyDescent="0.35">
      <c r="A137" s="39" t="s">
        <v>417</v>
      </c>
      <c r="B137" s="32">
        <v>135</v>
      </c>
      <c r="C137" s="33">
        <v>10</v>
      </c>
      <c r="D137" s="33">
        <f>SUMIF(وارد!$B$3:$B$2001,منتجات!A137,وارد!$E$3:$E$2001)</f>
        <v>0</v>
      </c>
      <c r="E137" s="33">
        <f>SUMIF(صادر!$B$5:$B$2001,منتجات!A137,صادر!$E$4:$E$2001)</f>
        <v>0</v>
      </c>
      <c r="F137" s="33">
        <f t="shared" si="6"/>
        <v>0</v>
      </c>
      <c r="G137" s="33">
        <v>1</v>
      </c>
      <c r="H137" s="34">
        <f t="shared" si="7"/>
        <v>0</v>
      </c>
    </row>
    <row r="138" spans="1:8" ht="23.25" x14ac:dyDescent="0.35">
      <c r="A138" s="39" t="s">
        <v>418</v>
      </c>
      <c r="B138" s="32">
        <v>136</v>
      </c>
      <c r="C138" s="33">
        <v>10</v>
      </c>
      <c r="D138" s="33">
        <f>SUMIF(وارد!$B$3:$B$2001,منتجات!A138,وارد!$E$3:$E$2001)</f>
        <v>1</v>
      </c>
      <c r="E138" s="33">
        <f>SUMIF(صادر!$B$5:$B$2001,منتجات!A138,صادر!$E$4:$E$2001)</f>
        <v>0</v>
      </c>
      <c r="F138" s="33">
        <f t="shared" si="6"/>
        <v>10</v>
      </c>
      <c r="G138" s="33">
        <v>1</v>
      </c>
      <c r="H138" s="34">
        <f t="shared" si="7"/>
        <v>10</v>
      </c>
    </row>
    <row r="139" spans="1:8" ht="23.25" x14ac:dyDescent="0.35">
      <c r="A139" s="39" t="s">
        <v>419</v>
      </c>
      <c r="B139" s="32">
        <v>137</v>
      </c>
      <c r="C139" s="33">
        <v>10</v>
      </c>
      <c r="D139" s="33">
        <f>SUMIF(وارد!$B$3:$B$2001,منتجات!A139,وارد!$E$3:$E$2001)</f>
        <v>0</v>
      </c>
      <c r="E139" s="33">
        <f>SUMIF(صادر!$B$5:$B$2001,منتجات!A139,صادر!$E$4:$E$2001)</f>
        <v>0</v>
      </c>
      <c r="F139" s="33">
        <f t="shared" si="6"/>
        <v>0</v>
      </c>
      <c r="G139" s="33">
        <v>1</v>
      </c>
      <c r="H139" s="34">
        <f t="shared" si="7"/>
        <v>0</v>
      </c>
    </row>
    <row r="140" spans="1:8" ht="23.25" x14ac:dyDescent="0.35">
      <c r="A140" s="39" t="s">
        <v>420</v>
      </c>
      <c r="B140" s="32">
        <v>138</v>
      </c>
      <c r="C140" s="33">
        <v>10</v>
      </c>
      <c r="D140" s="33">
        <f>SUMIF(وارد!$B$3:$B$2001,منتجات!A140,وارد!$E$3:$E$2001)</f>
        <v>0</v>
      </c>
      <c r="E140" s="33">
        <f>SUMIF(صادر!$B$5:$B$2001,منتجات!A140,صادر!$E$4:$E$2001)</f>
        <v>0</v>
      </c>
      <c r="F140" s="33">
        <f t="shared" si="6"/>
        <v>0</v>
      </c>
      <c r="G140" s="33">
        <v>1</v>
      </c>
      <c r="H140" s="34">
        <f t="shared" si="7"/>
        <v>0</v>
      </c>
    </row>
    <row r="141" spans="1:8" ht="23.25" x14ac:dyDescent="0.35">
      <c r="A141" s="39" t="s">
        <v>421</v>
      </c>
      <c r="B141" s="32">
        <v>139</v>
      </c>
      <c r="C141" s="33">
        <v>10</v>
      </c>
      <c r="D141" s="33">
        <f>SUMIF(وارد!$B$3:$B$2001,منتجات!A141,وارد!$E$3:$E$2001)</f>
        <v>0</v>
      </c>
      <c r="E141" s="33">
        <f>SUMIF(صادر!$B$5:$B$2001,منتجات!A141,صادر!$E$4:$E$2001)</f>
        <v>0</v>
      </c>
      <c r="F141" s="33">
        <f t="shared" si="6"/>
        <v>0</v>
      </c>
      <c r="G141" s="33">
        <v>1</v>
      </c>
      <c r="H141" s="34">
        <f t="shared" si="7"/>
        <v>0</v>
      </c>
    </row>
    <row r="142" spans="1:8" ht="23.25" x14ac:dyDescent="0.35">
      <c r="A142" s="39" t="s">
        <v>422</v>
      </c>
      <c r="B142" s="32">
        <v>140</v>
      </c>
      <c r="C142" s="33">
        <v>10</v>
      </c>
      <c r="D142" s="33">
        <f>SUMIF(وارد!$B$3:$B$2001,منتجات!A142,وارد!$E$3:$E$2001)</f>
        <v>0</v>
      </c>
      <c r="E142" s="33">
        <f>SUMIF(صادر!$B$5:$B$2001,منتجات!A142,صادر!$E$4:$E$2001)</f>
        <v>6</v>
      </c>
      <c r="F142" s="33">
        <f t="shared" si="6"/>
        <v>-6</v>
      </c>
      <c r="G142" s="33">
        <v>1</v>
      </c>
      <c r="H142" s="34">
        <f t="shared" si="7"/>
        <v>-6</v>
      </c>
    </row>
    <row r="143" spans="1:8" ht="23.25" x14ac:dyDescent="0.35">
      <c r="A143" s="39" t="s">
        <v>423</v>
      </c>
      <c r="B143" s="32">
        <v>141</v>
      </c>
      <c r="C143" s="33">
        <v>10</v>
      </c>
      <c r="D143" s="33">
        <f>SUMIF(وارد!$B$3:$B$2001,منتجات!A143,وارد!$E$3:$E$2001)</f>
        <v>0</v>
      </c>
      <c r="E143" s="33">
        <f>SUMIF(صادر!$B$5:$B$2001,منتجات!A143,صادر!$E$4:$E$2001)</f>
        <v>0</v>
      </c>
      <c r="F143" s="33">
        <f t="shared" si="6"/>
        <v>0</v>
      </c>
      <c r="G143" s="33">
        <v>1</v>
      </c>
      <c r="H143" s="34">
        <f t="shared" si="7"/>
        <v>0</v>
      </c>
    </row>
    <row r="144" spans="1:8" ht="23.25" x14ac:dyDescent="0.35">
      <c r="A144" s="40" t="s">
        <v>424</v>
      </c>
      <c r="B144" s="32">
        <v>142</v>
      </c>
      <c r="C144" s="33">
        <v>10</v>
      </c>
      <c r="D144" s="33">
        <f>SUMIF(وارد!$B$3:$B$2001,منتجات!A144,وارد!$E$3:$E$2001)</f>
        <v>0</v>
      </c>
      <c r="E144" s="33">
        <f>SUMIF(صادر!$B$5:$B$2001,منتجات!A144,صادر!$E$4:$E$2001)</f>
        <v>0</v>
      </c>
      <c r="F144" s="33">
        <f t="shared" si="6"/>
        <v>0</v>
      </c>
      <c r="G144" s="33">
        <v>1</v>
      </c>
      <c r="H144" s="34">
        <f t="shared" si="7"/>
        <v>0</v>
      </c>
    </row>
    <row r="145" spans="1:8" ht="23.25" x14ac:dyDescent="0.35">
      <c r="A145" s="39" t="s">
        <v>425</v>
      </c>
      <c r="B145" s="32">
        <v>143</v>
      </c>
      <c r="C145" s="33">
        <v>10</v>
      </c>
      <c r="D145" s="33">
        <f>SUMIF(وارد!$B$3:$B$2001,منتجات!A145,وارد!$E$3:$E$2001)</f>
        <v>0</v>
      </c>
      <c r="E145" s="33">
        <f>SUMIF(صادر!$B$5:$B$2001,منتجات!A145,صادر!$E$4:$E$2001)</f>
        <v>0</v>
      </c>
      <c r="F145" s="33">
        <f t="shared" si="6"/>
        <v>0</v>
      </c>
      <c r="G145" s="33">
        <v>1</v>
      </c>
      <c r="H145" s="34">
        <f t="shared" si="7"/>
        <v>0</v>
      </c>
    </row>
    <row r="146" spans="1:8" ht="23.25" x14ac:dyDescent="0.35">
      <c r="A146" s="39" t="s">
        <v>426</v>
      </c>
      <c r="B146" s="32">
        <v>144</v>
      </c>
      <c r="C146" s="33">
        <v>10</v>
      </c>
      <c r="D146" s="33">
        <f>SUMIF(وارد!$B$3:$B$2001,منتجات!A146,وارد!$E$3:$E$2001)</f>
        <v>1</v>
      </c>
      <c r="E146" s="33">
        <f>SUMIF(صادر!$B$5:$B$2001,منتجات!A146,صادر!$E$4:$E$2001)</f>
        <v>1</v>
      </c>
      <c r="F146" s="33">
        <f t="shared" si="6"/>
        <v>9</v>
      </c>
      <c r="G146" s="33">
        <v>1</v>
      </c>
      <c r="H146" s="34">
        <f t="shared" si="7"/>
        <v>9</v>
      </c>
    </row>
    <row r="147" spans="1:8" ht="23.25" x14ac:dyDescent="0.35">
      <c r="A147" s="39" t="s">
        <v>427</v>
      </c>
      <c r="B147" s="32">
        <v>145</v>
      </c>
      <c r="C147" s="33">
        <v>10</v>
      </c>
      <c r="D147" s="33">
        <f>SUMIF(وارد!$B$3:$B$2001,منتجات!A147,وارد!$E$3:$E$2001)</f>
        <v>0</v>
      </c>
      <c r="E147" s="33">
        <f>SUMIF(صادر!$B$5:$B$2001,منتجات!A147,صادر!$E$4:$E$2001)</f>
        <v>0</v>
      </c>
      <c r="F147" s="33">
        <f t="shared" si="6"/>
        <v>0</v>
      </c>
      <c r="G147" s="33">
        <v>1</v>
      </c>
      <c r="H147" s="34">
        <f t="shared" si="7"/>
        <v>0</v>
      </c>
    </row>
    <row r="148" spans="1:8" x14ac:dyDescent="0.35">
      <c r="A148" s="36" t="s">
        <v>339</v>
      </c>
      <c r="B148" s="32">
        <v>146</v>
      </c>
      <c r="C148" s="33">
        <v>10</v>
      </c>
      <c r="D148" s="33">
        <f>SUMIF(وارد!$B$3:$B$2001,منتجات!A148,وارد!$E$3:$E$2001)</f>
        <v>0</v>
      </c>
      <c r="E148" s="33">
        <f>SUMIF(صادر!$B$5:$B$2001,منتجات!A148,صادر!$E$4:$E$2001)</f>
        <v>0</v>
      </c>
      <c r="F148" s="33">
        <f t="shared" si="6"/>
        <v>0</v>
      </c>
      <c r="G148" s="33">
        <v>1</v>
      </c>
      <c r="H148" s="34">
        <f t="shared" si="7"/>
        <v>0</v>
      </c>
    </row>
    <row r="149" spans="1:8" x14ac:dyDescent="0.35">
      <c r="A149" s="41"/>
      <c r="B149" s="32">
        <v>147</v>
      </c>
      <c r="C149" s="33">
        <v>10</v>
      </c>
      <c r="D149" s="33">
        <f>SUMIF(وارد!$B$3:$B$2001,منتجات!A149,وارد!$E$3:$E$2001)</f>
        <v>0</v>
      </c>
      <c r="E149" s="33">
        <f>SUMIF(صادر!$B$5:$B$2001,منتجات!A149,صادر!$E$4:$E$2001)</f>
        <v>0</v>
      </c>
      <c r="F149" s="33">
        <f t="shared" si="6"/>
        <v>0</v>
      </c>
      <c r="G149" s="33">
        <v>1</v>
      </c>
      <c r="H149" s="34">
        <f t="shared" si="7"/>
        <v>0</v>
      </c>
    </row>
    <row r="150" spans="1:8" ht="23.25" x14ac:dyDescent="0.35">
      <c r="A150" s="31" t="s">
        <v>428</v>
      </c>
      <c r="B150" s="32">
        <v>148</v>
      </c>
      <c r="C150" s="33">
        <v>10</v>
      </c>
      <c r="D150" s="33">
        <f>SUMIF(وارد!$B$3:$B$2001,منتجات!A150,وارد!$E$3:$E$2001)</f>
        <v>0</v>
      </c>
      <c r="E150" s="33">
        <f>SUMIF(صادر!$B$5:$B$2001,منتجات!A150,صادر!$E$4:$E$2001)</f>
        <v>2</v>
      </c>
      <c r="F150" s="33">
        <f t="shared" si="6"/>
        <v>-2</v>
      </c>
      <c r="G150" s="33">
        <v>1</v>
      </c>
      <c r="H150" s="34">
        <f t="shared" si="7"/>
        <v>-2</v>
      </c>
    </row>
    <row r="151" spans="1:8" ht="23.25" x14ac:dyDescent="0.35">
      <c r="A151" s="31" t="s">
        <v>429</v>
      </c>
      <c r="B151" s="32">
        <v>149</v>
      </c>
      <c r="C151" s="33">
        <v>10</v>
      </c>
      <c r="D151" s="33">
        <f>SUMIF(وارد!$B$3:$B$2001,منتجات!A151,وارد!$E$3:$E$2001)</f>
        <v>0</v>
      </c>
      <c r="E151" s="33">
        <f>SUMIF(صادر!$B$5:$B$2001,منتجات!A151,صادر!$E$4:$E$2001)</f>
        <v>0</v>
      </c>
      <c r="F151" s="33">
        <f t="shared" si="6"/>
        <v>0</v>
      </c>
      <c r="G151" s="33">
        <v>1</v>
      </c>
      <c r="H151" s="34">
        <f t="shared" si="7"/>
        <v>0</v>
      </c>
    </row>
    <row r="152" spans="1:8" ht="23.25" x14ac:dyDescent="0.35">
      <c r="A152" s="31" t="s">
        <v>430</v>
      </c>
      <c r="B152" s="32">
        <v>150</v>
      </c>
      <c r="C152" s="33">
        <v>10</v>
      </c>
      <c r="D152" s="33">
        <f>SUMIF(وارد!$B$3:$B$2001,منتجات!A152,وارد!$E$3:$E$2001)</f>
        <v>0</v>
      </c>
      <c r="E152" s="33">
        <f>SUMIF(صادر!$B$5:$B$2001,منتجات!A152,صادر!$E$4:$E$2001)</f>
        <v>0</v>
      </c>
      <c r="F152" s="33">
        <f t="shared" si="6"/>
        <v>0</v>
      </c>
      <c r="G152" s="33">
        <v>1</v>
      </c>
      <c r="H152" s="34">
        <f t="shared" si="7"/>
        <v>0</v>
      </c>
    </row>
    <row r="153" spans="1:8" ht="23.25" x14ac:dyDescent="0.35">
      <c r="A153" s="31" t="s">
        <v>431</v>
      </c>
      <c r="B153" s="32">
        <v>151</v>
      </c>
      <c r="C153" s="33">
        <v>10</v>
      </c>
      <c r="D153" s="33">
        <f>SUMIF(وارد!$B$3:$B$2001,منتجات!A153,وارد!$E$3:$E$2001)</f>
        <v>1</v>
      </c>
      <c r="E153" s="33">
        <f>SUMIF(صادر!$B$5:$B$2001,منتجات!A153,صادر!$E$4:$E$2001)</f>
        <v>0</v>
      </c>
      <c r="F153" s="33">
        <f t="shared" si="6"/>
        <v>10</v>
      </c>
      <c r="G153" s="33">
        <v>1</v>
      </c>
      <c r="H153" s="34">
        <f t="shared" si="7"/>
        <v>10</v>
      </c>
    </row>
    <row r="154" spans="1:8" ht="23.25" x14ac:dyDescent="0.35">
      <c r="A154" s="31" t="s">
        <v>432</v>
      </c>
      <c r="B154" s="32">
        <v>152</v>
      </c>
      <c r="C154" s="33">
        <v>10</v>
      </c>
      <c r="D154" s="33">
        <f>SUMIF(وارد!$B$3:$B$2001,منتجات!A154,وارد!$E$3:$E$2001)</f>
        <v>0</v>
      </c>
      <c r="E154" s="33">
        <f>SUMIF(صادر!$B$5:$B$2001,منتجات!A154,صادر!$E$4:$E$2001)</f>
        <v>0</v>
      </c>
      <c r="F154" s="33">
        <f t="shared" si="6"/>
        <v>0</v>
      </c>
      <c r="G154" s="33">
        <v>1</v>
      </c>
      <c r="H154" s="34">
        <f t="shared" si="7"/>
        <v>0</v>
      </c>
    </row>
    <row r="155" spans="1:8" ht="23.25" x14ac:dyDescent="0.35">
      <c r="A155" s="31" t="s">
        <v>433</v>
      </c>
      <c r="B155" s="32">
        <v>153</v>
      </c>
      <c r="C155" s="33">
        <v>10</v>
      </c>
      <c r="D155" s="33">
        <f>SUMIF(وارد!$B$3:$B$2001,منتجات!A155,وارد!$E$3:$E$2001)</f>
        <v>0</v>
      </c>
      <c r="E155" s="33">
        <f>SUMIF(صادر!$B$5:$B$2001,منتجات!A155,صادر!$E$4:$E$2001)</f>
        <v>4</v>
      </c>
      <c r="F155" s="33">
        <f t="shared" si="6"/>
        <v>-4</v>
      </c>
      <c r="G155" s="33">
        <v>1</v>
      </c>
      <c r="H155" s="34">
        <f t="shared" si="7"/>
        <v>-4</v>
      </c>
    </row>
    <row r="156" spans="1:8" ht="23.25" x14ac:dyDescent="0.35">
      <c r="A156" s="31" t="s">
        <v>434</v>
      </c>
      <c r="B156" s="32">
        <v>154</v>
      </c>
      <c r="C156" s="33">
        <v>10</v>
      </c>
      <c r="D156" s="33">
        <f>SUMIF(وارد!$B$3:$B$2001,منتجات!A156,وارد!$E$3:$E$2001)</f>
        <v>0</v>
      </c>
      <c r="E156" s="33">
        <f>SUMIF(صادر!$B$5:$B$2001,منتجات!A156,صادر!$E$4:$E$2001)</f>
        <v>0</v>
      </c>
      <c r="F156" s="33">
        <f t="shared" si="6"/>
        <v>0</v>
      </c>
      <c r="G156" s="33">
        <v>1</v>
      </c>
      <c r="H156" s="34">
        <f t="shared" si="7"/>
        <v>0</v>
      </c>
    </row>
    <row r="157" spans="1:8" ht="23.25" x14ac:dyDescent="0.35">
      <c r="A157" s="31" t="s">
        <v>435</v>
      </c>
      <c r="B157" s="32">
        <v>155</v>
      </c>
      <c r="C157" s="33">
        <v>10</v>
      </c>
      <c r="D157" s="33">
        <f>SUMIF(وارد!$B$3:$B$2001,منتجات!A157,وارد!$E$3:$E$2001)</f>
        <v>0</v>
      </c>
      <c r="E157" s="33">
        <f>SUMIF(صادر!$B$5:$B$2001,منتجات!A157,صادر!$E$4:$E$2001)</f>
        <v>0</v>
      </c>
      <c r="F157" s="33">
        <f t="shared" si="6"/>
        <v>0</v>
      </c>
      <c r="G157" s="33">
        <v>1</v>
      </c>
      <c r="H157" s="34">
        <f t="shared" si="7"/>
        <v>0</v>
      </c>
    </row>
    <row r="158" spans="1:8" ht="23.25" x14ac:dyDescent="0.35">
      <c r="A158" s="31" t="s">
        <v>436</v>
      </c>
      <c r="B158" s="32">
        <v>156</v>
      </c>
      <c r="C158" s="33">
        <v>10</v>
      </c>
      <c r="D158" s="33">
        <f>SUMIF(وارد!$B$3:$B$2001,منتجات!A158,وارد!$E$3:$E$2001)</f>
        <v>0</v>
      </c>
      <c r="E158" s="33">
        <f>SUMIF(صادر!$B$5:$B$2001,منتجات!A158,صادر!$E$4:$E$2001)</f>
        <v>0</v>
      </c>
      <c r="F158" s="33">
        <f t="shared" si="6"/>
        <v>0</v>
      </c>
      <c r="G158" s="33">
        <v>1</v>
      </c>
      <c r="H158" s="34">
        <f t="shared" si="7"/>
        <v>0</v>
      </c>
    </row>
    <row r="159" spans="1:8" ht="23.25" x14ac:dyDescent="0.35">
      <c r="A159" s="31" t="s">
        <v>437</v>
      </c>
      <c r="B159" s="32">
        <v>157</v>
      </c>
      <c r="C159" s="33">
        <v>10</v>
      </c>
      <c r="D159" s="33">
        <f>SUMIF(وارد!$B$3:$B$2001,منتجات!A159,وارد!$E$3:$E$2001)</f>
        <v>0</v>
      </c>
      <c r="E159" s="33">
        <f>SUMIF(صادر!$B$5:$B$2001,منتجات!A159,صادر!$E$4:$E$2001)</f>
        <v>1</v>
      </c>
      <c r="F159" s="33">
        <f t="shared" si="6"/>
        <v>-1</v>
      </c>
      <c r="G159" s="33">
        <v>1</v>
      </c>
      <c r="H159" s="34">
        <f t="shared" si="7"/>
        <v>-1</v>
      </c>
    </row>
    <row r="160" spans="1:8" x14ac:dyDescent="0.35">
      <c r="A160" s="36" t="s">
        <v>339</v>
      </c>
      <c r="B160" s="32">
        <v>158</v>
      </c>
      <c r="C160" s="33">
        <v>10</v>
      </c>
      <c r="D160" s="33">
        <f>SUMIF(وارد!$B$3:$B$2001,منتجات!A160,وارد!$E$3:$E$2001)</f>
        <v>0</v>
      </c>
      <c r="E160" s="33">
        <f>SUMIF(صادر!$B$5:$B$2001,منتجات!A160,صادر!$E$4:$E$2001)</f>
        <v>0</v>
      </c>
      <c r="F160" s="33">
        <f t="shared" si="6"/>
        <v>0</v>
      </c>
      <c r="G160" s="33">
        <v>1</v>
      </c>
      <c r="H160" s="34">
        <f t="shared" si="7"/>
        <v>0</v>
      </c>
    </row>
    <row r="161" spans="1:8" x14ac:dyDescent="0.35">
      <c r="A161" s="43" t="s">
        <v>341</v>
      </c>
      <c r="B161" s="32">
        <v>159</v>
      </c>
      <c r="C161" s="33">
        <v>10</v>
      </c>
      <c r="D161" s="33">
        <f>SUMIF(وارد!$B$3:$B$2001,منتجات!A161,وارد!$E$3:$E$2001)</f>
        <v>0</v>
      </c>
      <c r="E161" s="33">
        <f>SUMIF(صادر!$B$5:$B$2001,منتجات!A161,صادر!$E$4:$E$2001)</f>
        <v>0</v>
      </c>
      <c r="F161" s="33">
        <f t="shared" si="6"/>
        <v>0</v>
      </c>
      <c r="G161" s="33">
        <v>1</v>
      </c>
      <c r="H161" s="34">
        <f t="shared" si="7"/>
        <v>0</v>
      </c>
    </row>
    <row r="162" spans="1:8" x14ac:dyDescent="0.35">
      <c r="A162" s="43"/>
      <c r="B162" s="32">
        <v>160</v>
      </c>
      <c r="C162" s="33">
        <v>10</v>
      </c>
      <c r="D162" s="33">
        <f>SUMIF(وارد!$B$3:$B$2001,منتجات!A162,وارد!$E$3:$E$2001)</f>
        <v>0</v>
      </c>
      <c r="E162" s="33">
        <f>SUMIF(صادر!$B$5:$B$2001,منتجات!A162,صادر!$E$4:$E$2001)</f>
        <v>0</v>
      </c>
      <c r="F162" s="33">
        <f t="shared" si="6"/>
        <v>0</v>
      </c>
      <c r="G162" s="33">
        <v>1</v>
      </c>
      <c r="H162" s="34">
        <f t="shared" si="7"/>
        <v>0</v>
      </c>
    </row>
    <row r="163" spans="1:8" ht="23.25" x14ac:dyDescent="0.35">
      <c r="A163" s="37" t="s">
        <v>112</v>
      </c>
      <c r="B163" s="32">
        <v>161</v>
      </c>
      <c r="C163" s="33">
        <v>10</v>
      </c>
      <c r="D163" s="33">
        <f>SUMIF(وارد!$B$3:$B$2001,منتجات!A163,وارد!$E$3:$E$2001)</f>
        <v>0</v>
      </c>
      <c r="E163" s="33">
        <f>SUMIF(صادر!$B$5:$B$2001,منتجات!A163,صادر!$E$4:$E$2001)</f>
        <v>0</v>
      </c>
      <c r="F163" s="33">
        <f t="shared" si="6"/>
        <v>0</v>
      </c>
      <c r="G163" s="33">
        <v>1</v>
      </c>
      <c r="H163" s="34">
        <f t="shared" si="7"/>
        <v>0</v>
      </c>
    </row>
    <row r="164" spans="1:8" ht="23.25" x14ac:dyDescent="0.35">
      <c r="A164" s="37" t="s">
        <v>438</v>
      </c>
      <c r="B164" s="32">
        <v>162</v>
      </c>
      <c r="C164" s="33">
        <v>10</v>
      </c>
      <c r="D164" s="33">
        <f>SUMIF(وارد!$B$3:$B$2001,منتجات!A164,وارد!$E$3:$E$2001)</f>
        <v>0</v>
      </c>
      <c r="E164" s="33">
        <f>SUMIF(صادر!$B$5:$B$2001,منتجات!A164,صادر!$E$4:$E$2001)</f>
        <v>0</v>
      </c>
      <c r="F164" s="33">
        <f t="shared" si="6"/>
        <v>0</v>
      </c>
      <c r="G164" s="33">
        <v>1</v>
      </c>
      <c r="H164" s="34">
        <f t="shared" si="7"/>
        <v>0</v>
      </c>
    </row>
    <row r="165" spans="1:8" ht="23.25" x14ac:dyDescent="0.35">
      <c r="A165" s="37" t="s">
        <v>439</v>
      </c>
      <c r="B165" s="32">
        <v>163</v>
      </c>
      <c r="C165" s="33">
        <v>1</v>
      </c>
      <c r="D165" s="33">
        <f>SUMIF(وارد!$B$3:$B$2001,منتجات!A165,وارد!$E$3:$E$2001)</f>
        <v>0</v>
      </c>
      <c r="E165" s="33">
        <f>SUMIF(صادر!$B$5:$B$2001,منتجات!A165,صادر!$E$4:$E$2001)</f>
        <v>0</v>
      </c>
      <c r="F165" s="33">
        <f t="shared" si="6"/>
        <v>0</v>
      </c>
      <c r="G165" s="33">
        <v>1</v>
      </c>
      <c r="H165" s="34">
        <f t="shared" si="7"/>
        <v>0</v>
      </c>
    </row>
    <row r="166" spans="1:8" ht="23.25" x14ac:dyDescent="0.35">
      <c r="A166" s="37" t="s">
        <v>440</v>
      </c>
      <c r="B166" s="32">
        <v>164</v>
      </c>
      <c r="C166" s="33">
        <v>3</v>
      </c>
      <c r="D166" s="33">
        <f>SUMIF(وارد!$B$3:$B$2001,منتجات!A166,وارد!$E$3:$E$2001)</f>
        <v>0</v>
      </c>
      <c r="E166" s="33">
        <f>SUMIF(صادر!$B$5:$B$2001,منتجات!A166,صادر!$E$4:$E$2001)</f>
        <v>0</v>
      </c>
      <c r="F166" s="33">
        <f t="shared" si="6"/>
        <v>0</v>
      </c>
      <c r="G166" s="33">
        <v>1</v>
      </c>
      <c r="H166" s="34">
        <f t="shared" si="7"/>
        <v>0</v>
      </c>
    </row>
    <row r="167" spans="1:8" ht="23.25" x14ac:dyDescent="0.35">
      <c r="A167" s="37" t="s">
        <v>142</v>
      </c>
      <c r="B167" s="32">
        <v>165</v>
      </c>
      <c r="C167" s="33">
        <v>1</v>
      </c>
      <c r="D167" s="33">
        <f>SUMIF(وارد!$B$3:$B$2001,منتجات!A167,وارد!$E$3:$E$2001)</f>
        <v>0</v>
      </c>
      <c r="E167" s="33">
        <f>SUMIF(صادر!$B$5:$B$2001,منتجات!A167,صادر!$E$4:$E$2001)</f>
        <v>1</v>
      </c>
      <c r="F167" s="33">
        <f t="shared" si="6"/>
        <v>-1</v>
      </c>
      <c r="G167" s="33">
        <v>1</v>
      </c>
      <c r="H167" s="34">
        <f t="shared" si="7"/>
        <v>-1</v>
      </c>
    </row>
    <row r="168" spans="1:8" ht="23.25" x14ac:dyDescent="0.35">
      <c r="A168" s="37" t="s">
        <v>143</v>
      </c>
      <c r="B168" s="32">
        <v>166</v>
      </c>
      <c r="C168" s="33">
        <v>1</v>
      </c>
      <c r="D168" s="33">
        <f>SUMIF(وارد!$B$3:$B$2001,منتجات!A168,وارد!$E$3:$E$2001)</f>
        <v>0</v>
      </c>
      <c r="E168" s="33">
        <f>SUMIF(صادر!$B$5:$B$2001,منتجات!A168,صادر!$E$4:$E$2001)</f>
        <v>0</v>
      </c>
      <c r="F168" s="33">
        <f t="shared" si="6"/>
        <v>0</v>
      </c>
      <c r="G168" s="33">
        <v>1</v>
      </c>
      <c r="H168" s="34">
        <f t="shared" si="7"/>
        <v>0</v>
      </c>
    </row>
    <row r="169" spans="1:8" ht="23.25" x14ac:dyDescent="0.35">
      <c r="A169" s="37" t="s">
        <v>144</v>
      </c>
      <c r="B169" s="32">
        <v>167</v>
      </c>
      <c r="C169" s="33">
        <v>1</v>
      </c>
      <c r="D169" s="33">
        <f>SUMIF(وارد!$B$3:$B$2001,منتجات!A169,وارد!$E$3:$E$2001)</f>
        <v>0</v>
      </c>
      <c r="E169" s="33">
        <f>SUMIF(صادر!$B$5:$B$2001,منتجات!A169,صادر!$E$4:$E$2001)</f>
        <v>0</v>
      </c>
      <c r="F169" s="33">
        <f t="shared" si="6"/>
        <v>0</v>
      </c>
      <c r="G169" s="33">
        <v>1</v>
      </c>
      <c r="H169" s="34">
        <f t="shared" si="7"/>
        <v>0</v>
      </c>
    </row>
    <row r="170" spans="1:8" ht="23.25" x14ac:dyDescent="0.35">
      <c r="A170" s="37" t="s">
        <v>145</v>
      </c>
      <c r="B170" s="32">
        <v>168</v>
      </c>
      <c r="C170" s="33">
        <v>1</v>
      </c>
      <c r="D170" s="33">
        <f>SUMIF(وارد!$B$3:$B$2001,منتجات!A170,وارد!$E$3:$E$2001)</f>
        <v>0</v>
      </c>
      <c r="E170" s="33">
        <f>SUMIF(صادر!$B$5:$B$2001,منتجات!A170,صادر!$E$4:$E$2001)</f>
        <v>0</v>
      </c>
      <c r="F170" s="33">
        <f t="shared" si="6"/>
        <v>0</v>
      </c>
      <c r="G170" s="33">
        <v>1</v>
      </c>
      <c r="H170" s="34">
        <f t="shared" si="7"/>
        <v>0</v>
      </c>
    </row>
    <row r="171" spans="1:8" ht="23.25" x14ac:dyDescent="0.35">
      <c r="A171" s="37" t="s">
        <v>146</v>
      </c>
      <c r="B171" s="32">
        <v>169</v>
      </c>
      <c r="C171" s="33">
        <v>1</v>
      </c>
      <c r="D171" s="33">
        <f>SUMIF(وارد!$B$3:$B$2001,منتجات!A171,وارد!$E$3:$E$2001)</f>
        <v>0</v>
      </c>
      <c r="E171" s="33">
        <f>SUMIF(صادر!$B$5:$B$2001,منتجات!A171,صادر!$E$4:$E$2001)</f>
        <v>0</v>
      </c>
      <c r="F171" s="33">
        <f t="shared" si="6"/>
        <v>0</v>
      </c>
      <c r="G171" s="33">
        <v>1</v>
      </c>
      <c r="H171" s="34">
        <f t="shared" si="7"/>
        <v>0</v>
      </c>
    </row>
    <row r="172" spans="1:8" ht="23.25" x14ac:dyDescent="0.35">
      <c r="A172" s="37" t="s">
        <v>306</v>
      </c>
      <c r="B172" s="32">
        <v>170</v>
      </c>
      <c r="C172" s="33">
        <v>1</v>
      </c>
      <c r="D172" s="33">
        <f>SUMIF(وارد!$B$3:$B$2001,منتجات!A172,وارد!$E$3:$E$2001)</f>
        <v>0</v>
      </c>
      <c r="E172" s="33">
        <f>SUMIF(صادر!$B$5:$B$2001,منتجات!A172,صادر!$E$4:$E$2001)</f>
        <v>0</v>
      </c>
      <c r="F172" s="33">
        <f t="shared" si="6"/>
        <v>0</v>
      </c>
      <c r="G172" s="33">
        <v>1</v>
      </c>
      <c r="H172" s="34">
        <f t="shared" si="7"/>
        <v>0</v>
      </c>
    </row>
    <row r="173" spans="1:8" ht="23.25" x14ac:dyDescent="0.35">
      <c r="A173" s="37" t="s">
        <v>147</v>
      </c>
      <c r="B173" s="32">
        <v>171</v>
      </c>
      <c r="C173" s="33">
        <v>1</v>
      </c>
      <c r="D173" s="33">
        <f>SUMIF(وارد!$B$3:$B$2001,منتجات!A173,وارد!$E$3:$E$2001)</f>
        <v>0</v>
      </c>
      <c r="E173" s="33">
        <f>SUMIF(صادر!$B$5:$B$2001,منتجات!A173,صادر!$E$4:$E$2001)</f>
        <v>0</v>
      </c>
      <c r="F173" s="33">
        <f t="shared" si="6"/>
        <v>0</v>
      </c>
      <c r="G173" s="33">
        <v>1</v>
      </c>
      <c r="H173" s="34">
        <f t="shared" si="7"/>
        <v>0</v>
      </c>
    </row>
    <row r="174" spans="1:8" ht="23.25" x14ac:dyDescent="0.35">
      <c r="A174" s="37" t="s">
        <v>148</v>
      </c>
      <c r="B174" s="32">
        <v>172</v>
      </c>
      <c r="C174" s="33">
        <v>1</v>
      </c>
      <c r="D174" s="33">
        <f>SUMIF(وارد!$B$3:$B$2001,منتجات!A174,وارد!$E$3:$E$2001)</f>
        <v>0</v>
      </c>
      <c r="E174" s="33">
        <f>SUMIF(صادر!$B$5:$B$2001,منتجات!A174,صادر!$E$4:$E$2001)</f>
        <v>0</v>
      </c>
      <c r="F174" s="33">
        <f t="shared" si="6"/>
        <v>0</v>
      </c>
      <c r="G174" s="33">
        <v>1</v>
      </c>
      <c r="H174" s="34">
        <f t="shared" si="7"/>
        <v>0</v>
      </c>
    </row>
    <row r="175" spans="1:8" ht="23.25" x14ac:dyDescent="0.35">
      <c r="A175" s="37" t="s">
        <v>337</v>
      </c>
      <c r="B175" s="32">
        <v>173</v>
      </c>
      <c r="C175" s="33">
        <v>1</v>
      </c>
      <c r="D175" s="33">
        <f>SUMIF(وارد!$B$3:$B$2001,منتجات!A175,وارد!$E$3:$E$2001)</f>
        <v>0</v>
      </c>
      <c r="E175" s="33">
        <f>SUMIF(صادر!$B$5:$B$2001,منتجات!A175,صادر!$E$4:$E$2001)</f>
        <v>0</v>
      </c>
      <c r="F175" s="33">
        <f t="shared" si="6"/>
        <v>0</v>
      </c>
      <c r="G175" s="33">
        <v>1</v>
      </c>
      <c r="H175" s="34">
        <f t="shared" si="7"/>
        <v>0</v>
      </c>
    </row>
    <row r="176" spans="1:8" ht="23.25" x14ac:dyDescent="0.35">
      <c r="A176" s="37" t="s">
        <v>441</v>
      </c>
      <c r="B176" s="32">
        <v>174</v>
      </c>
      <c r="C176" s="33">
        <v>1</v>
      </c>
      <c r="D176" s="33">
        <f>SUMIF(وارد!$B$3:$B$2001,منتجات!A176,وارد!$E$3:$E$2001)</f>
        <v>0</v>
      </c>
      <c r="E176" s="33">
        <f>SUMIF(صادر!$B$5:$B$2001,منتجات!A176,صادر!$E$4:$E$2001)</f>
        <v>0</v>
      </c>
      <c r="F176" s="33">
        <f t="shared" si="6"/>
        <v>0</v>
      </c>
      <c r="G176" s="33">
        <v>1</v>
      </c>
      <c r="H176" s="34">
        <f t="shared" si="7"/>
        <v>0</v>
      </c>
    </row>
    <row r="177" spans="1:8" ht="23.25" x14ac:dyDescent="0.35">
      <c r="A177" s="37" t="s">
        <v>340</v>
      </c>
      <c r="B177" s="32">
        <v>175</v>
      </c>
      <c r="C177" s="33">
        <v>1</v>
      </c>
      <c r="D177" s="33">
        <f>SUMIF(وارد!$B$3:$B$2001,منتجات!A177,وارد!$E$3:$E$2001)</f>
        <v>0</v>
      </c>
      <c r="E177" s="33">
        <f>SUMIF(صادر!$B$5:$B$2001,منتجات!A177,صادر!$E$4:$E$2001)</f>
        <v>0</v>
      </c>
      <c r="F177" s="33">
        <f t="shared" si="6"/>
        <v>0</v>
      </c>
      <c r="G177" s="33">
        <v>1</v>
      </c>
      <c r="H177" s="34">
        <f t="shared" si="7"/>
        <v>0</v>
      </c>
    </row>
    <row r="178" spans="1:8" ht="23.25" x14ac:dyDescent="0.35">
      <c r="A178" s="35" t="s">
        <v>339</v>
      </c>
      <c r="B178" s="32">
        <v>176</v>
      </c>
      <c r="C178" s="33">
        <v>10</v>
      </c>
      <c r="D178" s="33">
        <f>SUMIF(وارد!$B$3:$B$2001,منتجات!A178,وارد!$E$3:$E$2001)</f>
        <v>0</v>
      </c>
      <c r="E178" s="33">
        <f>SUMIF(صادر!$B$5:$B$2001,منتجات!A178,صادر!$E$4:$E$2001)</f>
        <v>0</v>
      </c>
      <c r="F178" s="33">
        <f t="shared" si="6"/>
        <v>0</v>
      </c>
      <c r="G178" s="33">
        <v>1</v>
      </c>
      <c r="H178" s="34">
        <f t="shared" si="7"/>
        <v>0</v>
      </c>
    </row>
    <row r="179" spans="1:8" x14ac:dyDescent="0.35">
      <c r="A179" s="41"/>
      <c r="B179" s="32">
        <v>177</v>
      </c>
      <c r="C179" s="33">
        <v>50</v>
      </c>
      <c r="D179" s="33">
        <f>SUMIF(وارد!$B$3:$B$2001,منتجات!A179,وارد!$E$3:$E$2001)</f>
        <v>0</v>
      </c>
      <c r="E179" s="33">
        <f>SUMIF(صادر!$B$5:$B$2001,منتجات!A179,صادر!$E$4:$E$2001)</f>
        <v>0</v>
      </c>
      <c r="F179" s="33">
        <f t="shared" si="6"/>
        <v>0</v>
      </c>
      <c r="G179" s="33">
        <v>1</v>
      </c>
      <c r="H179" s="34">
        <f t="shared" si="7"/>
        <v>0</v>
      </c>
    </row>
    <row r="180" spans="1:8" ht="23.25" x14ac:dyDescent="0.35">
      <c r="A180" s="37" t="s">
        <v>79</v>
      </c>
      <c r="B180" s="32">
        <v>178</v>
      </c>
      <c r="C180" s="33">
        <v>50</v>
      </c>
      <c r="D180" s="33">
        <f>SUMIF(وارد!$B$3:$B$2001,منتجات!A180,وارد!$E$3:$E$2001)</f>
        <v>0</v>
      </c>
      <c r="E180" s="33">
        <f>SUMIF(صادر!$B$5:$B$2001,منتجات!A180,صادر!$E$4:$E$2001)</f>
        <v>0</v>
      </c>
      <c r="F180" s="33">
        <f t="shared" si="6"/>
        <v>0</v>
      </c>
      <c r="G180" s="33">
        <v>1</v>
      </c>
      <c r="H180" s="34">
        <f t="shared" si="7"/>
        <v>0</v>
      </c>
    </row>
    <row r="181" spans="1:8" ht="23.25" x14ac:dyDescent="0.35">
      <c r="A181" s="37" t="s">
        <v>318</v>
      </c>
      <c r="B181" s="32">
        <v>179</v>
      </c>
      <c r="C181" s="33">
        <v>50</v>
      </c>
      <c r="D181" s="33">
        <f>SUMIF(وارد!$B$3:$B$2001,منتجات!A181,وارد!$E$3:$E$2001)</f>
        <v>0</v>
      </c>
      <c r="E181" s="33">
        <f>SUMIF(صادر!$B$5:$B$2001,منتجات!A181,صادر!$E$4:$E$2001)</f>
        <v>0</v>
      </c>
      <c r="F181" s="33">
        <f t="shared" si="6"/>
        <v>0</v>
      </c>
      <c r="G181" s="33">
        <v>1</v>
      </c>
      <c r="H181" s="34">
        <f t="shared" si="7"/>
        <v>0</v>
      </c>
    </row>
    <row r="182" spans="1:8" ht="23.25" x14ac:dyDescent="0.35">
      <c r="A182" s="37" t="s">
        <v>81</v>
      </c>
      <c r="B182" s="32">
        <v>180</v>
      </c>
      <c r="C182" s="33">
        <v>50</v>
      </c>
      <c r="D182" s="33">
        <f>SUMIF(وارد!$B$3:$B$2001,منتجات!A182,وارد!$E$3:$E$2001)</f>
        <v>0</v>
      </c>
      <c r="E182" s="33">
        <f>SUMIF(صادر!$B$5:$B$2001,منتجات!A182,صادر!$E$4:$E$2001)</f>
        <v>0</v>
      </c>
      <c r="F182" s="33">
        <f t="shared" si="6"/>
        <v>0</v>
      </c>
      <c r="G182" s="33">
        <v>1</v>
      </c>
      <c r="H182" s="34">
        <f t="shared" si="7"/>
        <v>0</v>
      </c>
    </row>
    <row r="183" spans="1:8" ht="23.25" x14ac:dyDescent="0.35">
      <c r="A183" s="37" t="s">
        <v>82</v>
      </c>
      <c r="B183" s="32">
        <v>181</v>
      </c>
      <c r="C183" s="33">
        <v>50</v>
      </c>
      <c r="D183" s="33">
        <f>SUMIF(وارد!$B$3:$B$2001,منتجات!A183,وارد!$E$3:$E$2001)</f>
        <v>0</v>
      </c>
      <c r="E183" s="33">
        <f>SUMIF(صادر!$B$5:$B$2001,منتجات!A183,صادر!$E$4:$E$2001)</f>
        <v>0</v>
      </c>
      <c r="F183" s="33">
        <f t="shared" si="6"/>
        <v>0</v>
      </c>
      <c r="G183" s="33">
        <v>1</v>
      </c>
      <c r="H183" s="34">
        <f t="shared" si="7"/>
        <v>0</v>
      </c>
    </row>
    <row r="184" spans="1:8" ht="23.25" x14ac:dyDescent="0.35">
      <c r="A184" s="37" t="s">
        <v>83</v>
      </c>
      <c r="B184" s="32">
        <v>182</v>
      </c>
      <c r="C184" s="33">
        <v>50</v>
      </c>
      <c r="D184" s="33">
        <f>SUMIF(وارد!$B$3:$B$2001,منتجات!A184,وارد!$E$3:$E$2001)</f>
        <v>0</v>
      </c>
      <c r="E184" s="33">
        <f>SUMIF(صادر!$B$5:$B$2001,منتجات!A184,صادر!$E$4:$E$2001)</f>
        <v>0</v>
      </c>
      <c r="F184" s="33">
        <f t="shared" si="6"/>
        <v>0</v>
      </c>
      <c r="G184" s="33">
        <v>1</v>
      </c>
      <c r="H184" s="34">
        <f t="shared" si="7"/>
        <v>0</v>
      </c>
    </row>
    <row r="185" spans="1:8" ht="23.25" x14ac:dyDescent="0.35">
      <c r="A185" s="37" t="s">
        <v>84</v>
      </c>
      <c r="B185" s="32">
        <v>183</v>
      </c>
      <c r="C185" s="33">
        <v>50</v>
      </c>
      <c r="D185" s="33">
        <f>SUMIF(وارد!$B$3:$B$2001,منتجات!A185,وارد!$E$3:$E$2001)</f>
        <v>0</v>
      </c>
      <c r="E185" s="33">
        <f>SUMIF(صادر!$B$5:$B$2001,منتجات!A185,صادر!$E$4:$E$2001)</f>
        <v>0</v>
      </c>
      <c r="F185" s="33">
        <f t="shared" si="6"/>
        <v>0</v>
      </c>
      <c r="G185" s="33">
        <v>1</v>
      </c>
      <c r="H185" s="34">
        <f t="shared" si="7"/>
        <v>0</v>
      </c>
    </row>
    <row r="186" spans="1:8" ht="23.25" x14ac:dyDescent="0.35">
      <c r="A186" s="37" t="s">
        <v>85</v>
      </c>
      <c r="B186" s="32">
        <v>184</v>
      </c>
      <c r="C186" s="33">
        <v>50</v>
      </c>
      <c r="D186" s="33">
        <f>SUMIF(وارد!$B$3:$B$2001,منتجات!A186,وارد!$E$3:$E$2001)</f>
        <v>0</v>
      </c>
      <c r="E186" s="33">
        <f>SUMIF(صادر!$B$5:$B$2001,منتجات!A186,صادر!$E$4:$E$2001)</f>
        <v>0</v>
      </c>
      <c r="F186" s="33">
        <f t="shared" si="6"/>
        <v>0</v>
      </c>
      <c r="G186" s="33">
        <v>1</v>
      </c>
      <c r="H186" s="34">
        <f t="shared" si="7"/>
        <v>0</v>
      </c>
    </row>
    <row r="187" spans="1:8" ht="23.25" x14ac:dyDescent="0.35">
      <c r="A187" s="37" t="s">
        <v>86</v>
      </c>
      <c r="B187" s="32">
        <v>185</v>
      </c>
      <c r="C187" s="33">
        <v>50</v>
      </c>
      <c r="D187" s="33">
        <f>SUMIF(وارد!$B$3:$B$2001,منتجات!A187,وارد!$E$3:$E$2001)</f>
        <v>0</v>
      </c>
      <c r="E187" s="33">
        <f>SUMIF(صادر!$B$5:$B$2001,منتجات!A187,صادر!$E$4:$E$2001)</f>
        <v>0</v>
      </c>
      <c r="F187" s="33">
        <f t="shared" si="6"/>
        <v>0</v>
      </c>
      <c r="G187" s="33">
        <v>1</v>
      </c>
      <c r="H187" s="34">
        <f t="shared" si="7"/>
        <v>0</v>
      </c>
    </row>
    <row r="188" spans="1:8" ht="23.25" x14ac:dyDescent="0.35">
      <c r="A188" s="37" t="s">
        <v>87</v>
      </c>
      <c r="B188" s="32">
        <v>186</v>
      </c>
      <c r="C188" s="33">
        <v>50</v>
      </c>
      <c r="D188" s="33">
        <f>SUMIF(وارد!$B$3:$B$2001,منتجات!A188,وارد!$E$3:$E$2001)</f>
        <v>0</v>
      </c>
      <c r="E188" s="33">
        <f>SUMIF(صادر!$B$5:$B$2001,منتجات!A188,صادر!$E$4:$E$2001)</f>
        <v>0</v>
      </c>
      <c r="F188" s="33">
        <f t="shared" si="6"/>
        <v>0</v>
      </c>
      <c r="G188" s="33">
        <v>1</v>
      </c>
      <c r="H188" s="34">
        <f t="shared" si="7"/>
        <v>0</v>
      </c>
    </row>
    <row r="189" spans="1:8" ht="23.25" x14ac:dyDescent="0.35">
      <c r="A189" s="37" t="s">
        <v>88</v>
      </c>
      <c r="B189" s="32">
        <v>187</v>
      </c>
      <c r="C189" s="33">
        <v>50</v>
      </c>
      <c r="D189" s="33">
        <f>SUMIF(وارد!$B$3:$B$2001,منتجات!A189,وارد!$E$3:$E$2001)</f>
        <v>1</v>
      </c>
      <c r="E189" s="33">
        <f>SUMIF(صادر!$B$5:$B$2001,منتجات!A189,صادر!$E$4:$E$2001)</f>
        <v>0</v>
      </c>
      <c r="F189" s="33">
        <f t="shared" si="6"/>
        <v>50</v>
      </c>
      <c r="G189" s="33">
        <v>1</v>
      </c>
      <c r="H189" s="34">
        <f t="shared" si="7"/>
        <v>50</v>
      </c>
    </row>
    <row r="190" spans="1:8" ht="23.25" x14ac:dyDescent="0.35">
      <c r="A190" s="37" t="s">
        <v>319</v>
      </c>
      <c r="B190" s="32">
        <v>188</v>
      </c>
      <c r="C190" s="33">
        <v>50</v>
      </c>
      <c r="D190" s="33">
        <f>SUMIF(وارد!$B$3:$B$2001,منتجات!A190,وارد!$E$3:$E$2001)</f>
        <v>0</v>
      </c>
      <c r="E190" s="33">
        <f>SUMIF(صادر!$B$5:$B$2001,منتجات!A190,صادر!$E$4:$E$2001)</f>
        <v>0</v>
      </c>
      <c r="F190" s="33">
        <f t="shared" si="6"/>
        <v>0</v>
      </c>
      <c r="G190" s="33">
        <v>1</v>
      </c>
      <c r="H190" s="34">
        <f t="shared" si="7"/>
        <v>0</v>
      </c>
    </row>
    <row r="191" spans="1:8" ht="23.25" x14ac:dyDescent="0.35">
      <c r="A191" s="37" t="s">
        <v>90</v>
      </c>
      <c r="B191" s="32">
        <v>189</v>
      </c>
      <c r="C191" s="33">
        <v>50</v>
      </c>
      <c r="D191" s="33">
        <f>SUMIF(وارد!$B$3:$B$2001,منتجات!A191,وارد!$E$3:$E$2001)</f>
        <v>0</v>
      </c>
      <c r="E191" s="33">
        <f>SUMIF(صادر!$B$5:$B$2001,منتجات!A191,صادر!$E$4:$E$2001)</f>
        <v>0</v>
      </c>
      <c r="F191" s="33">
        <f t="shared" si="6"/>
        <v>0</v>
      </c>
      <c r="G191" s="33">
        <v>1</v>
      </c>
      <c r="H191" s="34">
        <f t="shared" si="7"/>
        <v>0</v>
      </c>
    </row>
    <row r="192" spans="1:8" ht="23.25" x14ac:dyDescent="0.35">
      <c r="A192" s="37" t="s">
        <v>91</v>
      </c>
      <c r="B192" s="32">
        <v>190</v>
      </c>
      <c r="C192" s="33">
        <v>50</v>
      </c>
      <c r="D192" s="33">
        <f>SUMIF(وارد!$B$3:$B$2001,منتجات!A192,وارد!$E$3:$E$2001)</f>
        <v>0</v>
      </c>
      <c r="E192" s="33">
        <f>SUMIF(صادر!$B$5:$B$2001,منتجات!A192,صادر!$E$4:$E$2001)</f>
        <v>0</v>
      </c>
      <c r="F192" s="33">
        <f t="shared" si="6"/>
        <v>0</v>
      </c>
      <c r="G192" s="33">
        <v>1</v>
      </c>
      <c r="H192" s="34">
        <f t="shared" si="7"/>
        <v>0</v>
      </c>
    </row>
    <row r="193" spans="1:8" ht="23.25" x14ac:dyDescent="0.35">
      <c r="A193" s="37" t="s">
        <v>92</v>
      </c>
      <c r="B193" s="32">
        <v>191</v>
      </c>
      <c r="C193" s="33">
        <v>100</v>
      </c>
      <c r="D193" s="33">
        <f>SUMIF(وارد!$B$3:$B$2001,منتجات!A193,وارد!$E$3:$E$2001)</f>
        <v>0</v>
      </c>
      <c r="E193" s="33">
        <f>SUMIF(صادر!$B$5:$B$2001,منتجات!A193,صادر!$E$4:$E$2001)</f>
        <v>0</v>
      </c>
      <c r="F193" s="33">
        <f t="shared" si="6"/>
        <v>0</v>
      </c>
      <c r="G193" s="33">
        <v>1</v>
      </c>
      <c r="H193" s="34">
        <f t="shared" si="7"/>
        <v>0</v>
      </c>
    </row>
    <row r="194" spans="1:8" ht="23.25" x14ac:dyDescent="0.35">
      <c r="A194" s="15" t="s">
        <v>479</v>
      </c>
      <c r="B194" s="32">
        <v>192</v>
      </c>
      <c r="C194" s="33">
        <v>100</v>
      </c>
      <c r="D194" s="33">
        <f>SUMIF(وارد!$B$3:$B$2001,منتجات!A194,وارد!$E$3:$E$2001)</f>
        <v>1</v>
      </c>
      <c r="E194" s="33">
        <f>SUMIF(صادر!$B$5:$B$2001,منتجات!A194,صادر!$E$4:$E$2001)</f>
        <v>0</v>
      </c>
      <c r="F194" s="33">
        <f t="shared" si="6"/>
        <v>100</v>
      </c>
      <c r="G194" s="33">
        <v>1</v>
      </c>
      <c r="H194" s="34">
        <f t="shared" si="7"/>
        <v>100</v>
      </c>
    </row>
    <row r="195" spans="1:8" ht="23.25" x14ac:dyDescent="0.35">
      <c r="A195" s="15" t="s">
        <v>480</v>
      </c>
      <c r="B195" s="32">
        <v>193</v>
      </c>
      <c r="C195" s="33">
        <v>100</v>
      </c>
      <c r="D195" s="33">
        <f>SUMIF(وارد!$B$3:$B$2001,منتجات!A195,وارد!$E$3:$E$2001)</f>
        <v>1</v>
      </c>
      <c r="E195" s="33">
        <f>SUMIF(صادر!$B$5:$B$2001,منتجات!A195,صادر!$E$4:$E$2001)</f>
        <v>0</v>
      </c>
      <c r="F195" s="33">
        <f t="shared" si="6"/>
        <v>100</v>
      </c>
      <c r="G195" s="33">
        <v>1</v>
      </c>
      <c r="H195" s="34">
        <f t="shared" si="7"/>
        <v>100</v>
      </c>
    </row>
    <row r="196" spans="1:8" ht="23.25" x14ac:dyDescent="0.35">
      <c r="A196" s="15" t="s">
        <v>481</v>
      </c>
      <c r="B196" s="32">
        <v>194</v>
      </c>
      <c r="C196" s="33">
        <v>100</v>
      </c>
      <c r="D196" s="33">
        <f>SUMIF(وارد!$B$3:$B$2001,منتجات!A196,وارد!$E$3:$E$2001)</f>
        <v>1</v>
      </c>
      <c r="E196" s="33">
        <f>SUMIF(صادر!$B$5:$B$2001,منتجات!A196,صادر!$E$4:$E$2001)</f>
        <v>0</v>
      </c>
      <c r="F196" s="33">
        <f t="shared" ref="F196:F259" si="8">(D196*C196)-E196</f>
        <v>100</v>
      </c>
      <c r="G196" s="33">
        <v>1</v>
      </c>
      <c r="H196" s="34">
        <f t="shared" si="7"/>
        <v>100</v>
      </c>
    </row>
    <row r="197" spans="1:8" x14ac:dyDescent="0.35">
      <c r="A197" s="46" t="s">
        <v>339</v>
      </c>
      <c r="B197" s="32">
        <v>195</v>
      </c>
      <c r="C197" s="33">
        <v>10</v>
      </c>
      <c r="D197" s="33">
        <f>SUMIF(وارد!$B$3:$B$2001,منتجات!A197,وارد!$E$3:$E$2001)</f>
        <v>0</v>
      </c>
      <c r="E197" s="33">
        <f>SUMIF(صادر!$B$5:$B$2001,منتجات!A197,صادر!$E$4:$E$2001)</f>
        <v>0</v>
      </c>
      <c r="F197" s="33">
        <f t="shared" si="8"/>
        <v>0</v>
      </c>
      <c r="G197" s="33">
        <v>1</v>
      </c>
      <c r="H197" s="34">
        <f t="shared" si="7"/>
        <v>0</v>
      </c>
    </row>
    <row r="198" spans="1:8" x14ac:dyDescent="0.35">
      <c r="A198" s="46"/>
      <c r="B198" s="32">
        <v>196</v>
      </c>
      <c r="C198" s="33">
        <v>30</v>
      </c>
      <c r="D198" s="33">
        <f>SUMIF(وارد!$B$3:$B$2001,منتجات!A198,وارد!$E$3:$E$2001)</f>
        <v>0</v>
      </c>
      <c r="E198" s="33">
        <f>SUMIF(صادر!$B$5:$B$2001,منتجات!A198,صادر!$E$4:$E$2001)</f>
        <v>0</v>
      </c>
      <c r="F198" s="33">
        <f t="shared" si="8"/>
        <v>0</v>
      </c>
      <c r="G198" s="33">
        <v>1</v>
      </c>
      <c r="H198" s="34">
        <f t="shared" ref="H198:H261" si="9">F198*G198</f>
        <v>0</v>
      </c>
    </row>
    <row r="199" spans="1:8" ht="23.25" x14ac:dyDescent="0.35">
      <c r="A199" s="39" t="s">
        <v>93</v>
      </c>
      <c r="B199" s="32">
        <v>197</v>
      </c>
      <c r="C199" s="33">
        <v>30</v>
      </c>
      <c r="D199" s="33">
        <f>SUMIF(وارد!$B$3:$B$2001,منتجات!A199,وارد!$E$3:$E$2001)</f>
        <v>0</v>
      </c>
      <c r="E199" s="33">
        <f>SUMIF(صادر!$B$5:$B$2001,منتجات!A199,صادر!$E$4:$E$2001)</f>
        <v>0</v>
      </c>
      <c r="F199" s="33">
        <f t="shared" si="8"/>
        <v>0</v>
      </c>
      <c r="G199" s="33">
        <v>1</v>
      </c>
      <c r="H199" s="34">
        <f t="shared" si="9"/>
        <v>0</v>
      </c>
    </row>
    <row r="200" spans="1:8" ht="23.25" x14ac:dyDescent="0.35">
      <c r="A200" s="39" t="s">
        <v>94</v>
      </c>
      <c r="B200" s="32">
        <v>198</v>
      </c>
      <c r="C200" s="33">
        <v>30</v>
      </c>
      <c r="D200" s="33">
        <f>SUMIF(وارد!$B$3:$B$2001,منتجات!A200,وارد!$E$3:$E$2001)</f>
        <v>0</v>
      </c>
      <c r="E200" s="33">
        <f>SUMIF(صادر!$B$5:$B$2001,منتجات!A200,صادر!$E$4:$E$2001)</f>
        <v>0</v>
      </c>
      <c r="F200" s="33">
        <f t="shared" si="8"/>
        <v>0</v>
      </c>
      <c r="G200" s="33">
        <v>1</v>
      </c>
      <c r="H200" s="34">
        <f t="shared" si="9"/>
        <v>0</v>
      </c>
    </row>
    <row r="201" spans="1:8" ht="23.25" x14ac:dyDescent="0.35">
      <c r="A201" s="39" t="s">
        <v>320</v>
      </c>
      <c r="B201" s="32">
        <v>199</v>
      </c>
      <c r="C201" s="33">
        <v>30</v>
      </c>
      <c r="D201" s="33">
        <f>SUMIF(وارد!$B$3:$B$2001,منتجات!A201,وارد!$E$3:$E$2001)</f>
        <v>0</v>
      </c>
      <c r="E201" s="33">
        <f>SUMIF(صادر!$B$5:$B$2001,منتجات!A201,صادر!$E$4:$E$2001)</f>
        <v>0</v>
      </c>
      <c r="F201" s="33">
        <f t="shared" si="8"/>
        <v>0</v>
      </c>
      <c r="G201" s="33">
        <v>1</v>
      </c>
      <c r="H201" s="34">
        <f t="shared" si="9"/>
        <v>0</v>
      </c>
    </row>
    <row r="202" spans="1:8" ht="23.25" x14ac:dyDescent="0.35">
      <c r="A202" s="39" t="s">
        <v>96</v>
      </c>
      <c r="B202" s="32">
        <v>200</v>
      </c>
      <c r="C202" s="33">
        <v>30</v>
      </c>
      <c r="D202" s="33">
        <f>SUMIF(وارد!$B$3:$B$2001,منتجات!A202,وارد!$E$3:$E$2001)</f>
        <v>0</v>
      </c>
      <c r="E202" s="33">
        <f>SUMIF(صادر!$B$5:$B$2001,منتجات!A202,صادر!$E$4:$E$2001)</f>
        <v>0</v>
      </c>
      <c r="F202" s="33">
        <f t="shared" si="8"/>
        <v>0</v>
      </c>
      <c r="G202" s="33">
        <v>1</v>
      </c>
      <c r="H202" s="34">
        <f t="shared" si="9"/>
        <v>0</v>
      </c>
    </row>
    <row r="203" spans="1:8" ht="23.25" x14ac:dyDescent="0.35">
      <c r="A203" s="39" t="s">
        <v>97</v>
      </c>
      <c r="B203" s="32">
        <v>201</v>
      </c>
      <c r="C203" s="33">
        <v>30</v>
      </c>
      <c r="D203" s="33">
        <f>SUMIF(وارد!$B$3:$B$2001,منتجات!A203,وارد!$E$3:$E$2001)</f>
        <v>0</v>
      </c>
      <c r="E203" s="33">
        <f>SUMIF(صادر!$B$5:$B$2001,منتجات!A203,صادر!$E$4:$E$2001)</f>
        <v>0</v>
      </c>
      <c r="F203" s="33">
        <f t="shared" si="8"/>
        <v>0</v>
      </c>
      <c r="G203" s="33">
        <v>1</v>
      </c>
      <c r="H203" s="34">
        <f t="shared" si="9"/>
        <v>0</v>
      </c>
    </row>
    <row r="204" spans="1:8" ht="23.25" x14ac:dyDescent="0.35">
      <c r="A204" s="39" t="s">
        <v>98</v>
      </c>
      <c r="B204" s="32">
        <v>202</v>
      </c>
      <c r="C204" s="33">
        <v>30</v>
      </c>
      <c r="D204" s="33">
        <f>SUMIF(وارد!$B$3:$B$2001,منتجات!A204,وارد!$E$3:$E$2001)</f>
        <v>0</v>
      </c>
      <c r="E204" s="33">
        <f>SUMIF(صادر!$B$5:$B$2001,منتجات!A204,صادر!$E$4:$E$2001)</f>
        <v>0</v>
      </c>
      <c r="F204" s="33">
        <f t="shared" si="8"/>
        <v>0</v>
      </c>
      <c r="G204" s="33">
        <v>1</v>
      </c>
      <c r="H204" s="34">
        <f t="shared" si="9"/>
        <v>0</v>
      </c>
    </row>
    <row r="205" spans="1:8" ht="23.25" x14ac:dyDescent="0.35">
      <c r="A205" s="39" t="s">
        <v>99</v>
      </c>
      <c r="B205" s="32">
        <v>203</v>
      </c>
      <c r="C205" s="33">
        <v>30</v>
      </c>
      <c r="D205" s="33">
        <f>SUMIF(وارد!$B$3:$B$2001,منتجات!A205,وارد!$E$3:$E$2001)</f>
        <v>0</v>
      </c>
      <c r="E205" s="33">
        <f>SUMIF(صادر!$B$5:$B$2001,منتجات!A205,صادر!$E$4:$E$2001)</f>
        <v>0</v>
      </c>
      <c r="F205" s="33">
        <f t="shared" si="8"/>
        <v>0</v>
      </c>
      <c r="G205" s="33">
        <v>1</v>
      </c>
      <c r="H205" s="34">
        <f t="shared" si="9"/>
        <v>0</v>
      </c>
    </row>
    <row r="206" spans="1:8" ht="23.25" x14ac:dyDescent="0.35">
      <c r="A206" s="39" t="s">
        <v>100</v>
      </c>
      <c r="B206" s="32">
        <v>204</v>
      </c>
      <c r="C206" s="33">
        <v>30</v>
      </c>
      <c r="D206" s="33">
        <f>SUMIF(وارد!$B$3:$B$2001,منتجات!A206,وارد!$E$3:$E$2001)</f>
        <v>0</v>
      </c>
      <c r="E206" s="33">
        <f>SUMIF(صادر!$B$5:$B$2001,منتجات!A206,صادر!$E$4:$E$2001)</f>
        <v>0</v>
      </c>
      <c r="F206" s="33">
        <f t="shared" si="8"/>
        <v>0</v>
      </c>
      <c r="G206" s="33">
        <v>1</v>
      </c>
      <c r="H206" s="34">
        <f t="shared" si="9"/>
        <v>0</v>
      </c>
    </row>
    <row r="207" spans="1:8" ht="23.25" x14ac:dyDescent="0.35">
      <c r="A207" s="39" t="s">
        <v>101</v>
      </c>
      <c r="B207" s="32">
        <v>205</v>
      </c>
      <c r="C207" s="33">
        <v>30</v>
      </c>
      <c r="D207" s="33">
        <f>SUMIF(وارد!$B$3:$B$2001,منتجات!A207,وارد!$E$3:$E$2001)</f>
        <v>0</v>
      </c>
      <c r="E207" s="33">
        <f>SUMIF(صادر!$B$5:$B$2001,منتجات!A207,صادر!$E$4:$E$2001)</f>
        <v>0</v>
      </c>
      <c r="F207" s="33">
        <f t="shared" si="8"/>
        <v>0</v>
      </c>
      <c r="G207" s="33">
        <v>1</v>
      </c>
      <c r="H207" s="34">
        <f t="shared" si="9"/>
        <v>0</v>
      </c>
    </row>
    <row r="208" spans="1:8" ht="23.25" x14ac:dyDescent="0.35">
      <c r="A208" s="39" t="s">
        <v>102</v>
      </c>
      <c r="B208" s="32">
        <v>206</v>
      </c>
      <c r="C208" s="33">
        <v>30</v>
      </c>
      <c r="D208" s="33">
        <f>SUMIF(وارد!$B$3:$B$2001,منتجات!A208,وارد!$E$3:$E$2001)</f>
        <v>0</v>
      </c>
      <c r="E208" s="33">
        <f>SUMIF(صادر!$B$5:$B$2001,منتجات!A208,صادر!$E$4:$E$2001)</f>
        <v>0</v>
      </c>
      <c r="F208" s="33">
        <f t="shared" si="8"/>
        <v>0</v>
      </c>
      <c r="G208" s="33">
        <v>1</v>
      </c>
      <c r="H208" s="34">
        <f t="shared" si="9"/>
        <v>0</v>
      </c>
    </row>
    <row r="209" spans="1:8" ht="23.25" x14ac:dyDescent="0.35">
      <c r="A209" s="39" t="s">
        <v>103</v>
      </c>
      <c r="B209" s="32">
        <v>207</v>
      </c>
      <c r="C209" s="33">
        <v>30</v>
      </c>
      <c r="D209" s="33">
        <f>SUMIF(وارد!$B$3:$B$2001,منتجات!A209,وارد!$E$3:$E$2001)</f>
        <v>0</v>
      </c>
      <c r="E209" s="33">
        <f>SUMIF(صادر!$B$5:$B$2001,منتجات!A209,صادر!$E$4:$E$2001)</f>
        <v>0</v>
      </c>
      <c r="F209" s="33">
        <f t="shared" si="8"/>
        <v>0</v>
      </c>
      <c r="G209" s="33">
        <v>1</v>
      </c>
      <c r="H209" s="34">
        <f t="shared" si="9"/>
        <v>0</v>
      </c>
    </row>
    <row r="210" spans="1:8" ht="23.25" x14ac:dyDescent="0.35">
      <c r="A210" s="39" t="s">
        <v>104</v>
      </c>
      <c r="B210" s="32">
        <v>208</v>
      </c>
      <c r="C210" s="33">
        <v>30</v>
      </c>
      <c r="D210" s="33">
        <f>SUMIF(وارد!$B$3:$B$2001,منتجات!A210,وارد!$E$3:$E$2001)</f>
        <v>0</v>
      </c>
      <c r="E210" s="33">
        <f>SUMIF(صادر!$B$5:$B$2001,منتجات!A210,صادر!$E$4:$E$2001)</f>
        <v>0</v>
      </c>
      <c r="F210" s="33">
        <f t="shared" si="8"/>
        <v>0</v>
      </c>
      <c r="G210" s="33">
        <v>1</v>
      </c>
      <c r="H210" s="34">
        <f t="shared" si="9"/>
        <v>0</v>
      </c>
    </row>
    <row r="211" spans="1:8" ht="23.25" x14ac:dyDescent="0.35">
      <c r="A211" s="39" t="s">
        <v>307</v>
      </c>
      <c r="B211" s="32">
        <v>209</v>
      </c>
      <c r="C211" s="33">
        <v>30</v>
      </c>
      <c r="D211" s="33">
        <f>SUMIF(وارد!$B$3:$B$2001,منتجات!A211,وارد!$E$3:$E$2001)</f>
        <v>0</v>
      </c>
      <c r="E211" s="33">
        <f>SUMIF(صادر!$B$5:$B$2001,منتجات!A211,صادر!$E$4:$E$2001)</f>
        <v>0</v>
      </c>
      <c r="F211" s="33">
        <f t="shared" si="8"/>
        <v>0</v>
      </c>
      <c r="G211" s="33">
        <v>1</v>
      </c>
      <c r="H211" s="34">
        <f t="shared" si="9"/>
        <v>0</v>
      </c>
    </row>
    <row r="212" spans="1:8" ht="23.25" x14ac:dyDescent="0.35">
      <c r="A212" s="39" t="s">
        <v>321</v>
      </c>
      <c r="B212" s="32">
        <v>210</v>
      </c>
      <c r="C212" s="33">
        <v>30</v>
      </c>
      <c r="D212" s="33">
        <f>SUMIF(وارد!$B$3:$B$2001,منتجات!A212,وارد!$E$3:$E$2001)</f>
        <v>0</v>
      </c>
      <c r="E212" s="33">
        <f>SUMIF(صادر!$B$5:$B$2001,منتجات!A212,صادر!$E$4:$E$2001)</f>
        <v>0</v>
      </c>
      <c r="F212" s="33">
        <f t="shared" si="8"/>
        <v>0</v>
      </c>
      <c r="G212" s="33">
        <v>1</v>
      </c>
      <c r="H212" s="34">
        <f t="shared" si="9"/>
        <v>0</v>
      </c>
    </row>
    <row r="213" spans="1:8" ht="23.25" x14ac:dyDescent="0.35">
      <c r="A213" s="39" t="s">
        <v>308</v>
      </c>
      <c r="B213" s="32">
        <v>211</v>
      </c>
      <c r="C213" s="33">
        <v>30</v>
      </c>
      <c r="D213" s="33">
        <f>SUMIF(وارد!$B$3:$B$2001,منتجات!A213,وارد!$E$3:$E$2001)</f>
        <v>0</v>
      </c>
      <c r="E213" s="33">
        <f>SUMIF(صادر!$B$5:$B$2001,منتجات!A213,صادر!$E$4:$E$2001)</f>
        <v>0</v>
      </c>
      <c r="F213" s="33">
        <f t="shared" si="8"/>
        <v>0</v>
      </c>
      <c r="G213" s="33">
        <v>1</v>
      </c>
      <c r="H213" s="34">
        <f t="shared" si="9"/>
        <v>0</v>
      </c>
    </row>
    <row r="214" spans="1:8" ht="23.25" x14ac:dyDescent="0.35">
      <c r="A214" s="39" t="s">
        <v>310</v>
      </c>
      <c r="B214" s="32">
        <v>212</v>
      </c>
      <c r="C214" s="33">
        <v>30</v>
      </c>
      <c r="D214" s="33">
        <f>SUMIF(وارد!$B$3:$B$2001,منتجات!A214,وارد!$E$3:$E$2001)</f>
        <v>0</v>
      </c>
      <c r="E214" s="33">
        <f>SUMIF(صادر!$B$5:$B$2001,منتجات!A214,صادر!$E$4:$E$2001)</f>
        <v>0</v>
      </c>
      <c r="F214" s="33">
        <f t="shared" si="8"/>
        <v>0</v>
      </c>
      <c r="G214" s="33">
        <v>1</v>
      </c>
      <c r="H214" s="34">
        <f t="shared" si="9"/>
        <v>0</v>
      </c>
    </row>
    <row r="215" spans="1:8" ht="23.25" x14ac:dyDescent="0.35">
      <c r="A215" s="39" t="s">
        <v>109</v>
      </c>
      <c r="B215" s="32">
        <v>213</v>
      </c>
      <c r="C215" s="33">
        <v>30</v>
      </c>
      <c r="D215" s="33">
        <f>SUMIF(وارد!$B$3:$B$2001,منتجات!A215,وارد!$E$3:$E$2001)</f>
        <v>0</v>
      </c>
      <c r="E215" s="33">
        <f>SUMIF(صادر!$B$5:$B$2001,منتجات!A215,صادر!$E$4:$E$2001)</f>
        <v>0</v>
      </c>
      <c r="F215" s="33">
        <f t="shared" si="8"/>
        <v>0</v>
      </c>
      <c r="G215" s="33">
        <v>1</v>
      </c>
      <c r="H215" s="34">
        <f t="shared" si="9"/>
        <v>0</v>
      </c>
    </row>
    <row r="216" spans="1:8" ht="23.25" x14ac:dyDescent="0.35">
      <c r="A216" s="39" t="s">
        <v>311</v>
      </c>
      <c r="B216" s="32">
        <v>214</v>
      </c>
      <c r="C216" s="33">
        <v>30</v>
      </c>
      <c r="D216" s="33">
        <f>SUMIF(وارد!$B$3:$B$2001,منتجات!A216,وارد!$E$3:$E$2001)</f>
        <v>0</v>
      </c>
      <c r="E216" s="33">
        <f>SUMIF(صادر!$B$5:$B$2001,منتجات!A216,صادر!$E$4:$E$2001)</f>
        <v>0</v>
      </c>
      <c r="F216" s="33">
        <f t="shared" si="8"/>
        <v>0</v>
      </c>
      <c r="G216" s="33">
        <v>1</v>
      </c>
      <c r="H216" s="34">
        <f t="shared" si="9"/>
        <v>0</v>
      </c>
    </row>
    <row r="217" spans="1:8" ht="23.25" x14ac:dyDescent="0.35">
      <c r="A217" s="39" t="s">
        <v>111</v>
      </c>
      <c r="B217" s="32">
        <v>215</v>
      </c>
      <c r="C217" s="33">
        <v>30</v>
      </c>
      <c r="D217" s="33">
        <f>SUMIF(وارد!$B$3:$B$2001,منتجات!A217,وارد!$E$3:$E$2001)</f>
        <v>0</v>
      </c>
      <c r="E217" s="33">
        <f>SUMIF(صادر!$B$5:$B$2001,منتجات!A217,صادر!$E$4:$E$2001)</f>
        <v>0</v>
      </c>
      <c r="F217" s="33">
        <f t="shared" si="8"/>
        <v>0</v>
      </c>
      <c r="G217" s="33">
        <v>1</v>
      </c>
      <c r="H217" s="34">
        <f t="shared" si="9"/>
        <v>0</v>
      </c>
    </row>
    <row r="218" spans="1:8" ht="23.25" x14ac:dyDescent="0.35">
      <c r="A218" s="39" t="s">
        <v>339</v>
      </c>
      <c r="B218" s="32">
        <v>216</v>
      </c>
      <c r="C218" s="33">
        <v>30</v>
      </c>
      <c r="D218" s="33">
        <f>SUMIF(وارد!$B$3:$B$2001,منتجات!A218,وارد!$E$3:$E$2001)</f>
        <v>0</v>
      </c>
      <c r="E218" s="33">
        <f>SUMIF(صادر!$B$5:$B$2001,منتجات!A218,صادر!$E$4:$E$2001)</f>
        <v>0</v>
      </c>
      <c r="F218" s="33">
        <f t="shared" si="8"/>
        <v>0</v>
      </c>
      <c r="G218" s="33">
        <v>1</v>
      </c>
      <c r="H218" s="34">
        <f t="shared" si="9"/>
        <v>0</v>
      </c>
    </row>
    <row r="219" spans="1:8" x14ac:dyDescent="0.35">
      <c r="A219" s="41"/>
      <c r="B219" s="32">
        <v>217</v>
      </c>
      <c r="C219" s="33">
        <v>30</v>
      </c>
      <c r="D219" s="33">
        <f>SUMIF(وارد!$B$3:$B$2001,منتجات!A219,وارد!$E$3:$E$2001)</f>
        <v>0</v>
      </c>
      <c r="E219" s="33">
        <f>SUMIF(صادر!$B$5:$B$2001,منتجات!A219,صادر!$E$4:$E$2001)</f>
        <v>0</v>
      </c>
      <c r="F219" s="33">
        <f t="shared" si="8"/>
        <v>0</v>
      </c>
      <c r="G219" s="33">
        <v>1</v>
      </c>
      <c r="H219" s="34">
        <f t="shared" si="9"/>
        <v>0</v>
      </c>
    </row>
    <row r="220" spans="1:8" ht="23.25" x14ac:dyDescent="0.35">
      <c r="A220" s="37" t="s">
        <v>118</v>
      </c>
      <c r="B220" s="32">
        <v>218</v>
      </c>
      <c r="C220" s="33">
        <v>30</v>
      </c>
      <c r="D220" s="33">
        <f>SUMIF(وارد!$B$3:$B$2001,منتجات!A220,وارد!$E$3:$E$2001)</f>
        <v>0</v>
      </c>
      <c r="E220" s="33">
        <f>SUMIF(صادر!$B$5:$B$2001,منتجات!A220,صادر!$E$4:$E$2001)</f>
        <v>0</v>
      </c>
      <c r="F220" s="33">
        <f t="shared" si="8"/>
        <v>0</v>
      </c>
      <c r="G220" s="33">
        <v>1</v>
      </c>
      <c r="H220" s="34">
        <f t="shared" si="9"/>
        <v>0</v>
      </c>
    </row>
    <row r="221" spans="1:8" ht="23.25" x14ac:dyDescent="0.35">
      <c r="A221" s="37" t="s">
        <v>117</v>
      </c>
      <c r="B221" s="32">
        <v>219</v>
      </c>
      <c r="C221" s="33">
        <v>30</v>
      </c>
      <c r="D221" s="33">
        <f>SUMIF(وارد!$B$3:$B$2001,منتجات!A221,وارد!$E$3:$E$2001)</f>
        <v>0</v>
      </c>
      <c r="E221" s="33">
        <f>SUMIF(صادر!$B$5:$B$2001,منتجات!A221,صادر!$E$4:$E$2001)</f>
        <v>0</v>
      </c>
      <c r="F221" s="33">
        <f t="shared" si="8"/>
        <v>0</v>
      </c>
      <c r="G221" s="33">
        <v>1</v>
      </c>
      <c r="H221" s="34">
        <f t="shared" si="9"/>
        <v>0</v>
      </c>
    </row>
    <row r="222" spans="1:8" ht="23.25" x14ac:dyDescent="0.35">
      <c r="A222" s="37" t="s">
        <v>120</v>
      </c>
      <c r="B222" s="32">
        <v>220</v>
      </c>
      <c r="C222" s="33">
        <v>30</v>
      </c>
      <c r="D222" s="33">
        <f>SUMIF(وارد!$B$3:$B$2001,منتجات!A222,وارد!$E$3:$E$2001)</f>
        <v>0</v>
      </c>
      <c r="E222" s="33">
        <f>SUMIF(صادر!$B$5:$B$2001,منتجات!A222,صادر!$E$4:$E$2001)</f>
        <v>0</v>
      </c>
      <c r="F222" s="33">
        <f t="shared" si="8"/>
        <v>0</v>
      </c>
      <c r="G222" s="33">
        <v>1</v>
      </c>
      <c r="H222" s="34">
        <f t="shared" si="9"/>
        <v>0</v>
      </c>
    </row>
    <row r="223" spans="1:8" ht="23.25" x14ac:dyDescent="0.35">
      <c r="A223" s="37" t="s">
        <v>119</v>
      </c>
      <c r="B223" s="32">
        <v>221</v>
      </c>
      <c r="C223" s="33">
        <v>30</v>
      </c>
      <c r="D223" s="33">
        <f>SUMIF(وارد!$B$3:$B$2001,منتجات!A223,وارد!$E$3:$E$2001)</f>
        <v>0</v>
      </c>
      <c r="E223" s="33">
        <f>SUMIF(صادر!$B$5:$B$2001,منتجات!A223,صادر!$E$4:$E$2001)</f>
        <v>0</v>
      </c>
      <c r="F223" s="33">
        <f t="shared" si="8"/>
        <v>0</v>
      </c>
      <c r="G223" s="33">
        <v>1</v>
      </c>
      <c r="H223" s="34">
        <f t="shared" si="9"/>
        <v>0</v>
      </c>
    </row>
    <row r="224" spans="1:8" ht="23.25" x14ac:dyDescent="0.35">
      <c r="A224" s="37" t="s">
        <v>498</v>
      </c>
      <c r="B224" s="32">
        <v>222</v>
      </c>
      <c r="C224" s="33">
        <v>30</v>
      </c>
      <c r="D224" s="33">
        <f>SUMIF(وارد!$B$3:$B$2001,منتجات!A224,وارد!$E$3:$E$2001)</f>
        <v>0</v>
      </c>
      <c r="E224" s="33">
        <f>SUMIF(صادر!$B$5:$B$2001,منتجات!A224,صادر!$E$4:$E$2001)</f>
        <v>0</v>
      </c>
      <c r="F224" s="33">
        <f t="shared" si="8"/>
        <v>0</v>
      </c>
      <c r="G224" s="33">
        <v>1</v>
      </c>
      <c r="H224" s="34">
        <f t="shared" si="9"/>
        <v>0</v>
      </c>
    </row>
    <row r="225" spans="1:8" ht="23.25" x14ac:dyDescent="0.35">
      <c r="A225" s="37" t="s">
        <v>322</v>
      </c>
      <c r="B225" s="32">
        <v>223</v>
      </c>
      <c r="C225" s="33">
        <v>30</v>
      </c>
      <c r="D225" s="33">
        <f>SUMIF(وارد!$B$3:$B$2001,منتجات!A225,وارد!$E$3:$E$2001)</f>
        <v>0</v>
      </c>
      <c r="E225" s="33">
        <f>SUMIF(صادر!$B$5:$B$2001,منتجات!A225,صادر!$E$4:$E$2001)</f>
        <v>0</v>
      </c>
      <c r="F225" s="33">
        <f t="shared" si="8"/>
        <v>0</v>
      </c>
      <c r="G225" s="33">
        <v>1</v>
      </c>
      <c r="H225" s="34">
        <f t="shared" si="9"/>
        <v>0</v>
      </c>
    </row>
    <row r="226" spans="1:8" ht="23.25" x14ac:dyDescent="0.35">
      <c r="A226" s="37" t="s">
        <v>122</v>
      </c>
      <c r="B226" s="32">
        <v>224</v>
      </c>
      <c r="C226" s="33">
        <v>30</v>
      </c>
      <c r="D226" s="33">
        <f>SUMIF(وارد!$B$3:$B$2001,منتجات!A226,وارد!$E$3:$E$2001)</f>
        <v>0</v>
      </c>
      <c r="E226" s="33">
        <f>SUMIF(صادر!$B$5:$B$2001,منتجات!A226,صادر!$E$4:$E$2001)</f>
        <v>0</v>
      </c>
      <c r="F226" s="33">
        <f t="shared" si="8"/>
        <v>0</v>
      </c>
      <c r="G226" s="33">
        <v>1</v>
      </c>
      <c r="H226" s="34">
        <f t="shared" si="9"/>
        <v>0</v>
      </c>
    </row>
    <row r="227" spans="1:8" ht="23.25" x14ac:dyDescent="0.35">
      <c r="A227" s="37" t="s">
        <v>453</v>
      </c>
      <c r="B227" s="32">
        <v>225</v>
      </c>
      <c r="C227" s="33">
        <v>30</v>
      </c>
      <c r="D227" s="33">
        <f>SUMIF(وارد!$B$3:$B$2001,منتجات!A227,وارد!$E$3:$E$2001)</f>
        <v>0</v>
      </c>
      <c r="E227" s="33">
        <f>SUMIF(صادر!$B$5:$B$2001,منتجات!A227,صادر!$E$4:$E$2001)</f>
        <v>0</v>
      </c>
      <c r="F227" s="33">
        <f t="shared" si="8"/>
        <v>0</v>
      </c>
      <c r="G227" s="33">
        <v>1</v>
      </c>
      <c r="H227" s="34">
        <f t="shared" si="9"/>
        <v>0</v>
      </c>
    </row>
    <row r="228" spans="1:8" ht="23.25" x14ac:dyDescent="0.35">
      <c r="A228" s="37" t="s">
        <v>323</v>
      </c>
      <c r="B228" s="32">
        <v>226</v>
      </c>
      <c r="C228" s="33">
        <v>30</v>
      </c>
      <c r="D228" s="33">
        <f>SUMIF(وارد!$B$3:$B$2001,منتجات!A228,وارد!$E$3:$E$2001)</f>
        <v>0</v>
      </c>
      <c r="E228" s="33">
        <f>SUMIF(صادر!$B$5:$B$2001,منتجات!A228,صادر!$E$4:$E$2001)</f>
        <v>1</v>
      </c>
      <c r="F228" s="33">
        <f t="shared" si="8"/>
        <v>-1</v>
      </c>
      <c r="G228" s="33">
        <v>1</v>
      </c>
      <c r="H228" s="34">
        <f t="shared" si="9"/>
        <v>-1</v>
      </c>
    </row>
    <row r="229" spans="1:8" ht="23.25" x14ac:dyDescent="0.35">
      <c r="A229" s="37" t="s">
        <v>124</v>
      </c>
      <c r="B229" s="32">
        <v>227</v>
      </c>
      <c r="C229" s="33">
        <v>30</v>
      </c>
      <c r="D229" s="33">
        <f>SUMIF(وارد!$B$3:$B$2001,منتجات!A229,وارد!$E$3:$E$2001)</f>
        <v>0</v>
      </c>
      <c r="E229" s="33">
        <f>SUMIF(صادر!$B$5:$B$2001,منتجات!A229,صادر!$E$4:$E$2001)</f>
        <v>0</v>
      </c>
      <c r="F229" s="33">
        <f t="shared" si="8"/>
        <v>0</v>
      </c>
      <c r="G229" s="33">
        <v>1</v>
      </c>
      <c r="H229" s="34">
        <f t="shared" si="9"/>
        <v>0</v>
      </c>
    </row>
    <row r="230" spans="1:8" ht="23.25" x14ac:dyDescent="0.35">
      <c r="A230" s="37" t="s">
        <v>125</v>
      </c>
      <c r="B230" s="32">
        <v>228</v>
      </c>
      <c r="C230" s="33">
        <v>30</v>
      </c>
      <c r="D230" s="33">
        <f>SUMIF(وارد!$B$3:$B$2001,منتجات!A230,وارد!$E$3:$E$2001)</f>
        <v>0</v>
      </c>
      <c r="E230" s="33">
        <f>SUMIF(صادر!$B$5:$B$2001,منتجات!A230,صادر!$E$4:$E$2001)</f>
        <v>3</v>
      </c>
      <c r="F230" s="33">
        <f t="shared" si="8"/>
        <v>-3</v>
      </c>
      <c r="G230" s="33">
        <v>1</v>
      </c>
      <c r="H230" s="34">
        <f t="shared" si="9"/>
        <v>-3</v>
      </c>
    </row>
    <row r="231" spans="1:8" ht="23.25" x14ac:dyDescent="0.35">
      <c r="A231" s="37" t="s">
        <v>126</v>
      </c>
      <c r="B231" s="32">
        <v>229</v>
      </c>
      <c r="C231" s="33">
        <v>30</v>
      </c>
      <c r="D231" s="33">
        <f>SUMIF(وارد!$B$3:$B$2001,منتجات!A231,وارد!$E$3:$E$2001)</f>
        <v>0</v>
      </c>
      <c r="E231" s="33">
        <f>SUMIF(صادر!$B$5:$B$2001,منتجات!A231,صادر!$E$4:$E$2001)</f>
        <v>0</v>
      </c>
      <c r="F231" s="33">
        <f t="shared" si="8"/>
        <v>0</v>
      </c>
      <c r="G231" s="33">
        <v>1</v>
      </c>
      <c r="H231" s="34">
        <f t="shared" si="9"/>
        <v>0</v>
      </c>
    </row>
    <row r="232" spans="1:8" ht="23.25" x14ac:dyDescent="0.35">
      <c r="A232" s="37" t="s">
        <v>127</v>
      </c>
      <c r="B232" s="32">
        <v>230</v>
      </c>
      <c r="C232" s="33">
        <v>30</v>
      </c>
      <c r="D232" s="33">
        <f>SUMIF(وارد!$B$3:$B$2001,منتجات!A232,وارد!$E$3:$E$2001)</f>
        <v>0</v>
      </c>
      <c r="E232" s="33">
        <f>SUMIF(صادر!$B$5:$B$2001,منتجات!A232,صادر!$E$4:$E$2001)</f>
        <v>0</v>
      </c>
      <c r="F232" s="33">
        <f t="shared" si="8"/>
        <v>0</v>
      </c>
      <c r="G232" s="33">
        <v>1</v>
      </c>
      <c r="H232" s="34">
        <f t="shared" si="9"/>
        <v>0</v>
      </c>
    </row>
    <row r="233" spans="1:8" ht="23.25" x14ac:dyDescent="0.35">
      <c r="A233" s="37" t="s">
        <v>336</v>
      </c>
      <c r="B233" s="32">
        <v>231</v>
      </c>
      <c r="C233" s="33">
        <v>30</v>
      </c>
      <c r="D233" s="33">
        <f>SUMIF(وارد!$B$3:$B$2001,منتجات!A233,وارد!$E$3:$E$2001)</f>
        <v>0</v>
      </c>
      <c r="E233" s="33">
        <f>SUMIF(صادر!$B$5:$B$2001,منتجات!A233,صادر!$E$4:$E$2001)</f>
        <v>0</v>
      </c>
      <c r="F233" s="33">
        <f t="shared" si="8"/>
        <v>0</v>
      </c>
      <c r="G233" s="33">
        <v>1</v>
      </c>
      <c r="H233" s="34">
        <f t="shared" si="9"/>
        <v>0</v>
      </c>
    </row>
    <row r="234" spans="1:8" ht="23.25" x14ac:dyDescent="0.35">
      <c r="A234" s="37" t="s">
        <v>129</v>
      </c>
      <c r="B234" s="32">
        <v>232</v>
      </c>
      <c r="C234" s="33">
        <v>30</v>
      </c>
      <c r="D234" s="33">
        <f>SUMIF(وارد!$B$3:$B$2001,منتجات!A234,وارد!$E$3:$E$2001)</f>
        <v>0</v>
      </c>
      <c r="E234" s="33">
        <f>SUMIF(صادر!$B$5:$B$2001,منتجات!A234,صادر!$E$4:$E$2001)</f>
        <v>0</v>
      </c>
      <c r="F234" s="33">
        <f t="shared" si="8"/>
        <v>0</v>
      </c>
      <c r="G234" s="33">
        <v>1</v>
      </c>
      <c r="H234" s="34">
        <f t="shared" si="9"/>
        <v>0</v>
      </c>
    </row>
    <row r="235" spans="1:8" ht="23.25" x14ac:dyDescent="0.35">
      <c r="A235" s="37" t="s">
        <v>130</v>
      </c>
      <c r="B235" s="32">
        <v>233</v>
      </c>
      <c r="C235" s="33">
        <v>30</v>
      </c>
      <c r="D235" s="33">
        <f>SUMIF(وارد!$B$3:$B$2001,منتجات!A235,وارد!$E$3:$E$2001)</f>
        <v>0</v>
      </c>
      <c r="E235" s="33">
        <f>SUMIF(صادر!$B$5:$B$2001,منتجات!A235,صادر!$E$4:$E$2001)</f>
        <v>0</v>
      </c>
      <c r="F235" s="33">
        <f t="shared" si="8"/>
        <v>0</v>
      </c>
      <c r="G235" s="33">
        <v>1</v>
      </c>
      <c r="H235" s="34">
        <f t="shared" si="9"/>
        <v>0</v>
      </c>
    </row>
    <row r="236" spans="1:8" ht="23.25" x14ac:dyDescent="0.35">
      <c r="A236" s="37" t="s">
        <v>309</v>
      </c>
      <c r="B236" s="32">
        <v>234</v>
      </c>
      <c r="C236" s="33">
        <v>30</v>
      </c>
      <c r="D236" s="33">
        <f>SUMIF(وارد!$B$3:$B$2001,منتجات!A236,وارد!$E$3:$E$2001)</f>
        <v>0</v>
      </c>
      <c r="E236" s="33">
        <f>SUMIF(صادر!$B$5:$B$2001,منتجات!A236,صادر!$E$4:$E$2001)</f>
        <v>0</v>
      </c>
      <c r="F236" s="33">
        <f t="shared" si="8"/>
        <v>0</v>
      </c>
      <c r="G236" s="33">
        <v>1</v>
      </c>
      <c r="H236" s="34">
        <f t="shared" si="9"/>
        <v>0</v>
      </c>
    </row>
    <row r="237" spans="1:8" ht="23.25" x14ac:dyDescent="0.35">
      <c r="A237" s="37" t="s">
        <v>132</v>
      </c>
      <c r="B237" s="32">
        <v>235</v>
      </c>
      <c r="C237" s="33">
        <v>30</v>
      </c>
      <c r="D237" s="33">
        <f>SUMIF(وارد!$B$3:$B$2001,منتجات!A237,وارد!$E$3:$E$2001)</f>
        <v>0</v>
      </c>
      <c r="E237" s="33">
        <f>SUMIF(صادر!$B$5:$B$2001,منتجات!A237,صادر!$E$4:$E$2001)</f>
        <v>0</v>
      </c>
      <c r="F237" s="33">
        <f t="shared" si="8"/>
        <v>0</v>
      </c>
      <c r="G237" s="33">
        <v>1</v>
      </c>
      <c r="H237" s="34">
        <f t="shared" si="9"/>
        <v>0</v>
      </c>
    </row>
    <row r="238" spans="1:8" x14ac:dyDescent="0.35">
      <c r="A238" s="36" t="s">
        <v>339</v>
      </c>
      <c r="B238" s="32">
        <v>236</v>
      </c>
      <c r="C238" s="33">
        <v>10</v>
      </c>
      <c r="D238" s="33">
        <f>SUMIF(وارد!$B$3:$B$2001,منتجات!A238,وارد!$E$3:$E$2001)</f>
        <v>0</v>
      </c>
      <c r="E238" s="33">
        <f>SUMIF(صادر!$B$5:$B$2001,منتجات!A238,صادر!$E$4:$E$2001)</f>
        <v>0</v>
      </c>
      <c r="F238" s="33">
        <f t="shared" si="8"/>
        <v>0</v>
      </c>
      <c r="G238" s="33">
        <v>1</v>
      </c>
      <c r="H238" s="34">
        <f t="shared" si="9"/>
        <v>0</v>
      </c>
    </row>
    <row r="239" spans="1:8" x14ac:dyDescent="0.35">
      <c r="A239" s="41"/>
      <c r="B239" s="32">
        <v>237</v>
      </c>
      <c r="C239" s="33">
        <v>10</v>
      </c>
      <c r="D239" s="33">
        <f>SUMIF(وارد!$B$3:$B$2001,منتجات!A239,وارد!$E$3:$E$2001)</f>
        <v>0</v>
      </c>
      <c r="E239" s="33">
        <f>SUMIF(صادر!$B$5:$B$2001,منتجات!A239,صادر!$E$4:$E$2001)</f>
        <v>0</v>
      </c>
      <c r="F239" s="33">
        <f t="shared" si="8"/>
        <v>0</v>
      </c>
      <c r="G239" s="33">
        <v>1</v>
      </c>
      <c r="H239" s="34">
        <f t="shared" si="9"/>
        <v>0</v>
      </c>
    </row>
    <row r="240" spans="1:8" ht="23.25" x14ac:dyDescent="0.35">
      <c r="A240" s="39" t="s">
        <v>133</v>
      </c>
      <c r="B240" s="32">
        <v>238</v>
      </c>
      <c r="C240" s="33">
        <v>10</v>
      </c>
      <c r="D240" s="33">
        <f>SUMIF(وارد!$B$3:$B$2001,منتجات!A240,وارد!$E$3:$E$2001)</f>
        <v>0</v>
      </c>
      <c r="E240" s="33">
        <f>SUMIF(صادر!$B$5:$B$2001,منتجات!A240,صادر!$E$4:$E$2001)</f>
        <v>0</v>
      </c>
      <c r="F240" s="33">
        <f t="shared" si="8"/>
        <v>0</v>
      </c>
      <c r="G240" s="33">
        <v>1</v>
      </c>
      <c r="H240" s="34">
        <f t="shared" si="9"/>
        <v>0</v>
      </c>
    </row>
    <row r="241" spans="1:8" ht="23.25" x14ac:dyDescent="0.35">
      <c r="A241" s="39" t="s">
        <v>324</v>
      </c>
      <c r="B241" s="32">
        <v>239</v>
      </c>
      <c r="C241" s="33">
        <v>10</v>
      </c>
      <c r="D241" s="33">
        <f>SUMIF(وارد!$B$3:$B$2001,منتجات!A241,وارد!$E$3:$E$2001)</f>
        <v>0</v>
      </c>
      <c r="E241" s="33">
        <f>SUMIF(صادر!$B$5:$B$2001,منتجات!A241,صادر!$E$4:$E$2001)</f>
        <v>0</v>
      </c>
      <c r="F241" s="33">
        <f t="shared" si="8"/>
        <v>0</v>
      </c>
      <c r="G241" s="33">
        <v>1</v>
      </c>
      <c r="H241" s="34">
        <f t="shared" si="9"/>
        <v>0</v>
      </c>
    </row>
    <row r="242" spans="1:8" ht="23.25" x14ac:dyDescent="0.35">
      <c r="A242" s="39" t="s">
        <v>334</v>
      </c>
      <c r="B242" s="32">
        <v>240</v>
      </c>
      <c r="C242" s="33">
        <v>10</v>
      </c>
      <c r="D242" s="33">
        <f>SUMIF(وارد!$B$3:$B$2001,منتجات!A242,وارد!$E$3:$E$2001)</f>
        <v>0</v>
      </c>
      <c r="E242" s="33">
        <f>SUMIF(صادر!$B$5:$B$2001,منتجات!A242,صادر!$E$4:$E$2001)</f>
        <v>0</v>
      </c>
      <c r="F242" s="33">
        <f t="shared" si="8"/>
        <v>0</v>
      </c>
      <c r="G242" s="33">
        <v>1</v>
      </c>
      <c r="H242" s="34">
        <f t="shared" si="9"/>
        <v>0</v>
      </c>
    </row>
    <row r="243" spans="1:8" ht="23.25" x14ac:dyDescent="0.35">
      <c r="A243" s="39" t="s">
        <v>325</v>
      </c>
      <c r="B243" s="32">
        <v>241</v>
      </c>
      <c r="C243" s="33">
        <v>24</v>
      </c>
      <c r="D243" s="33">
        <f>SUMIF(وارد!$B$3:$B$2001,منتجات!A243,وارد!$E$3:$E$2001)</f>
        <v>0</v>
      </c>
      <c r="E243" s="33">
        <f>SUMIF(صادر!$B$5:$B$2001,منتجات!A243,صادر!$E$4:$E$2001)</f>
        <v>1</v>
      </c>
      <c r="F243" s="33">
        <f t="shared" si="8"/>
        <v>-1</v>
      </c>
      <c r="G243" s="33">
        <v>1</v>
      </c>
      <c r="H243" s="34">
        <f t="shared" si="9"/>
        <v>-1</v>
      </c>
    </row>
    <row r="244" spans="1:8" ht="23.25" x14ac:dyDescent="0.35">
      <c r="A244" s="39" t="s">
        <v>137</v>
      </c>
      <c r="B244" s="32">
        <v>242</v>
      </c>
      <c r="C244" s="33">
        <v>24</v>
      </c>
      <c r="D244" s="33">
        <f>SUMIF(وارد!$B$3:$B$2001,منتجات!A244,وارد!$E$3:$E$2001)</f>
        <v>0</v>
      </c>
      <c r="E244" s="33">
        <f>SUMIF(صادر!$B$5:$B$2001,منتجات!A244,صادر!$E$4:$E$2001)</f>
        <v>0</v>
      </c>
      <c r="F244" s="33">
        <f t="shared" si="8"/>
        <v>0</v>
      </c>
      <c r="G244" s="33">
        <v>1</v>
      </c>
      <c r="H244" s="34">
        <f t="shared" si="9"/>
        <v>0</v>
      </c>
    </row>
    <row r="245" spans="1:8" ht="23.25" x14ac:dyDescent="0.35">
      <c r="A245" s="39" t="s">
        <v>335</v>
      </c>
      <c r="B245" s="32">
        <v>243</v>
      </c>
      <c r="C245" s="33">
        <v>24</v>
      </c>
      <c r="D245" s="33">
        <f>SUMIF(وارد!$B$3:$B$2001,منتجات!A245,وارد!$E$3:$E$2001)</f>
        <v>0</v>
      </c>
      <c r="E245" s="33">
        <f>SUMIF(صادر!$B$5:$B$2001,منتجات!A245,صادر!$E$4:$E$2001)</f>
        <v>0</v>
      </c>
      <c r="F245" s="33">
        <f t="shared" si="8"/>
        <v>0</v>
      </c>
      <c r="G245" s="33">
        <v>1</v>
      </c>
      <c r="H245" s="34">
        <f t="shared" si="9"/>
        <v>0</v>
      </c>
    </row>
    <row r="246" spans="1:8" ht="23.25" x14ac:dyDescent="0.35">
      <c r="A246" s="39" t="s">
        <v>139</v>
      </c>
      <c r="B246" s="32">
        <v>244</v>
      </c>
      <c r="C246" s="33">
        <v>10</v>
      </c>
      <c r="D246" s="33">
        <f>SUMIF(وارد!$B$3:$B$2001,منتجات!A246,وارد!$E$3:$E$2001)</f>
        <v>0</v>
      </c>
      <c r="E246" s="33">
        <f>SUMIF(صادر!$B$5:$B$2001,منتجات!A246,صادر!$E$4:$E$2001)</f>
        <v>0</v>
      </c>
      <c r="F246" s="33">
        <f t="shared" si="8"/>
        <v>0</v>
      </c>
      <c r="G246" s="33">
        <v>1</v>
      </c>
      <c r="H246" s="34">
        <f t="shared" si="9"/>
        <v>0</v>
      </c>
    </row>
    <row r="247" spans="1:8" ht="23.25" x14ac:dyDescent="0.35">
      <c r="A247" s="39" t="s">
        <v>305</v>
      </c>
      <c r="B247" s="32">
        <v>245</v>
      </c>
      <c r="C247" s="33">
        <v>10</v>
      </c>
      <c r="D247" s="33">
        <f>SUMIF(وارد!$B$3:$B$2001,منتجات!A247,وارد!$E$3:$E$2001)</f>
        <v>0</v>
      </c>
      <c r="E247" s="33">
        <f>SUMIF(صادر!$B$5:$B$2001,منتجات!A247,صادر!$E$4:$E$2001)</f>
        <v>0</v>
      </c>
      <c r="F247" s="33">
        <f t="shared" si="8"/>
        <v>0</v>
      </c>
      <c r="G247" s="33">
        <v>1</v>
      </c>
      <c r="H247" s="34">
        <f t="shared" si="9"/>
        <v>0</v>
      </c>
    </row>
    <row r="248" spans="1:8" ht="23.25" x14ac:dyDescent="0.35">
      <c r="A248" s="39" t="s">
        <v>452</v>
      </c>
      <c r="B248" s="32">
        <v>246</v>
      </c>
      <c r="C248" s="33">
        <v>30</v>
      </c>
      <c r="D248" s="33">
        <f>SUMIF(وارد!$B$3:$B$2001,منتجات!A248,وارد!$E$3:$E$2001)</f>
        <v>0</v>
      </c>
      <c r="E248" s="33">
        <f>SUMIF(صادر!$B$5:$B$2001,منتجات!A248,صادر!$E$4:$E$2001)</f>
        <v>0</v>
      </c>
      <c r="F248" s="33">
        <f t="shared" si="8"/>
        <v>0</v>
      </c>
      <c r="G248" s="33">
        <v>1</v>
      </c>
      <c r="H248" s="34">
        <f t="shared" si="9"/>
        <v>0</v>
      </c>
    </row>
    <row r="249" spans="1:8" ht="23.25" x14ac:dyDescent="0.35">
      <c r="A249" s="44" t="s">
        <v>451</v>
      </c>
      <c r="B249" s="32">
        <v>247</v>
      </c>
      <c r="C249" s="33">
        <v>10</v>
      </c>
      <c r="D249" s="33">
        <f>SUMIF(وارد!$B$3:$B$2001,منتجات!A249,وارد!$E$3:$E$2001)</f>
        <v>0</v>
      </c>
      <c r="E249" s="33">
        <f>SUMIF(صادر!$B$5:$B$2001,منتجات!A249,صادر!$E$4:$E$2001)</f>
        <v>0</v>
      </c>
      <c r="F249" s="33">
        <f t="shared" si="8"/>
        <v>0</v>
      </c>
      <c r="G249" s="33">
        <v>1</v>
      </c>
      <c r="H249" s="34">
        <f t="shared" si="9"/>
        <v>0</v>
      </c>
    </row>
    <row r="250" spans="1:8" ht="23.25" x14ac:dyDescent="0.35">
      <c r="A250" s="39" t="s">
        <v>141</v>
      </c>
      <c r="B250" s="32">
        <v>248</v>
      </c>
      <c r="C250" s="33">
        <v>10</v>
      </c>
      <c r="D250" s="33">
        <f>SUMIF(وارد!$B$3:$B$2001,منتجات!A250,وارد!$E$3:$E$2001)</f>
        <v>0</v>
      </c>
      <c r="E250" s="33">
        <f>SUMIF(صادر!$B$5:$B$2001,منتجات!A250,صادر!$E$4:$E$2001)</f>
        <v>0</v>
      </c>
      <c r="F250" s="33">
        <f t="shared" si="8"/>
        <v>0</v>
      </c>
      <c r="G250" s="33">
        <v>1</v>
      </c>
      <c r="H250" s="34">
        <f t="shared" si="9"/>
        <v>0</v>
      </c>
    </row>
    <row r="251" spans="1:8" ht="23.25" x14ac:dyDescent="0.35">
      <c r="A251" s="39" t="s">
        <v>442</v>
      </c>
      <c r="B251" s="32">
        <v>249</v>
      </c>
      <c r="C251" s="33">
        <v>10</v>
      </c>
      <c r="D251" s="33">
        <f>SUMIF(وارد!$B$3:$B$2001,منتجات!A251,وارد!$E$3:$E$2001)</f>
        <v>0</v>
      </c>
      <c r="E251" s="33">
        <f>SUMIF(صادر!$B$5:$B$2001,منتجات!A251,صادر!$E$4:$E$2001)</f>
        <v>0</v>
      </c>
      <c r="F251" s="33">
        <f t="shared" si="8"/>
        <v>0</v>
      </c>
      <c r="G251" s="33">
        <v>1</v>
      </c>
      <c r="H251" s="34">
        <f t="shared" si="9"/>
        <v>0</v>
      </c>
    </row>
    <row r="252" spans="1:8" ht="23.25" x14ac:dyDescent="0.35">
      <c r="A252" s="39" t="s">
        <v>443</v>
      </c>
      <c r="B252" s="32">
        <v>250</v>
      </c>
      <c r="C252" s="33">
        <v>10</v>
      </c>
      <c r="D252" s="33">
        <f>SUMIF(وارد!$B$3:$B$2001,منتجات!A252,وارد!$E$3:$E$2001)</f>
        <v>0</v>
      </c>
      <c r="E252" s="33">
        <f>SUMIF(صادر!$B$5:$B$2001,منتجات!A252,صادر!$E$4:$E$2001)</f>
        <v>2</v>
      </c>
      <c r="F252" s="33">
        <f t="shared" si="8"/>
        <v>-2</v>
      </c>
      <c r="G252" s="33">
        <v>1</v>
      </c>
      <c r="H252" s="34">
        <f t="shared" si="9"/>
        <v>-2</v>
      </c>
    </row>
    <row r="253" spans="1:8" x14ac:dyDescent="0.35">
      <c r="A253" s="36" t="s">
        <v>339</v>
      </c>
      <c r="B253" s="32">
        <v>251</v>
      </c>
      <c r="C253" s="33">
        <v>10</v>
      </c>
      <c r="D253" s="33">
        <f>SUMIF(وارد!$B$3:$B$2001,منتجات!A253,وارد!$E$3:$E$2001)</f>
        <v>0</v>
      </c>
      <c r="E253" s="33">
        <f>SUMIF(صادر!$B$5:$B$2001,منتجات!A253,صادر!$E$4:$E$2001)</f>
        <v>0</v>
      </c>
      <c r="F253" s="33">
        <f t="shared" si="8"/>
        <v>0</v>
      </c>
      <c r="G253" s="33">
        <v>1</v>
      </c>
      <c r="H253" s="34">
        <f t="shared" si="9"/>
        <v>0</v>
      </c>
    </row>
    <row r="254" spans="1:8" x14ac:dyDescent="0.35">
      <c r="A254" s="41"/>
      <c r="B254" s="32">
        <v>252</v>
      </c>
      <c r="C254" s="33">
        <v>10</v>
      </c>
      <c r="D254" s="33">
        <f>SUMIF(وارد!$B$3:$B$2001,منتجات!A254,وارد!$E$3:$E$2001)</f>
        <v>0</v>
      </c>
      <c r="E254" s="33">
        <f>SUMIF(صادر!$B$5:$B$2001,منتجات!A254,صادر!$E$4:$E$2001)</f>
        <v>0</v>
      </c>
      <c r="F254" s="33">
        <f t="shared" si="8"/>
        <v>0</v>
      </c>
      <c r="G254" s="33">
        <v>1</v>
      </c>
      <c r="H254" s="34">
        <f t="shared" si="9"/>
        <v>0</v>
      </c>
    </row>
    <row r="255" spans="1:8" ht="23.25" x14ac:dyDescent="0.35">
      <c r="A255" s="37" t="s">
        <v>326</v>
      </c>
      <c r="B255" s="32">
        <v>253</v>
      </c>
      <c r="C255" s="33">
        <v>10</v>
      </c>
      <c r="D255" s="33">
        <f>SUMIF(وارد!$B$3:$B$2001,منتجات!A255,وارد!$E$3:$E$2001)</f>
        <v>0</v>
      </c>
      <c r="E255" s="33">
        <f>SUMIF(صادر!$B$5:$B$2001,منتجات!A255,صادر!$E$4:$E$2001)</f>
        <v>0</v>
      </c>
      <c r="F255" s="33">
        <f t="shared" si="8"/>
        <v>0</v>
      </c>
      <c r="G255" s="33">
        <v>1</v>
      </c>
      <c r="H255" s="34">
        <f t="shared" si="9"/>
        <v>0</v>
      </c>
    </row>
    <row r="256" spans="1:8" ht="23.25" x14ac:dyDescent="0.35">
      <c r="A256" s="37" t="s">
        <v>303</v>
      </c>
      <c r="B256" s="32">
        <v>254</v>
      </c>
      <c r="C256" s="33">
        <v>10</v>
      </c>
      <c r="D256" s="33">
        <f>SUMIF(وارد!$B$3:$B$2001,منتجات!A256,وارد!$E$3:$E$2001)</f>
        <v>0</v>
      </c>
      <c r="E256" s="33">
        <f>SUMIF(صادر!$B$5:$B$2001,منتجات!A256,صادر!$E$4:$E$2001)</f>
        <v>0</v>
      </c>
      <c r="F256" s="33">
        <f t="shared" si="8"/>
        <v>0</v>
      </c>
      <c r="G256" s="33">
        <v>1</v>
      </c>
      <c r="H256" s="34">
        <f t="shared" si="9"/>
        <v>0</v>
      </c>
    </row>
    <row r="257" spans="1:8" ht="23.25" x14ac:dyDescent="0.35">
      <c r="A257" s="37" t="s">
        <v>327</v>
      </c>
      <c r="B257" s="32">
        <v>255</v>
      </c>
      <c r="C257" s="33">
        <v>10</v>
      </c>
      <c r="D257" s="33">
        <f>SUMIF(وارد!$B$3:$B$2001,منتجات!A257,وارد!$E$3:$E$2001)</f>
        <v>0</v>
      </c>
      <c r="E257" s="33">
        <f>SUMIF(صادر!$B$5:$B$2001,منتجات!A257,صادر!$E$4:$E$2001)</f>
        <v>0</v>
      </c>
      <c r="F257" s="33">
        <f t="shared" si="8"/>
        <v>0</v>
      </c>
      <c r="G257" s="33">
        <v>1</v>
      </c>
      <c r="H257" s="34">
        <f t="shared" si="9"/>
        <v>0</v>
      </c>
    </row>
    <row r="258" spans="1:8" ht="23.25" x14ac:dyDescent="0.35">
      <c r="A258" s="37" t="s">
        <v>304</v>
      </c>
      <c r="B258" s="32">
        <v>256</v>
      </c>
      <c r="C258" s="33">
        <v>10</v>
      </c>
      <c r="D258" s="33">
        <f>SUMIF(وارد!$B$3:$B$2001,منتجات!A258,وارد!$E$3:$E$2001)</f>
        <v>0</v>
      </c>
      <c r="E258" s="33">
        <f>SUMIF(صادر!$B$5:$B$2001,منتجات!A258,صادر!$E$4:$E$2001)</f>
        <v>0</v>
      </c>
      <c r="F258" s="33">
        <f t="shared" si="8"/>
        <v>0</v>
      </c>
      <c r="G258" s="33">
        <v>1</v>
      </c>
      <c r="H258" s="34">
        <f t="shared" si="9"/>
        <v>0</v>
      </c>
    </row>
    <row r="259" spans="1:8" ht="23.25" x14ac:dyDescent="0.35">
      <c r="A259" s="37" t="s">
        <v>328</v>
      </c>
      <c r="B259" s="32">
        <v>257</v>
      </c>
      <c r="C259" s="33">
        <v>10</v>
      </c>
      <c r="D259" s="33">
        <f>SUMIF(وارد!$B$3:$B$2001,منتجات!A259,وارد!$E$3:$E$2001)</f>
        <v>0</v>
      </c>
      <c r="E259" s="33">
        <f>SUMIF(صادر!$B$5:$B$2001,منتجات!A259,صادر!$E$4:$E$2001)</f>
        <v>0</v>
      </c>
      <c r="F259" s="33">
        <f t="shared" si="8"/>
        <v>0</v>
      </c>
      <c r="G259" s="33">
        <v>1</v>
      </c>
      <c r="H259" s="34">
        <f t="shared" si="9"/>
        <v>0</v>
      </c>
    </row>
    <row r="260" spans="1:8" ht="23.25" x14ac:dyDescent="0.35">
      <c r="A260" s="37" t="s">
        <v>165</v>
      </c>
      <c r="B260" s="32">
        <v>258</v>
      </c>
      <c r="C260" s="33">
        <v>10</v>
      </c>
      <c r="D260" s="33">
        <f>SUMIF(وارد!$B$3:$B$2001,منتجات!A260,وارد!$E$3:$E$2001)</f>
        <v>0</v>
      </c>
      <c r="E260" s="33">
        <f>SUMIF(صادر!$B$5:$B$2001,منتجات!A260,صادر!$E$4:$E$2001)</f>
        <v>0</v>
      </c>
      <c r="F260" s="33">
        <f t="shared" ref="F260:F303" si="10">(D260*C260)-E260</f>
        <v>0</v>
      </c>
      <c r="G260" s="33">
        <v>1</v>
      </c>
      <c r="H260" s="34">
        <f t="shared" si="9"/>
        <v>0</v>
      </c>
    </row>
    <row r="261" spans="1:8" ht="23.25" x14ac:dyDescent="0.35">
      <c r="A261" s="37" t="s">
        <v>166</v>
      </c>
      <c r="B261" s="32">
        <v>259</v>
      </c>
      <c r="C261" s="33">
        <v>10</v>
      </c>
      <c r="D261" s="33">
        <f>SUMIF(وارد!$B$3:$B$2001,منتجات!A261,وارد!$E$3:$E$2001)</f>
        <v>0</v>
      </c>
      <c r="E261" s="33">
        <f>SUMIF(صادر!$B$5:$B$2001,منتجات!A261,صادر!$E$4:$E$2001)</f>
        <v>0</v>
      </c>
      <c r="F261" s="33">
        <f t="shared" si="10"/>
        <v>0</v>
      </c>
      <c r="G261" s="33">
        <v>1</v>
      </c>
      <c r="H261" s="34">
        <f t="shared" si="9"/>
        <v>0</v>
      </c>
    </row>
    <row r="262" spans="1:8" ht="23.25" x14ac:dyDescent="0.35">
      <c r="A262" s="37" t="s">
        <v>329</v>
      </c>
      <c r="B262" s="32">
        <v>260</v>
      </c>
      <c r="C262" s="33">
        <v>10</v>
      </c>
      <c r="D262" s="33">
        <f>SUMIF(وارد!$B$3:$B$2001,منتجات!A262,وارد!$E$3:$E$2001)</f>
        <v>0</v>
      </c>
      <c r="E262" s="33">
        <f>SUMIF(صادر!$B$5:$B$2001,منتجات!A262,صادر!$E$4:$E$2001)</f>
        <v>0</v>
      </c>
      <c r="F262" s="33">
        <f t="shared" si="10"/>
        <v>0</v>
      </c>
      <c r="G262" s="33">
        <v>1</v>
      </c>
      <c r="H262" s="34">
        <f t="shared" ref="H262:H303" si="11">F262*G262</f>
        <v>0</v>
      </c>
    </row>
    <row r="263" spans="1:8" ht="23.25" x14ac:dyDescent="0.35">
      <c r="A263" s="37" t="s">
        <v>168</v>
      </c>
      <c r="B263" s="32">
        <v>261</v>
      </c>
      <c r="C263" s="33">
        <v>10</v>
      </c>
      <c r="D263" s="33">
        <f>SUMIF(وارد!$B$3:$B$2001,منتجات!A263,وارد!$E$3:$E$2001)</f>
        <v>0</v>
      </c>
      <c r="E263" s="33">
        <f>SUMIF(صادر!$B$5:$B$2001,منتجات!A263,صادر!$E$4:$E$2001)</f>
        <v>0</v>
      </c>
      <c r="F263" s="33">
        <f t="shared" si="10"/>
        <v>0</v>
      </c>
      <c r="G263" s="33">
        <v>1</v>
      </c>
      <c r="H263" s="34">
        <f t="shared" si="11"/>
        <v>0</v>
      </c>
    </row>
    <row r="264" spans="1:8" ht="23.25" x14ac:dyDescent="0.35">
      <c r="A264" s="37" t="s">
        <v>330</v>
      </c>
      <c r="B264" s="32">
        <v>262</v>
      </c>
      <c r="C264" s="33">
        <v>10</v>
      </c>
      <c r="D264" s="33">
        <f>SUMIF(وارد!$B$3:$B$2001,منتجات!A264,وارد!$E$3:$E$2001)</f>
        <v>0</v>
      </c>
      <c r="E264" s="33">
        <f>SUMIF(صادر!$B$5:$B$2001,منتجات!A264,صادر!$E$4:$E$2001)</f>
        <v>0</v>
      </c>
      <c r="F264" s="33">
        <f t="shared" si="10"/>
        <v>0</v>
      </c>
      <c r="G264" s="33">
        <v>1</v>
      </c>
      <c r="H264" s="34">
        <f t="shared" si="11"/>
        <v>0</v>
      </c>
    </row>
    <row r="265" spans="1:8" ht="23.25" x14ac:dyDescent="0.35">
      <c r="A265" s="37" t="s">
        <v>331</v>
      </c>
      <c r="B265" s="32">
        <v>263</v>
      </c>
      <c r="C265" s="33">
        <v>10</v>
      </c>
      <c r="D265" s="33">
        <f>SUMIF(وارد!$B$3:$B$2001,منتجات!A265,وارد!$E$3:$E$2001)</f>
        <v>0</v>
      </c>
      <c r="E265" s="33">
        <f>SUMIF(صادر!$B$5:$B$2001,منتجات!A265,صادر!$E$4:$E$2001)</f>
        <v>0</v>
      </c>
      <c r="F265" s="33">
        <f t="shared" si="10"/>
        <v>0</v>
      </c>
      <c r="G265" s="33">
        <v>1</v>
      </c>
      <c r="H265" s="34">
        <f t="shared" si="11"/>
        <v>0</v>
      </c>
    </row>
    <row r="266" spans="1:8" ht="23.25" x14ac:dyDescent="0.35">
      <c r="A266" s="31" t="s">
        <v>339</v>
      </c>
      <c r="B266" s="32">
        <v>264</v>
      </c>
      <c r="C266" s="33">
        <v>10</v>
      </c>
      <c r="D266" s="33">
        <f>SUMIF(وارد!$B$3:$B$2001,منتجات!A266,وارد!$E$3:$E$2001)</f>
        <v>0</v>
      </c>
      <c r="E266" s="33">
        <f>SUMIF(صادر!$B$5:$B$2001,منتجات!A266,صادر!$E$4:$E$2001)</f>
        <v>0</v>
      </c>
      <c r="F266" s="33">
        <f t="shared" si="10"/>
        <v>0</v>
      </c>
      <c r="G266" s="33">
        <v>1</v>
      </c>
      <c r="H266" s="34">
        <f t="shared" si="11"/>
        <v>0</v>
      </c>
    </row>
    <row r="267" spans="1:8" x14ac:dyDescent="0.35">
      <c r="A267" s="41"/>
      <c r="B267" s="32">
        <v>265</v>
      </c>
      <c r="C267" s="33">
        <v>10</v>
      </c>
      <c r="D267" s="33">
        <f>SUMIF(وارد!$B$3:$B$2001,منتجات!A267,وارد!$E$3:$E$2001)</f>
        <v>0</v>
      </c>
      <c r="E267" s="33">
        <f>SUMIF(صادر!$B$5:$B$2001,منتجات!A267,صادر!$E$4:$E$2001)</f>
        <v>0</v>
      </c>
      <c r="F267" s="33">
        <f t="shared" si="10"/>
        <v>0</v>
      </c>
      <c r="G267" s="33">
        <v>1</v>
      </c>
      <c r="H267" s="34">
        <f t="shared" si="11"/>
        <v>0</v>
      </c>
    </row>
    <row r="268" spans="1:8" ht="23.25" x14ac:dyDescent="0.35">
      <c r="A268" s="37" t="s">
        <v>74</v>
      </c>
      <c r="B268" s="32">
        <v>266</v>
      </c>
      <c r="C268" s="33">
        <v>10</v>
      </c>
      <c r="D268" s="33">
        <f>SUMIF(وارد!$B$3:$B$2001,منتجات!A268,وارد!$E$3:$E$2001)</f>
        <v>0</v>
      </c>
      <c r="E268" s="33">
        <f>SUMIF(صادر!$B$5:$B$2001,منتجات!A268,صادر!$E$4:$E$2001)</f>
        <v>0</v>
      </c>
      <c r="F268" s="33">
        <f t="shared" si="10"/>
        <v>0</v>
      </c>
      <c r="G268" s="33">
        <v>1</v>
      </c>
      <c r="H268" s="34">
        <f t="shared" si="11"/>
        <v>0</v>
      </c>
    </row>
    <row r="269" spans="1:8" ht="23.25" x14ac:dyDescent="0.35">
      <c r="A269" s="37" t="s">
        <v>75</v>
      </c>
      <c r="B269" s="32">
        <v>267</v>
      </c>
      <c r="C269" s="33">
        <v>10</v>
      </c>
      <c r="D269" s="33">
        <f>SUMIF(وارد!$B$3:$B$2001,منتجات!A269,وارد!$E$3:$E$2001)</f>
        <v>0</v>
      </c>
      <c r="E269" s="33">
        <f>SUMIF(صادر!$B$5:$B$2001,منتجات!A269,صادر!$E$4:$E$2001)</f>
        <v>0</v>
      </c>
      <c r="F269" s="33">
        <f t="shared" si="10"/>
        <v>0</v>
      </c>
      <c r="G269" s="33">
        <v>1</v>
      </c>
      <c r="H269" s="34">
        <f t="shared" si="11"/>
        <v>0</v>
      </c>
    </row>
    <row r="270" spans="1:8" ht="23.25" x14ac:dyDescent="0.35">
      <c r="A270" s="37" t="s">
        <v>444</v>
      </c>
      <c r="B270" s="32">
        <v>268</v>
      </c>
      <c r="C270" s="33">
        <v>10</v>
      </c>
      <c r="D270" s="33">
        <f>SUMIF(وارد!$B$3:$B$2001,منتجات!A270,وارد!$E$3:$E$2001)</f>
        <v>0</v>
      </c>
      <c r="E270" s="33">
        <f>SUMIF(صادر!$B$5:$B$2001,منتجات!A270,صادر!$E$4:$E$2001)</f>
        <v>0</v>
      </c>
      <c r="F270" s="33">
        <f t="shared" si="10"/>
        <v>0</v>
      </c>
      <c r="G270" s="33">
        <v>1</v>
      </c>
      <c r="H270" s="34">
        <f t="shared" si="11"/>
        <v>0</v>
      </c>
    </row>
    <row r="271" spans="1:8" ht="23.25" x14ac:dyDescent="0.35">
      <c r="A271" s="37" t="s">
        <v>332</v>
      </c>
      <c r="B271" s="32">
        <v>269</v>
      </c>
      <c r="C271" s="33">
        <v>20</v>
      </c>
      <c r="D271" s="33">
        <f>SUMIF(وارد!$B$3:$B$2001,منتجات!A271,وارد!$E$3:$E$2001)</f>
        <v>1</v>
      </c>
      <c r="E271" s="33">
        <f>SUMIF(صادر!$B$5:$B$2001,منتجات!A271,صادر!$E$4:$E$2001)</f>
        <v>1</v>
      </c>
      <c r="F271" s="33">
        <f t="shared" si="10"/>
        <v>19</v>
      </c>
      <c r="G271" s="33">
        <v>1</v>
      </c>
      <c r="H271" s="34">
        <f t="shared" si="11"/>
        <v>19</v>
      </c>
    </row>
    <row r="272" spans="1:8" ht="23.25" x14ac:dyDescent="0.35">
      <c r="A272" s="37" t="s">
        <v>333</v>
      </c>
      <c r="B272" s="32">
        <v>270</v>
      </c>
      <c r="C272" s="33">
        <v>20</v>
      </c>
      <c r="D272" s="33">
        <f>SUMIF(وارد!$B$3:$B$2001,منتجات!A272,وارد!$E$3:$E$2001)</f>
        <v>0</v>
      </c>
      <c r="E272" s="33">
        <f>SUMIF(صادر!$B$5:$B$2001,منتجات!A272,صادر!$E$4:$E$2001)</f>
        <v>0</v>
      </c>
      <c r="F272" s="33">
        <f t="shared" si="10"/>
        <v>0</v>
      </c>
      <c r="G272" s="33">
        <v>1</v>
      </c>
      <c r="H272" s="34">
        <f t="shared" si="11"/>
        <v>0</v>
      </c>
    </row>
    <row r="273" spans="1:8" ht="23.25" x14ac:dyDescent="0.35">
      <c r="A273" s="37" t="s">
        <v>151</v>
      </c>
      <c r="B273" s="32">
        <v>271</v>
      </c>
      <c r="C273" s="33">
        <v>1</v>
      </c>
      <c r="D273" s="33">
        <f>SUMIF(وارد!$B$3:$B$2001,منتجات!A273,وارد!$E$3:$E$2001)</f>
        <v>0</v>
      </c>
      <c r="E273" s="33">
        <f>SUMIF(صادر!$B$5:$B$2001,منتجات!A273,صادر!$E$4:$E$2001)</f>
        <v>0</v>
      </c>
      <c r="F273" s="33">
        <f t="shared" si="10"/>
        <v>0</v>
      </c>
      <c r="G273" s="33">
        <v>1</v>
      </c>
      <c r="H273" s="34">
        <f t="shared" si="11"/>
        <v>0</v>
      </c>
    </row>
    <row r="274" spans="1:8" ht="23.25" x14ac:dyDescent="0.35">
      <c r="A274" s="37" t="s">
        <v>446</v>
      </c>
      <c r="B274" s="32">
        <v>272</v>
      </c>
      <c r="C274" s="33">
        <v>1</v>
      </c>
      <c r="D274" s="33">
        <f>SUMIF(وارد!$B$3:$B$2001,منتجات!A274,وارد!$E$3:$E$2001)</f>
        <v>0</v>
      </c>
      <c r="E274" s="33">
        <f>SUMIF(صادر!$B$5:$B$2001,منتجات!A274,صادر!$E$4:$E$2001)</f>
        <v>0</v>
      </c>
      <c r="F274" s="33">
        <f t="shared" si="10"/>
        <v>0</v>
      </c>
      <c r="G274" s="33">
        <v>1</v>
      </c>
      <c r="H274" s="34">
        <f t="shared" si="11"/>
        <v>0</v>
      </c>
    </row>
    <row r="275" spans="1:8" ht="23.25" x14ac:dyDescent="0.35">
      <c r="A275" s="37" t="s">
        <v>447</v>
      </c>
      <c r="B275" s="32">
        <v>273</v>
      </c>
      <c r="C275" s="33">
        <v>1</v>
      </c>
      <c r="D275" s="33">
        <f>SUMIF(وارد!$B$3:$B$2001,منتجات!A275,وارد!$E$3:$E$2001)</f>
        <v>0</v>
      </c>
      <c r="E275" s="33">
        <f>SUMIF(صادر!$B$5:$B$2001,منتجات!A275,صادر!$E$4:$E$2001)</f>
        <v>0</v>
      </c>
      <c r="F275" s="33">
        <f t="shared" si="10"/>
        <v>0</v>
      </c>
      <c r="G275" s="33">
        <v>1</v>
      </c>
      <c r="H275" s="34">
        <f t="shared" si="11"/>
        <v>0</v>
      </c>
    </row>
    <row r="276" spans="1:8" ht="23.25" x14ac:dyDescent="0.35">
      <c r="A276" s="37" t="s">
        <v>448</v>
      </c>
      <c r="B276" s="32">
        <v>274</v>
      </c>
      <c r="C276" s="33">
        <v>1</v>
      </c>
      <c r="D276" s="33">
        <f>SUMIF(وارد!$B$3:$B$2001,منتجات!A276,وارد!$E$3:$E$2001)</f>
        <v>0</v>
      </c>
      <c r="E276" s="33">
        <f>SUMIF(صادر!$B$5:$B$2001,منتجات!A276,صادر!$E$4:$E$2001)</f>
        <v>0</v>
      </c>
      <c r="F276" s="33">
        <f t="shared" si="10"/>
        <v>0</v>
      </c>
      <c r="G276" s="33">
        <v>1</v>
      </c>
      <c r="H276" s="34">
        <f t="shared" si="11"/>
        <v>0</v>
      </c>
    </row>
    <row r="277" spans="1:8" ht="23.25" x14ac:dyDescent="0.35">
      <c r="A277" s="37" t="s">
        <v>155</v>
      </c>
      <c r="B277" s="32">
        <v>275</v>
      </c>
      <c r="C277" s="33">
        <v>1</v>
      </c>
      <c r="D277" s="33">
        <f>SUMIF(وارد!$B$3:$B$2001,منتجات!A277,وارد!$E$3:$E$2001)</f>
        <v>0</v>
      </c>
      <c r="E277" s="33">
        <f>SUMIF(صادر!$B$5:$B$2001,منتجات!A277,صادر!$E$4:$E$2001)</f>
        <v>0</v>
      </c>
      <c r="F277" s="33">
        <f t="shared" si="10"/>
        <v>0</v>
      </c>
      <c r="G277" s="33">
        <v>1</v>
      </c>
      <c r="H277" s="34">
        <f t="shared" si="11"/>
        <v>0</v>
      </c>
    </row>
    <row r="278" spans="1:8" ht="23.25" x14ac:dyDescent="0.35">
      <c r="A278" s="37" t="s">
        <v>445</v>
      </c>
      <c r="B278" s="32">
        <v>276</v>
      </c>
      <c r="C278" s="33">
        <v>1</v>
      </c>
      <c r="D278" s="33">
        <f>SUMIF(وارد!$B$3:$B$2001,منتجات!A278,وارد!$E$3:$E$2001)</f>
        <v>0</v>
      </c>
      <c r="E278" s="33">
        <f>SUMIF(صادر!$B$5:$B$2001,منتجات!A278,صادر!$E$4:$E$2001)</f>
        <v>0</v>
      </c>
      <c r="F278" s="33">
        <f t="shared" si="10"/>
        <v>0</v>
      </c>
      <c r="G278" s="33">
        <v>1</v>
      </c>
      <c r="H278" s="34">
        <f t="shared" si="11"/>
        <v>0</v>
      </c>
    </row>
    <row r="279" spans="1:8" ht="23.25" x14ac:dyDescent="0.35">
      <c r="A279" s="37" t="s">
        <v>450</v>
      </c>
      <c r="B279" s="32">
        <v>277</v>
      </c>
      <c r="C279" s="33">
        <v>1</v>
      </c>
      <c r="D279" s="33">
        <f>SUMIF(وارد!$B$3:$B$2001,منتجات!A279,وارد!$E$3:$E$2001)</f>
        <v>0</v>
      </c>
      <c r="E279" s="33">
        <f>SUMIF(صادر!$B$5:$B$2001,منتجات!A279,صادر!$E$4:$E$2001)</f>
        <v>0</v>
      </c>
      <c r="F279" s="33">
        <f t="shared" si="10"/>
        <v>0</v>
      </c>
      <c r="G279" s="33">
        <v>1</v>
      </c>
      <c r="H279" s="34">
        <f t="shared" si="11"/>
        <v>0</v>
      </c>
    </row>
    <row r="280" spans="1:8" ht="23.25" x14ac:dyDescent="0.35">
      <c r="A280" s="37" t="s">
        <v>449</v>
      </c>
      <c r="B280" s="32">
        <v>278</v>
      </c>
      <c r="C280" s="33">
        <v>1</v>
      </c>
      <c r="D280" s="33">
        <f>SUMIF(وارد!$B$3:$B$2001,منتجات!A280,وارد!$E$3:$E$2001)</f>
        <v>0</v>
      </c>
      <c r="E280" s="33">
        <f>SUMIF(صادر!$B$5:$B$2001,منتجات!A280,صادر!$E$4:$E$2001)</f>
        <v>0</v>
      </c>
      <c r="F280" s="33">
        <f t="shared" si="10"/>
        <v>0</v>
      </c>
      <c r="G280" s="33">
        <v>1</v>
      </c>
      <c r="H280" s="34">
        <f t="shared" si="11"/>
        <v>0</v>
      </c>
    </row>
    <row r="281" spans="1:8" ht="23.25" x14ac:dyDescent="0.35">
      <c r="A281" s="37" t="s">
        <v>159</v>
      </c>
      <c r="B281" s="32">
        <v>279</v>
      </c>
      <c r="C281" s="33">
        <v>1</v>
      </c>
      <c r="D281" s="33">
        <f>SUMIF(وارد!$B$3:$B$2001,منتجات!A281,وارد!$E$3:$E$2001)</f>
        <v>0</v>
      </c>
      <c r="E281" s="33">
        <f>SUMIF(صادر!$B$5:$B$2001,منتجات!A281,صادر!$E$4:$E$2001)</f>
        <v>0</v>
      </c>
      <c r="F281" s="33">
        <f t="shared" si="10"/>
        <v>0</v>
      </c>
      <c r="G281" s="33">
        <v>1</v>
      </c>
      <c r="H281" s="34">
        <f t="shared" si="11"/>
        <v>0</v>
      </c>
    </row>
    <row r="282" spans="1:8" ht="23.25" x14ac:dyDescent="0.35">
      <c r="A282" s="37" t="s">
        <v>160</v>
      </c>
      <c r="B282" s="32">
        <v>280</v>
      </c>
      <c r="C282" s="33">
        <v>1</v>
      </c>
      <c r="D282" s="33">
        <f>SUMIF(وارد!$B$3:$B$2001,منتجات!A282,وارد!$E$3:$E$2001)</f>
        <v>0</v>
      </c>
      <c r="E282" s="33">
        <f>SUMIF(صادر!$B$5:$B$2001,منتجات!A282,صادر!$E$4:$E$2001)</f>
        <v>0</v>
      </c>
      <c r="F282" s="33">
        <f t="shared" si="10"/>
        <v>0</v>
      </c>
      <c r="G282" s="33">
        <v>1</v>
      </c>
      <c r="H282" s="34">
        <f t="shared" si="11"/>
        <v>0</v>
      </c>
    </row>
    <row r="283" spans="1:8" ht="23.25" x14ac:dyDescent="0.35">
      <c r="A283" s="37" t="s">
        <v>161</v>
      </c>
      <c r="B283" s="32">
        <v>281</v>
      </c>
      <c r="C283" s="33">
        <v>1</v>
      </c>
      <c r="D283" s="33">
        <f>SUMIF(وارد!$B$3:$B$2001,منتجات!A283,وارد!$E$3:$E$2001)</f>
        <v>0</v>
      </c>
      <c r="E283" s="33">
        <f>SUMIF(صادر!$B$5:$B$2001,منتجات!A283,صادر!$E$4:$E$2001)</f>
        <v>2</v>
      </c>
      <c r="F283" s="33">
        <f t="shared" si="10"/>
        <v>-2</v>
      </c>
      <c r="G283" s="33">
        <v>1</v>
      </c>
      <c r="H283" s="34">
        <f t="shared" si="11"/>
        <v>-2</v>
      </c>
    </row>
    <row r="284" spans="1:8" x14ac:dyDescent="0.35">
      <c r="A284" s="38" t="s">
        <v>339</v>
      </c>
      <c r="B284" s="32">
        <v>282</v>
      </c>
      <c r="C284" s="33">
        <v>10</v>
      </c>
      <c r="D284" s="33">
        <f>SUMIF(وارد!$B$3:$B$2001,منتجات!A284,وارد!$E$3:$E$2001)</f>
        <v>0</v>
      </c>
      <c r="E284" s="33">
        <f>SUMIF(صادر!$B$5:$B$2001,منتجات!A284,صادر!$E$4:$E$2001)</f>
        <v>0</v>
      </c>
      <c r="F284" s="33">
        <f t="shared" si="10"/>
        <v>0</v>
      </c>
      <c r="G284" s="33">
        <v>1</v>
      </c>
      <c r="H284" s="34">
        <f t="shared" si="11"/>
        <v>0</v>
      </c>
    </row>
    <row r="285" spans="1:8" x14ac:dyDescent="0.35">
      <c r="A285" s="41"/>
      <c r="B285" s="32">
        <v>283</v>
      </c>
      <c r="C285" s="33">
        <v>10</v>
      </c>
      <c r="D285" s="33">
        <f>SUMIF(وارد!$B$3:$B$2001,منتجات!A285,وارد!$E$3:$E$2001)</f>
        <v>0</v>
      </c>
      <c r="E285" s="33">
        <f>SUMIF(صادر!$B$5:$B$2001,منتجات!A285,صادر!$E$4:$E$2001)</f>
        <v>0</v>
      </c>
      <c r="F285" s="33">
        <f t="shared" si="10"/>
        <v>0</v>
      </c>
      <c r="G285" s="33">
        <v>1</v>
      </c>
      <c r="H285" s="34">
        <f t="shared" si="11"/>
        <v>0</v>
      </c>
    </row>
    <row r="286" spans="1:8" x14ac:dyDescent="0.35">
      <c r="A286" s="43"/>
      <c r="B286" s="32">
        <v>284</v>
      </c>
      <c r="C286" s="33">
        <v>10</v>
      </c>
      <c r="D286" s="33">
        <f>SUMIF(وارد!$B$3:$B$2001,منتجات!A286,وارد!$E$3:$E$2001)</f>
        <v>0</v>
      </c>
      <c r="E286" s="33">
        <f>SUMIF(صادر!$B$5:$B$2001,منتجات!A286,صادر!$E$4:$E$2001)</f>
        <v>0</v>
      </c>
      <c r="F286" s="33">
        <f t="shared" si="10"/>
        <v>0</v>
      </c>
      <c r="G286" s="33">
        <v>1</v>
      </c>
      <c r="H286" s="34">
        <f t="shared" si="11"/>
        <v>0</v>
      </c>
    </row>
    <row r="287" spans="1:8" x14ac:dyDescent="0.35">
      <c r="A287" s="43"/>
      <c r="B287" s="32">
        <v>285</v>
      </c>
      <c r="C287" s="33">
        <v>10</v>
      </c>
      <c r="D287" s="33">
        <f>SUMIF(وارد!$B$3:$B$2001,منتجات!A287,وارد!$E$3:$E$2001)</f>
        <v>0</v>
      </c>
      <c r="E287" s="33">
        <f>SUMIF(صادر!$B$5:$B$2001,منتجات!A287,صادر!$E$4:$E$2001)</f>
        <v>0</v>
      </c>
      <c r="F287" s="33">
        <f t="shared" si="10"/>
        <v>0</v>
      </c>
      <c r="G287" s="33">
        <v>1</v>
      </c>
      <c r="H287" s="34">
        <f t="shared" si="11"/>
        <v>0</v>
      </c>
    </row>
    <row r="288" spans="1:8" x14ac:dyDescent="0.35">
      <c r="A288" s="43"/>
      <c r="B288" s="32">
        <v>286</v>
      </c>
      <c r="C288" s="33">
        <v>10</v>
      </c>
      <c r="D288" s="33">
        <f>SUMIF(وارد!$B$3:$B$2001,منتجات!A288,وارد!$E$3:$E$2001)</f>
        <v>0</v>
      </c>
      <c r="E288" s="33">
        <f>SUMIF(صادر!$B$5:$B$2001,منتجات!A288,صادر!$E$4:$E$2001)</f>
        <v>0</v>
      </c>
      <c r="F288" s="33">
        <f t="shared" si="10"/>
        <v>0</v>
      </c>
      <c r="G288" s="33">
        <v>1</v>
      </c>
      <c r="H288" s="34">
        <f t="shared" si="11"/>
        <v>0</v>
      </c>
    </row>
    <row r="289" spans="1:8" x14ac:dyDescent="0.35">
      <c r="A289" s="43"/>
      <c r="B289" s="32">
        <v>287</v>
      </c>
      <c r="C289" s="33">
        <v>10</v>
      </c>
      <c r="D289" s="33">
        <f>SUMIF(وارد!$B$3:$B$2001,منتجات!A289,وارد!$E$3:$E$2001)</f>
        <v>0</v>
      </c>
      <c r="E289" s="33">
        <f>SUMIF(صادر!$B$5:$B$2001,منتجات!A289,صادر!$E$4:$E$2001)</f>
        <v>0</v>
      </c>
      <c r="F289" s="33">
        <f t="shared" si="10"/>
        <v>0</v>
      </c>
      <c r="G289" s="33">
        <v>1</v>
      </c>
      <c r="H289" s="34">
        <f t="shared" si="11"/>
        <v>0</v>
      </c>
    </row>
    <row r="290" spans="1:8" x14ac:dyDescent="0.35">
      <c r="A290" s="43"/>
      <c r="B290" s="32">
        <v>288</v>
      </c>
      <c r="C290" s="33">
        <v>10</v>
      </c>
      <c r="D290" s="33">
        <f>SUMIF(وارد!$B$3:$B$2001,منتجات!A290,وارد!$E$3:$E$2001)</f>
        <v>0</v>
      </c>
      <c r="E290" s="33">
        <f>SUMIF(صادر!$B$5:$B$2001,منتجات!A290,صادر!$E$4:$E$2001)</f>
        <v>0</v>
      </c>
      <c r="F290" s="33">
        <f t="shared" si="10"/>
        <v>0</v>
      </c>
      <c r="G290" s="33">
        <v>1</v>
      </c>
      <c r="H290" s="34">
        <f t="shared" si="11"/>
        <v>0</v>
      </c>
    </row>
    <row r="291" spans="1:8" x14ac:dyDescent="0.35">
      <c r="A291" s="43"/>
      <c r="B291" s="32">
        <v>289</v>
      </c>
      <c r="C291" s="33">
        <v>10</v>
      </c>
      <c r="D291" s="33">
        <f>SUMIF(وارد!$B$3:$B$2001,منتجات!A291,وارد!$E$3:$E$2001)</f>
        <v>0</v>
      </c>
      <c r="E291" s="33">
        <f>SUMIF(صادر!$B$5:$B$2001,منتجات!A291,صادر!$E$4:$E$2001)</f>
        <v>0</v>
      </c>
      <c r="F291" s="33">
        <f t="shared" si="10"/>
        <v>0</v>
      </c>
      <c r="G291" s="33">
        <v>1</v>
      </c>
      <c r="H291" s="34">
        <f t="shared" si="11"/>
        <v>0</v>
      </c>
    </row>
    <row r="292" spans="1:8" x14ac:dyDescent="0.35">
      <c r="A292" s="43"/>
      <c r="B292" s="32">
        <v>290</v>
      </c>
      <c r="C292" s="33">
        <v>10</v>
      </c>
      <c r="D292" s="33">
        <f>SUMIF(وارد!$B$3:$B$2001,منتجات!A292,وارد!$E$3:$E$2001)</f>
        <v>0</v>
      </c>
      <c r="E292" s="33">
        <f>SUMIF(صادر!$B$5:$B$2001,منتجات!A292,صادر!$E$4:$E$2001)</f>
        <v>0</v>
      </c>
      <c r="F292" s="33">
        <f t="shared" si="10"/>
        <v>0</v>
      </c>
      <c r="G292" s="33">
        <v>1</v>
      </c>
      <c r="H292" s="34">
        <f t="shared" si="11"/>
        <v>0</v>
      </c>
    </row>
    <row r="293" spans="1:8" x14ac:dyDescent="0.35">
      <c r="A293" s="43"/>
      <c r="B293" s="32">
        <v>291</v>
      </c>
      <c r="C293" s="33">
        <v>10</v>
      </c>
      <c r="D293" s="33">
        <f>SUMIF(وارد!$B$3:$B$2001,منتجات!A293,وارد!$E$3:$E$2001)</f>
        <v>0</v>
      </c>
      <c r="E293" s="33">
        <f>SUMIF(صادر!$B$5:$B$2001,منتجات!A293,صادر!$E$4:$E$2001)</f>
        <v>0</v>
      </c>
      <c r="F293" s="33">
        <f t="shared" si="10"/>
        <v>0</v>
      </c>
      <c r="G293" s="33">
        <v>1</v>
      </c>
      <c r="H293" s="34">
        <f t="shared" si="11"/>
        <v>0</v>
      </c>
    </row>
    <row r="294" spans="1:8" x14ac:dyDescent="0.35">
      <c r="A294" s="43"/>
      <c r="B294" s="32">
        <v>292</v>
      </c>
      <c r="C294" s="33">
        <v>10</v>
      </c>
      <c r="D294" s="33">
        <f>SUMIF(وارد!$B$3:$B$2001,منتجات!A294,وارد!$E$3:$E$2001)</f>
        <v>0</v>
      </c>
      <c r="E294" s="33">
        <f>SUMIF(صادر!$B$5:$B$2001,منتجات!A294,صادر!$E$4:$E$2001)</f>
        <v>0</v>
      </c>
      <c r="F294" s="33">
        <f t="shared" si="10"/>
        <v>0</v>
      </c>
      <c r="G294" s="33">
        <v>1</v>
      </c>
      <c r="H294" s="34">
        <f t="shared" si="11"/>
        <v>0</v>
      </c>
    </row>
    <row r="295" spans="1:8" x14ac:dyDescent="0.35">
      <c r="A295" s="43"/>
      <c r="B295" s="32">
        <v>293</v>
      </c>
      <c r="C295" s="33">
        <v>10</v>
      </c>
      <c r="D295" s="33">
        <f>SUMIF(وارد!$B$3:$B$2001,منتجات!A295,وارد!$E$3:$E$2001)</f>
        <v>0</v>
      </c>
      <c r="E295" s="33">
        <f>SUMIF(صادر!$B$5:$B$2001,منتجات!A295,صادر!$E$4:$E$2001)</f>
        <v>0</v>
      </c>
      <c r="F295" s="33">
        <f t="shared" si="10"/>
        <v>0</v>
      </c>
      <c r="G295" s="33">
        <v>1</v>
      </c>
      <c r="H295" s="34">
        <f t="shared" si="11"/>
        <v>0</v>
      </c>
    </row>
    <row r="296" spans="1:8" x14ac:dyDescent="0.35">
      <c r="A296" s="43"/>
      <c r="B296" s="32">
        <v>294</v>
      </c>
      <c r="C296" s="33">
        <v>10</v>
      </c>
      <c r="D296" s="33">
        <f>SUMIF(وارد!$B$3:$B$2001,منتجات!A296,وارد!$E$3:$E$2001)</f>
        <v>0</v>
      </c>
      <c r="E296" s="33">
        <f>SUMIF(صادر!$B$5:$B$2001,منتجات!A296,صادر!$E$4:$E$2001)</f>
        <v>0</v>
      </c>
      <c r="F296" s="33">
        <f t="shared" si="10"/>
        <v>0</v>
      </c>
      <c r="G296" s="33">
        <v>1</v>
      </c>
      <c r="H296" s="34">
        <f t="shared" si="11"/>
        <v>0</v>
      </c>
    </row>
    <row r="297" spans="1:8" x14ac:dyDescent="0.35">
      <c r="A297" s="43"/>
      <c r="B297" s="32">
        <v>295</v>
      </c>
      <c r="C297" s="33">
        <v>10</v>
      </c>
      <c r="D297" s="33">
        <f>SUMIF(وارد!$B$3:$B$2001,منتجات!A297,وارد!$E$3:$E$2001)</f>
        <v>0</v>
      </c>
      <c r="E297" s="33">
        <f>SUMIF(صادر!$B$5:$B$2001,منتجات!A297,صادر!$E$4:$E$2001)</f>
        <v>0</v>
      </c>
      <c r="F297" s="33">
        <f t="shared" si="10"/>
        <v>0</v>
      </c>
      <c r="G297" s="33">
        <v>1</v>
      </c>
      <c r="H297" s="34">
        <f t="shared" si="11"/>
        <v>0</v>
      </c>
    </row>
    <row r="298" spans="1:8" x14ac:dyDescent="0.35">
      <c r="A298" s="43"/>
      <c r="B298" s="32">
        <v>296</v>
      </c>
      <c r="C298" s="33">
        <v>10</v>
      </c>
      <c r="D298" s="33">
        <f>SUMIF(وارد!$B$3:$B$2001,منتجات!A298,وارد!$E$3:$E$2001)</f>
        <v>0</v>
      </c>
      <c r="E298" s="33">
        <f>SUMIF(صادر!$B$5:$B$2001,منتجات!A298,صادر!$E$4:$E$2001)</f>
        <v>0</v>
      </c>
      <c r="F298" s="33">
        <f t="shared" si="10"/>
        <v>0</v>
      </c>
      <c r="G298" s="33">
        <v>1</v>
      </c>
      <c r="H298" s="34">
        <f t="shared" si="11"/>
        <v>0</v>
      </c>
    </row>
    <row r="299" spans="1:8" x14ac:dyDescent="0.35">
      <c r="A299" s="43"/>
      <c r="B299" s="32">
        <v>297</v>
      </c>
      <c r="C299" s="33">
        <v>10</v>
      </c>
      <c r="D299" s="33">
        <f>SUMIF(وارد!$B$3:$B$2001,منتجات!A299,وارد!$E$3:$E$2001)</f>
        <v>0</v>
      </c>
      <c r="E299" s="33">
        <f>SUMIF(صادر!$B$5:$B$2001,منتجات!A299,صادر!$E$4:$E$2001)</f>
        <v>0</v>
      </c>
      <c r="F299" s="33">
        <f t="shared" si="10"/>
        <v>0</v>
      </c>
      <c r="G299" s="33">
        <v>1</v>
      </c>
      <c r="H299" s="34">
        <f t="shared" si="11"/>
        <v>0</v>
      </c>
    </row>
    <row r="300" spans="1:8" x14ac:dyDescent="0.35">
      <c r="A300" s="43"/>
      <c r="B300" s="32">
        <v>298</v>
      </c>
      <c r="C300" s="33">
        <v>10</v>
      </c>
      <c r="D300" s="33">
        <f>SUMIF(وارد!$B$3:$B$2001,منتجات!A300,وارد!$E$3:$E$2001)</f>
        <v>0</v>
      </c>
      <c r="E300" s="33">
        <f>SUMIF(صادر!$B$5:$B$2001,منتجات!A300,صادر!$E$4:$E$2001)</f>
        <v>0</v>
      </c>
      <c r="F300" s="33">
        <f t="shared" si="10"/>
        <v>0</v>
      </c>
      <c r="G300" s="33">
        <v>1</v>
      </c>
      <c r="H300" s="34">
        <f t="shared" si="11"/>
        <v>0</v>
      </c>
    </row>
    <row r="301" spans="1:8" x14ac:dyDescent="0.35">
      <c r="A301" s="43"/>
      <c r="B301" s="32">
        <v>299</v>
      </c>
      <c r="C301" s="33">
        <v>10</v>
      </c>
      <c r="D301" s="33">
        <f>SUMIF(وارد!$B$3:$B$2001,منتجات!A301,وارد!$E$3:$E$2001)</f>
        <v>0</v>
      </c>
      <c r="E301" s="33">
        <f>SUMIF(صادر!$B$5:$B$2001,منتجات!A301,صادر!$E$4:$E$2001)</f>
        <v>0</v>
      </c>
      <c r="F301" s="33">
        <f t="shared" si="10"/>
        <v>0</v>
      </c>
      <c r="G301" s="33">
        <v>1</v>
      </c>
      <c r="H301" s="34">
        <f t="shared" si="11"/>
        <v>0</v>
      </c>
    </row>
    <row r="302" spans="1:8" x14ac:dyDescent="0.35">
      <c r="A302" s="43"/>
      <c r="B302" s="32">
        <v>300</v>
      </c>
      <c r="C302" s="33">
        <v>10</v>
      </c>
      <c r="D302" s="33">
        <f>SUMIF(وارد!$B$3:$B$2001,منتجات!A302,وارد!$E$3:$E$2001)</f>
        <v>0</v>
      </c>
      <c r="E302" s="33">
        <f>SUMIF(صادر!$B$5:$B$2001,منتجات!A302,صادر!$E$4:$E$2001)</f>
        <v>0</v>
      </c>
      <c r="F302" s="33">
        <f t="shared" si="10"/>
        <v>0</v>
      </c>
      <c r="G302" s="33">
        <v>1</v>
      </c>
      <c r="H302" s="34">
        <f t="shared" si="11"/>
        <v>0</v>
      </c>
    </row>
    <row r="303" spans="1:8" x14ac:dyDescent="0.35">
      <c r="A303" s="43"/>
      <c r="B303" s="32">
        <v>301</v>
      </c>
      <c r="C303" s="33">
        <v>10</v>
      </c>
      <c r="D303" s="33">
        <f>SUMIF(وارد!$B$3:$B$2001,منتجات!A303,وارد!$E$3:$E$2001)</f>
        <v>0</v>
      </c>
      <c r="E303" s="33">
        <f>SUMIF(صادر!$B$5:$B$2001,منتجات!A303,صادر!$E$4:$E$2001)</f>
        <v>0</v>
      </c>
      <c r="F303" s="33">
        <f t="shared" si="10"/>
        <v>0</v>
      </c>
      <c r="G303" s="33">
        <v>1</v>
      </c>
      <c r="H303" s="34">
        <f t="shared" si="11"/>
        <v>0</v>
      </c>
    </row>
    <row r="304" spans="1:8" x14ac:dyDescent="0.35">
      <c r="A304" s="43"/>
      <c r="B304" s="33"/>
      <c r="C304" s="33"/>
      <c r="D304" s="33"/>
      <c r="E304" s="33"/>
      <c r="F304" s="33"/>
      <c r="G304" s="33"/>
      <c r="H304" s="34"/>
    </row>
    <row r="305" spans="1:8" x14ac:dyDescent="0.35">
      <c r="A305" s="43"/>
      <c r="B305" s="33"/>
      <c r="C305" s="33"/>
      <c r="D305" s="33"/>
      <c r="E305" s="33"/>
      <c r="F305" s="33"/>
      <c r="G305" s="33"/>
      <c r="H305" s="34"/>
    </row>
    <row r="306" spans="1:8" x14ac:dyDescent="0.35">
      <c r="A306" s="43"/>
      <c r="B306" s="33"/>
      <c r="C306" s="33"/>
      <c r="D306" s="33"/>
      <c r="E306" s="33"/>
      <c r="F306" s="33"/>
      <c r="G306" s="33"/>
      <c r="H306" s="34"/>
    </row>
    <row r="307" spans="1:8" x14ac:dyDescent="0.35">
      <c r="A307" s="43"/>
      <c r="B307" s="33"/>
      <c r="C307" s="33"/>
      <c r="D307" s="33"/>
      <c r="E307" s="33"/>
      <c r="F307" s="33"/>
      <c r="G307" s="33"/>
      <c r="H307" s="34"/>
    </row>
    <row r="308" spans="1:8" x14ac:dyDescent="0.35">
      <c r="A308" s="43"/>
      <c r="B308" s="33"/>
      <c r="C308" s="33"/>
      <c r="D308" s="33"/>
      <c r="E308" s="33"/>
      <c r="F308" s="33"/>
      <c r="G308" s="33"/>
      <c r="H308" s="34"/>
    </row>
    <row r="309" spans="1:8" x14ac:dyDescent="0.35">
      <c r="A309" s="43"/>
      <c r="B309" s="33"/>
      <c r="C309" s="33"/>
      <c r="D309" s="33"/>
      <c r="E309" s="33"/>
      <c r="F309" s="33"/>
      <c r="G309" s="33"/>
      <c r="H309" s="34"/>
    </row>
    <row r="310" spans="1:8" x14ac:dyDescent="0.35">
      <c r="A310" s="43"/>
      <c r="B310" s="33"/>
      <c r="C310" s="33"/>
      <c r="D310" s="33"/>
      <c r="E310" s="33"/>
      <c r="F310" s="33"/>
      <c r="G310" s="33"/>
      <c r="H310" s="34"/>
    </row>
    <row r="311" spans="1:8" x14ac:dyDescent="0.35">
      <c r="A311" s="43"/>
      <c r="B311" s="33"/>
      <c r="C311" s="33"/>
      <c r="D311" s="33"/>
      <c r="E311" s="33"/>
      <c r="F311" s="33"/>
      <c r="G311" s="33"/>
      <c r="H311" s="34"/>
    </row>
    <row r="312" spans="1:8" x14ac:dyDescent="0.35">
      <c r="A312" s="43"/>
      <c r="B312" s="33"/>
      <c r="C312" s="33"/>
      <c r="D312" s="33"/>
      <c r="E312" s="33"/>
      <c r="F312" s="33"/>
      <c r="G312" s="33"/>
      <c r="H312" s="34"/>
    </row>
    <row r="313" spans="1:8" x14ac:dyDescent="0.35">
      <c r="A313" s="43"/>
      <c r="B313" s="33"/>
      <c r="C313" s="33"/>
      <c r="D313" s="33"/>
      <c r="E313" s="33"/>
      <c r="F313" s="33"/>
      <c r="G313" s="33"/>
      <c r="H313" s="34"/>
    </row>
    <row r="314" spans="1:8" x14ac:dyDescent="0.35">
      <c r="A314" s="43"/>
      <c r="B314" s="33"/>
      <c r="C314" s="33"/>
      <c r="D314" s="33"/>
      <c r="E314" s="33"/>
      <c r="F314" s="33"/>
      <c r="G314" s="33"/>
      <c r="H314" s="34"/>
    </row>
    <row r="315" spans="1:8" x14ac:dyDescent="0.35">
      <c r="A315" s="43"/>
      <c r="B315" s="33"/>
      <c r="C315" s="33"/>
      <c r="D315" s="33"/>
      <c r="E315" s="33"/>
      <c r="F315" s="33"/>
      <c r="G315" s="33"/>
      <c r="H315" s="34"/>
    </row>
    <row r="316" spans="1:8" x14ac:dyDescent="0.35">
      <c r="A316" s="43"/>
      <c r="B316" s="33"/>
      <c r="C316" s="33"/>
      <c r="D316" s="33"/>
      <c r="E316" s="33"/>
      <c r="F316" s="33"/>
      <c r="G316" s="33"/>
      <c r="H316" s="34"/>
    </row>
    <row r="317" spans="1:8" x14ac:dyDescent="0.35">
      <c r="A317" s="43"/>
      <c r="B317" s="33"/>
      <c r="C317" s="33"/>
      <c r="D317" s="33"/>
      <c r="E317" s="33"/>
      <c r="F317" s="33"/>
      <c r="G317" s="33"/>
      <c r="H317" s="34"/>
    </row>
    <row r="318" spans="1:8" x14ac:dyDescent="0.35">
      <c r="A318" s="43"/>
      <c r="B318" s="33"/>
      <c r="C318" s="33"/>
      <c r="D318" s="33"/>
      <c r="E318" s="33"/>
      <c r="F318" s="33"/>
      <c r="G318" s="33"/>
      <c r="H318" s="34"/>
    </row>
    <row r="319" spans="1:8" x14ac:dyDescent="0.35">
      <c r="A319" s="43"/>
      <c r="B319" s="33"/>
      <c r="C319" s="33"/>
      <c r="D319" s="33"/>
      <c r="E319" s="33"/>
      <c r="F319" s="33"/>
      <c r="G319" s="33"/>
      <c r="H319" s="34"/>
    </row>
    <row r="320" spans="1:8" x14ac:dyDescent="0.35">
      <c r="A320" s="43"/>
      <c r="B320" s="33"/>
      <c r="C320" s="33"/>
      <c r="D320" s="33"/>
      <c r="E320" s="33"/>
      <c r="F320" s="33"/>
      <c r="G320" s="33"/>
      <c r="H320" s="34"/>
    </row>
    <row r="321" spans="1:8" x14ac:dyDescent="0.35">
      <c r="A321" s="43"/>
      <c r="B321" s="33"/>
      <c r="C321" s="33"/>
      <c r="D321" s="33"/>
      <c r="E321" s="33"/>
      <c r="F321" s="33"/>
      <c r="G321" s="33"/>
      <c r="H321" s="34"/>
    </row>
    <row r="322" spans="1:8" x14ac:dyDescent="0.35">
      <c r="A322" s="43"/>
      <c r="B322" s="33"/>
      <c r="C322" s="33"/>
      <c r="D322" s="33"/>
      <c r="E322" s="33"/>
      <c r="F322" s="33"/>
      <c r="G322" s="33"/>
      <c r="H322" s="34"/>
    </row>
    <row r="323" spans="1:8" x14ac:dyDescent="0.35">
      <c r="A323" s="43"/>
      <c r="B323" s="33"/>
      <c r="C323" s="33"/>
      <c r="D323" s="33"/>
      <c r="E323" s="33"/>
      <c r="F323" s="33"/>
      <c r="G323" s="33"/>
      <c r="H323" s="34"/>
    </row>
    <row r="324" spans="1:8" x14ac:dyDescent="0.35">
      <c r="A324" s="43"/>
      <c r="B324" s="33"/>
      <c r="C324" s="33"/>
      <c r="D324" s="33"/>
      <c r="E324" s="33"/>
      <c r="F324" s="33"/>
      <c r="G324" s="33"/>
      <c r="H324" s="34"/>
    </row>
    <row r="325" spans="1:8" x14ac:dyDescent="0.35">
      <c r="A325" s="43"/>
      <c r="B325" s="33"/>
      <c r="C325" s="33"/>
      <c r="D325" s="33"/>
      <c r="E325" s="33"/>
      <c r="F325" s="33"/>
      <c r="G325" s="33"/>
      <c r="H325" s="34"/>
    </row>
    <row r="326" spans="1:8" x14ac:dyDescent="0.35">
      <c r="A326" s="43"/>
      <c r="B326" s="33"/>
      <c r="C326" s="33"/>
      <c r="D326" s="33"/>
      <c r="E326" s="33"/>
      <c r="F326" s="33"/>
      <c r="G326" s="33"/>
      <c r="H326" s="34"/>
    </row>
    <row r="327" spans="1:8" x14ac:dyDescent="0.35">
      <c r="A327" s="43"/>
      <c r="B327" s="33"/>
      <c r="C327" s="33"/>
      <c r="D327" s="33"/>
      <c r="E327" s="33"/>
      <c r="F327" s="33"/>
      <c r="G327" s="33"/>
      <c r="H327" s="34"/>
    </row>
    <row r="328" spans="1:8" x14ac:dyDescent="0.35">
      <c r="A328" s="43"/>
      <c r="B328" s="33"/>
      <c r="C328" s="33"/>
      <c r="D328" s="33"/>
      <c r="E328" s="33"/>
      <c r="F328" s="33"/>
      <c r="G328" s="33"/>
      <c r="H328" s="34"/>
    </row>
    <row r="329" spans="1:8" x14ac:dyDescent="0.35">
      <c r="A329" s="43"/>
      <c r="B329" s="33"/>
      <c r="C329" s="33"/>
      <c r="D329" s="33"/>
      <c r="E329" s="33"/>
      <c r="F329" s="33"/>
      <c r="G329" s="33"/>
      <c r="H329" s="34"/>
    </row>
    <row r="330" spans="1:8" x14ac:dyDescent="0.35">
      <c r="A330" s="43"/>
      <c r="B330" s="33"/>
      <c r="C330" s="33"/>
      <c r="D330" s="33"/>
      <c r="E330" s="33"/>
      <c r="F330" s="33"/>
      <c r="G330" s="33"/>
      <c r="H330" s="34"/>
    </row>
    <row r="331" spans="1:8" x14ac:dyDescent="0.35">
      <c r="A331" s="43"/>
      <c r="B331" s="33"/>
      <c r="C331" s="33"/>
      <c r="D331" s="33"/>
      <c r="E331" s="33"/>
      <c r="F331" s="33"/>
      <c r="G331" s="33"/>
      <c r="H331" s="34"/>
    </row>
    <row r="332" spans="1:8" x14ac:dyDescent="0.35">
      <c r="A332" s="43"/>
      <c r="B332" s="33"/>
      <c r="C332" s="33"/>
      <c r="D332" s="33"/>
      <c r="E332" s="33"/>
      <c r="F332" s="33"/>
      <c r="G332" s="33"/>
      <c r="H332" s="34"/>
    </row>
    <row r="333" spans="1:8" x14ac:dyDescent="0.35">
      <c r="A333" s="43"/>
      <c r="B333" s="33"/>
      <c r="C333" s="33"/>
      <c r="D333" s="33"/>
      <c r="E333" s="33"/>
      <c r="F333" s="33"/>
      <c r="G333" s="33"/>
      <c r="H333" s="34"/>
    </row>
    <row r="334" spans="1:8" x14ac:dyDescent="0.35">
      <c r="A334" s="43"/>
      <c r="B334" s="33"/>
      <c r="C334" s="33"/>
      <c r="D334" s="33"/>
      <c r="E334" s="33"/>
      <c r="F334" s="33"/>
      <c r="G334" s="33"/>
      <c r="H334" s="34"/>
    </row>
    <row r="335" spans="1:8" x14ac:dyDescent="0.35">
      <c r="A335" s="43"/>
      <c r="B335" s="33"/>
      <c r="C335" s="33"/>
      <c r="D335" s="33"/>
      <c r="E335" s="33"/>
      <c r="F335" s="33"/>
      <c r="G335" s="33"/>
      <c r="H335" s="34"/>
    </row>
    <row r="336" spans="1:8" x14ac:dyDescent="0.35">
      <c r="A336" s="43"/>
      <c r="B336" s="33"/>
      <c r="C336" s="33"/>
      <c r="D336" s="33"/>
      <c r="E336" s="33"/>
      <c r="F336" s="33"/>
      <c r="G336" s="33"/>
      <c r="H336" s="34"/>
    </row>
    <row r="337" spans="1:8" x14ac:dyDescent="0.35">
      <c r="A337" s="43"/>
      <c r="B337" s="33"/>
      <c r="C337" s="33"/>
      <c r="D337" s="33"/>
      <c r="E337" s="33"/>
      <c r="F337" s="33"/>
      <c r="G337" s="33"/>
      <c r="H337" s="34"/>
    </row>
    <row r="338" spans="1:8" x14ac:dyDescent="0.35">
      <c r="A338" s="43"/>
      <c r="B338" s="33"/>
      <c r="C338" s="33"/>
      <c r="D338" s="33"/>
      <c r="E338" s="33"/>
      <c r="F338" s="33"/>
      <c r="G338" s="33"/>
      <c r="H338" s="34"/>
    </row>
    <row r="339" spans="1:8" x14ac:dyDescent="0.35">
      <c r="A339" s="43"/>
      <c r="B339" s="33"/>
      <c r="C339" s="33"/>
      <c r="D339" s="33"/>
      <c r="E339" s="33"/>
      <c r="F339" s="33"/>
      <c r="G339" s="33"/>
      <c r="H339" s="34"/>
    </row>
    <row r="340" spans="1:8" x14ac:dyDescent="0.35">
      <c r="A340" s="43"/>
      <c r="B340" s="33"/>
      <c r="C340" s="33"/>
      <c r="D340" s="33"/>
      <c r="E340" s="33"/>
      <c r="F340" s="33"/>
      <c r="G340" s="33"/>
      <c r="H340" s="34"/>
    </row>
    <row r="341" spans="1:8" x14ac:dyDescent="0.35">
      <c r="A341" s="43"/>
      <c r="B341" s="33"/>
      <c r="C341" s="33"/>
      <c r="D341" s="33"/>
      <c r="E341" s="33"/>
      <c r="F341" s="33"/>
      <c r="G341" s="33"/>
      <c r="H341" s="34"/>
    </row>
    <row r="342" spans="1:8" x14ac:dyDescent="0.35">
      <c r="A342" s="43"/>
      <c r="B342" s="33"/>
      <c r="C342" s="33"/>
      <c r="D342" s="33"/>
      <c r="E342" s="33"/>
      <c r="F342" s="33"/>
      <c r="G342" s="33"/>
      <c r="H342" s="34"/>
    </row>
    <row r="343" spans="1:8" x14ac:dyDescent="0.35">
      <c r="A343" s="43"/>
      <c r="B343" s="33"/>
      <c r="C343" s="33"/>
      <c r="D343" s="33"/>
      <c r="E343" s="33"/>
      <c r="F343" s="33"/>
      <c r="G343" s="33"/>
      <c r="H343" s="34"/>
    </row>
    <row r="344" spans="1:8" x14ac:dyDescent="0.35">
      <c r="A344" s="43"/>
      <c r="B344" s="29"/>
      <c r="C344" s="29"/>
      <c r="D344" s="29"/>
      <c r="E344" s="29"/>
      <c r="F344" s="29"/>
      <c r="G344" s="29"/>
      <c r="H344" s="30"/>
    </row>
    <row r="345" spans="1:8" x14ac:dyDescent="0.35">
      <c r="A345" s="43"/>
      <c r="B345" s="33"/>
      <c r="C345" s="33"/>
      <c r="D345" s="33"/>
      <c r="E345" s="33"/>
      <c r="F345" s="33"/>
      <c r="G345" s="33"/>
      <c r="H345" s="34"/>
    </row>
    <row r="346" spans="1:8" x14ac:dyDescent="0.35">
      <c r="A346" s="43"/>
      <c r="B346" s="29"/>
      <c r="C346" s="29"/>
      <c r="D346" s="29"/>
      <c r="E346" s="29"/>
      <c r="F346" s="29"/>
      <c r="G346" s="29"/>
      <c r="H346" s="30"/>
    </row>
    <row r="347" spans="1:8" x14ac:dyDescent="0.35">
      <c r="A347" s="43"/>
      <c r="B347" s="33"/>
      <c r="C347" s="33"/>
      <c r="D347" s="33"/>
      <c r="E347" s="33"/>
      <c r="F347" s="33"/>
      <c r="G347" s="33"/>
      <c r="H347" s="34"/>
    </row>
    <row r="348" spans="1:8" x14ac:dyDescent="0.35">
      <c r="A348" s="43"/>
      <c r="B348" s="29"/>
      <c r="C348" s="29"/>
      <c r="D348" s="29"/>
      <c r="E348" s="29"/>
      <c r="F348" s="29"/>
      <c r="G348" s="29"/>
      <c r="H348" s="30"/>
    </row>
    <row r="349" spans="1:8" x14ac:dyDescent="0.35">
      <c r="A349" s="43"/>
      <c r="B349" s="33"/>
      <c r="C349" s="33"/>
      <c r="D349" s="33"/>
      <c r="E349" s="33"/>
      <c r="F349" s="33"/>
      <c r="G349" s="33"/>
      <c r="H349" s="34"/>
    </row>
    <row r="350" spans="1:8" x14ac:dyDescent="0.35">
      <c r="A350" s="42"/>
      <c r="B350" s="25"/>
      <c r="C350" s="25"/>
      <c r="D350" s="25"/>
      <c r="E350" s="25"/>
      <c r="F350" s="25"/>
      <c r="G350" s="25"/>
      <c r="H350" s="26"/>
    </row>
    <row r="351" spans="1:8" x14ac:dyDescent="0.35">
      <c r="A351" s="43"/>
    </row>
    <row r="352" spans="1:8" x14ac:dyDescent="0.35">
      <c r="A352" s="42"/>
    </row>
    <row r="353" spans="1:1" x14ac:dyDescent="0.35">
      <c r="A353" s="43"/>
    </row>
    <row r="354" spans="1:1" x14ac:dyDescent="0.35">
      <c r="A354" s="42"/>
    </row>
    <row r="355" spans="1:1" x14ac:dyDescent="0.35">
      <c r="A355" s="43"/>
    </row>
    <row r="356" spans="1:1" x14ac:dyDescent="0.35">
      <c r="A356" s="27"/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ورقة2"/>
  <dimension ref="A1:H2001"/>
  <sheetViews>
    <sheetView tabSelected="1" zoomScale="70" zoomScaleNormal="70" workbookViewId="0">
      <pane ySplit="3" topLeftCell="A4" activePane="bottomLeft" state="frozen"/>
      <selection pane="bottomLeft" activeCell="A4" sqref="A4:XFD4"/>
    </sheetView>
  </sheetViews>
  <sheetFormatPr defaultColWidth="9.08984375" defaultRowHeight="21" x14ac:dyDescent="0.35"/>
  <cols>
    <col min="1" max="1" width="11.1796875" style="1" bestFit="1" customWidth="1"/>
    <col min="2" max="2" width="21.08984375" style="1" bestFit="1" customWidth="1"/>
    <col min="3" max="3" width="9.36328125" style="1" customWidth="1"/>
    <col min="4" max="5" width="9.08984375" style="1"/>
    <col min="6" max="6" width="9.08984375" style="1" customWidth="1"/>
    <col min="7" max="7" width="9.81640625" style="1" customWidth="1"/>
    <col min="8" max="8" width="11.1796875" style="1" customWidth="1"/>
    <col min="9" max="16384" width="9.08984375" style="1"/>
  </cols>
  <sheetData>
    <row r="1" spans="1:8" s="58" customFormat="1" ht="31.5" x14ac:dyDescent="0.35">
      <c r="A1" s="57" t="s">
        <v>3</v>
      </c>
      <c r="B1" s="57" t="s">
        <v>485</v>
      </c>
      <c r="C1" s="57" t="s">
        <v>486</v>
      </c>
      <c r="D1" s="57" t="s">
        <v>487</v>
      </c>
      <c r="E1" s="57" t="s">
        <v>488</v>
      </c>
      <c r="F1" s="57" t="s">
        <v>489</v>
      </c>
      <c r="G1" s="57" t="s">
        <v>490</v>
      </c>
      <c r="H1" s="57" t="s">
        <v>491</v>
      </c>
    </row>
    <row r="2" spans="1:8" x14ac:dyDescent="0.35">
      <c r="A2" s="47" t="s">
        <v>224</v>
      </c>
      <c r="B2" s="47" t="s">
        <v>1</v>
      </c>
      <c r="C2" s="47" t="s">
        <v>0</v>
      </c>
      <c r="D2" s="47" t="s">
        <v>483</v>
      </c>
      <c r="E2" s="47" t="s">
        <v>273</v>
      </c>
      <c r="F2" s="47" t="s">
        <v>5</v>
      </c>
      <c r="G2" s="47" t="s">
        <v>8</v>
      </c>
      <c r="H2" s="47" t="s">
        <v>6</v>
      </c>
    </row>
    <row r="3" spans="1:8" x14ac:dyDescent="0.35">
      <c r="A3" s="48"/>
      <c r="B3" s="49" t="s">
        <v>312</v>
      </c>
      <c r="C3" s="49" t="str">
        <f>IFERROR(VLOOKUP(B3,منتجات!$A$3:$C$350,2,0),"")</f>
        <v/>
      </c>
      <c r="D3" s="49"/>
      <c r="E3" s="49"/>
      <c r="F3" s="49"/>
      <c r="G3" s="49"/>
      <c r="H3" s="50"/>
    </row>
    <row r="4" spans="1:8" x14ac:dyDescent="0.35">
      <c r="A4" s="47" t="s">
        <v>191</v>
      </c>
      <c r="B4" s="51" t="s">
        <v>19</v>
      </c>
      <c r="C4" s="51">
        <f>IFERROR(VLOOKUP(B4,منتجات!$A$3:$C$350,2,0),"")</f>
        <v>60</v>
      </c>
      <c r="D4" s="51">
        <f>IFERROR(VLOOKUP(B4,منتجات!$A$3:$C$350,3,0),"")</f>
        <v>10</v>
      </c>
      <c r="E4" s="51">
        <v>2</v>
      </c>
      <c r="F4" s="51">
        <v>104</v>
      </c>
      <c r="G4" s="51">
        <f t="shared" ref="G4:G10" si="0">IFERROR(E4*F4*D4,"")</f>
        <v>2080</v>
      </c>
      <c r="H4" s="52">
        <f ca="1">TODAY()</f>
        <v>45090</v>
      </c>
    </row>
    <row r="5" spans="1:8" x14ac:dyDescent="0.35">
      <c r="A5" s="49"/>
      <c r="B5" s="49" t="s">
        <v>455</v>
      </c>
      <c r="C5" s="49">
        <f>IFERROR(VLOOKUP(B5,منتجات!$A$3:$C$350,2,0),"")</f>
        <v>64</v>
      </c>
      <c r="D5" s="49">
        <f>IFERROR(VLOOKUP(B5,منتجات!$A$3:$C$350,3,0),"")</f>
        <v>10</v>
      </c>
      <c r="E5" s="49">
        <v>5</v>
      </c>
      <c r="F5" s="49">
        <v>123</v>
      </c>
      <c r="G5" s="49">
        <f t="shared" si="0"/>
        <v>6150</v>
      </c>
      <c r="H5" s="50">
        <f t="shared" ref="H5:H7" ca="1" si="1">TODAY()</f>
        <v>45090</v>
      </c>
    </row>
    <row r="6" spans="1:8" x14ac:dyDescent="0.35">
      <c r="A6" s="51"/>
      <c r="B6" s="51" t="s">
        <v>359</v>
      </c>
      <c r="C6" s="51">
        <f>IFERROR(VLOOKUP(B6,منتجات!$A$3:$C$350,2,0),"")</f>
        <v>33</v>
      </c>
      <c r="D6" s="51">
        <f>IFERROR(VLOOKUP(B6,منتجات!$A$3:$C$350,3,0),"")</f>
        <v>10</v>
      </c>
      <c r="E6" s="51">
        <v>1</v>
      </c>
      <c r="F6" s="51">
        <v>83</v>
      </c>
      <c r="G6" s="51">
        <f t="shared" si="0"/>
        <v>830</v>
      </c>
      <c r="H6" s="52">
        <f t="shared" ca="1" si="1"/>
        <v>45090</v>
      </c>
    </row>
    <row r="7" spans="1:8" x14ac:dyDescent="0.35">
      <c r="A7" s="49"/>
      <c r="B7" s="49" t="s">
        <v>358</v>
      </c>
      <c r="C7" s="49">
        <f>IFERROR(VLOOKUP(B7,منتجات!$A$3:$C$350,2,0),"")</f>
        <v>17</v>
      </c>
      <c r="D7" s="49">
        <f>IFERROR(VLOOKUP(B7,منتجات!$A$3:$C$350,3,0),"")</f>
        <v>10</v>
      </c>
      <c r="E7" s="49">
        <v>1</v>
      </c>
      <c r="F7" s="49">
        <f>IFERROR(INDEX(منتجات!$G$3:$G$114,MATCH(B7,منتجات!$A$3:$A$115,0)),"")</f>
        <v>1</v>
      </c>
      <c r="G7" s="49">
        <f t="shared" si="0"/>
        <v>10</v>
      </c>
      <c r="H7" s="50">
        <f t="shared" ca="1" si="1"/>
        <v>45090</v>
      </c>
    </row>
    <row r="8" spans="1:8" x14ac:dyDescent="0.35">
      <c r="A8" s="51"/>
      <c r="B8" s="51"/>
      <c r="C8" s="51" t="str">
        <f>IFERROR(VLOOKUP(B8,منتجات!$A$3:$C$350,2,0),"")</f>
        <v/>
      </c>
      <c r="D8" s="51" t="str">
        <f>IFERROR(VLOOKUP(B8,منتجات!$A$3:$C$350,3,0),"")</f>
        <v/>
      </c>
      <c r="E8" s="51"/>
      <c r="F8" s="51" t="str">
        <f>IFERROR(INDEX(منتجات!$G$3:$G$114,MATCH(B8,منتجات!$A$3:$A$115,0)),"")</f>
        <v/>
      </c>
      <c r="G8" s="51" t="str">
        <f t="shared" si="0"/>
        <v/>
      </c>
      <c r="H8" s="53"/>
    </row>
    <row r="9" spans="1:8" x14ac:dyDescent="0.35">
      <c r="A9" s="49"/>
      <c r="B9" s="49"/>
      <c r="C9" s="49" t="str">
        <f>IFERROR(VLOOKUP(B9,منتجات!$A$3:$C$350,2,0),"")</f>
        <v/>
      </c>
      <c r="D9" s="49" t="str">
        <f>IFERROR(VLOOKUP(B9,منتجات!$A$3:$C$350,3,0),"")</f>
        <v/>
      </c>
      <c r="E9" s="49"/>
      <c r="F9" s="49" t="str">
        <f>IFERROR(INDEX(منتجات!$G$3:$G$114,MATCH(B9,منتجات!$A$3:$A$115,0)),"")</f>
        <v/>
      </c>
      <c r="G9" s="49" t="str">
        <f t="shared" si="0"/>
        <v/>
      </c>
      <c r="H9" s="54"/>
    </row>
    <row r="10" spans="1:8" x14ac:dyDescent="0.35">
      <c r="A10" s="51"/>
      <c r="B10" s="51"/>
      <c r="C10" s="51" t="str">
        <f>IFERROR(VLOOKUP(B10,منتجات!$A$3:$C$350,2,0),"")</f>
        <v/>
      </c>
      <c r="D10" s="51" t="str">
        <f>IFERROR(VLOOKUP(B10,منتجات!$A$3:$C$350,3,0),"")</f>
        <v/>
      </c>
      <c r="E10" s="51"/>
      <c r="F10" s="51" t="str">
        <f>IFERROR(INDEX(منتجات!$G$3:$G$114,MATCH(B10,منتجات!$A$3:$A$115,0)),"")</f>
        <v/>
      </c>
      <c r="G10" s="51" t="str">
        <f t="shared" si="0"/>
        <v/>
      </c>
      <c r="H10" s="53"/>
    </row>
    <row r="11" spans="1:8" x14ac:dyDescent="0.35">
      <c r="A11" s="49" t="s">
        <v>197</v>
      </c>
      <c r="B11" s="49" t="s">
        <v>407</v>
      </c>
      <c r="C11" s="49">
        <f>IFERROR(VLOOKUP(B11,منتجات!$A$3:$C$350,2,0),"")</f>
        <v>102</v>
      </c>
      <c r="D11" s="49">
        <f>IFERROR(VLOOKUP(B11,منتجات!$A$3:$C$350,3,0),"")</f>
        <v>10</v>
      </c>
      <c r="E11" s="49">
        <v>1</v>
      </c>
      <c r="F11" s="49">
        <v>185</v>
      </c>
      <c r="G11" s="49">
        <f>IFERROR(E11*F11*D11,"")</f>
        <v>1850</v>
      </c>
      <c r="H11" s="50">
        <v>45068</v>
      </c>
    </row>
    <row r="12" spans="1:8" x14ac:dyDescent="0.35">
      <c r="A12" s="51" t="s">
        <v>456</v>
      </c>
      <c r="B12" s="51" t="s">
        <v>418</v>
      </c>
      <c r="C12" s="51">
        <f>IFERROR(VLOOKUP(B12,منتجات!$A$3:$C$350,2,0),"")</f>
        <v>136</v>
      </c>
      <c r="D12" s="51">
        <f>IFERROR(VLOOKUP(B12,منتجات!$A$3:$C$350,3,0),"")</f>
        <v>10</v>
      </c>
      <c r="E12" s="51">
        <v>1</v>
      </c>
      <c r="F12" s="51">
        <v>142</v>
      </c>
      <c r="G12" s="51">
        <f>IFERROR(E12*F12*D12,"")</f>
        <v>1420</v>
      </c>
      <c r="H12" s="52">
        <v>45068</v>
      </c>
    </row>
    <row r="13" spans="1:8" x14ac:dyDescent="0.35">
      <c r="A13" s="49" t="s">
        <v>197</v>
      </c>
      <c r="B13" s="49" t="s">
        <v>457</v>
      </c>
      <c r="C13" s="49">
        <f>IFERROR(VLOOKUP(B13,منتجات!$A$3:$C$350,2,0),"")</f>
        <v>101</v>
      </c>
      <c r="D13" s="49">
        <f>IFERROR(VLOOKUP(B13,منتجات!$A$3:$C$350,3,0),"")</f>
        <v>10</v>
      </c>
      <c r="E13" s="49">
        <v>1</v>
      </c>
      <c r="F13" s="49">
        <v>170</v>
      </c>
      <c r="G13" s="49">
        <f>IFERROR(E13*F13*D13,"")</f>
        <v>1700</v>
      </c>
      <c r="H13" s="50">
        <v>45068</v>
      </c>
    </row>
    <row r="14" spans="1:8" x14ac:dyDescent="0.35">
      <c r="A14" s="51"/>
      <c r="B14" s="51"/>
      <c r="C14" s="51" t="str">
        <f>IFERROR(VLOOKUP(B14,منتجات!$A$3:$C$350,2,0),"")</f>
        <v/>
      </c>
      <c r="D14" s="51" t="str">
        <f>IFERROR(VLOOKUP(B14,منتجات!$A$3:$C$350,3,0),"")</f>
        <v/>
      </c>
      <c r="E14" s="51"/>
      <c r="F14" s="73" t="str">
        <f>IFERROR(INDEX(منتجات!$G$3:$G$114,MATCH(B14,منتجات!$A$3:$A$115,0)),"")</f>
        <v/>
      </c>
      <c r="G14" s="51" t="str">
        <f t="shared" ref="G14:G77" si="2">IFERROR(E14*F14*D14,"")</f>
        <v/>
      </c>
      <c r="H14" s="53"/>
    </row>
    <row r="15" spans="1:8" x14ac:dyDescent="0.35">
      <c r="A15" s="49" t="s">
        <v>493</v>
      </c>
      <c r="B15" s="49" t="s">
        <v>479</v>
      </c>
      <c r="C15" s="49">
        <f>IFERROR(VLOOKUP(B15,منتجات!$A$3:$C$350,2,0),"")</f>
        <v>192</v>
      </c>
      <c r="D15" s="49">
        <f>IFERROR(VLOOKUP(B15,منتجات!$A$3:$C$350,3,0),"")</f>
        <v>100</v>
      </c>
      <c r="E15" s="49">
        <v>1</v>
      </c>
      <c r="F15" s="49">
        <v>7.2</v>
      </c>
      <c r="G15" s="49">
        <f t="shared" si="2"/>
        <v>720</v>
      </c>
      <c r="H15" s="50">
        <v>45068</v>
      </c>
    </row>
    <row r="16" spans="1:8" x14ac:dyDescent="0.35">
      <c r="A16" s="51" t="s">
        <v>493</v>
      </c>
      <c r="B16" s="51" t="s">
        <v>480</v>
      </c>
      <c r="C16" s="51">
        <f>IFERROR(VLOOKUP(B16,منتجات!$A$3:$C$350,2,0),"")</f>
        <v>193</v>
      </c>
      <c r="D16" s="51">
        <f>IFERROR(VLOOKUP(B16,منتجات!$A$3:$C$350,3,0),"")</f>
        <v>100</v>
      </c>
      <c r="E16" s="51">
        <v>1</v>
      </c>
      <c r="F16" s="51">
        <v>7.1</v>
      </c>
      <c r="G16" s="51">
        <f t="shared" si="2"/>
        <v>710</v>
      </c>
      <c r="H16" s="52">
        <v>45068</v>
      </c>
    </row>
    <row r="17" spans="1:8" x14ac:dyDescent="0.35">
      <c r="A17" s="49" t="s">
        <v>210</v>
      </c>
      <c r="B17" s="49" t="s">
        <v>88</v>
      </c>
      <c r="C17" s="49">
        <f>IFERROR(VLOOKUP(B17,منتجات!$A$3:$C$350,2,0),"")</f>
        <v>187</v>
      </c>
      <c r="D17" s="49">
        <f>IFERROR(VLOOKUP(B17,منتجات!$A$3:$C$350,3,0),"")</f>
        <v>50</v>
      </c>
      <c r="E17" s="49">
        <v>1</v>
      </c>
      <c r="F17" s="49">
        <v>6.8</v>
      </c>
      <c r="G17" s="49">
        <f t="shared" si="2"/>
        <v>340</v>
      </c>
      <c r="H17" s="50">
        <v>45069</v>
      </c>
    </row>
    <row r="18" spans="1:8" x14ac:dyDescent="0.35">
      <c r="A18" s="51" t="s">
        <v>206</v>
      </c>
      <c r="B18" s="51" t="s">
        <v>372</v>
      </c>
      <c r="C18" s="51">
        <f>IFERROR(VLOOKUP(B18,منتجات!$A$3:$C$350,2,0),"")</f>
        <v>59</v>
      </c>
      <c r="D18" s="51">
        <f>IFERROR(VLOOKUP(B18,منتجات!$A$3:$C$350,3,0),"")</f>
        <v>10</v>
      </c>
      <c r="E18" s="51">
        <v>5</v>
      </c>
      <c r="F18" s="51">
        <v>97</v>
      </c>
      <c r="G18" s="51">
        <f t="shared" si="2"/>
        <v>4850</v>
      </c>
      <c r="H18" s="52">
        <v>45070</v>
      </c>
    </row>
    <row r="19" spans="1:8" x14ac:dyDescent="0.35">
      <c r="A19" s="49" t="s">
        <v>211</v>
      </c>
      <c r="B19" s="49" t="s">
        <v>415</v>
      </c>
      <c r="C19" s="49">
        <f>IFERROR(VLOOKUP(B19,منتجات!$A$3:$C$350,2,0),"")</f>
        <v>110</v>
      </c>
      <c r="D19" s="49">
        <f>IFERROR(VLOOKUP(B19,منتجات!$A$3:$C$350,3,0),"")</f>
        <v>10</v>
      </c>
      <c r="E19" s="49">
        <v>2</v>
      </c>
      <c r="F19" s="49">
        <v>115</v>
      </c>
      <c r="G19" s="49">
        <f t="shared" si="2"/>
        <v>2300</v>
      </c>
      <c r="H19" s="50">
        <v>45071</v>
      </c>
    </row>
    <row r="20" spans="1:8" x14ac:dyDescent="0.35">
      <c r="A20" s="51" t="s">
        <v>221</v>
      </c>
      <c r="B20" s="51" t="s">
        <v>394</v>
      </c>
      <c r="C20" s="51">
        <f>IFERROR(VLOOKUP(B20,منتجات!$A$3:$C$350,2,0),"")</f>
        <v>86</v>
      </c>
      <c r="D20" s="51">
        <f>IFERROR(VLOOKUP(B20,منتجات!$A$3:$C$350,3,0),"")</f>
        <v>10</v>
      </c>
      <c r="E20" s="51">
        <v>4</v>
      </c>
      <c r="F20" s="51">
        <v>56</v>
      </c>
      <c r="G20" s="51">
        <f t="shared" si="2"/>
        <v>2240</v>
      </c>
      <c r="H20" s="52">
        <v>45072</v>
      </c>
    </row>
    <row r="21" spans="1:8" x14ac:dyDescent="0.35">
      <c r="A21" s="49" t="s">
        <v>218</v>
      </c>
      <c r="B21" s="49" t="s">
        <v>332</v>
      </c>
      <c r="C21" s="49">
        <f>IFERROR(VLOOKUP(B21,منتجات!$A$3:$C$350,2,0),"")</f>
        <v>269</v>
      </c>
      <c r="D21" s="49">
        <f>IFERROR(VLOOKUP(B21,منتجات!$A$3:$C$350,3,0),"")</f>
        <v>20</v>
      </c>
      <c r="E21" s="49">
        <v>1</v>
      </c>
      <c r="F21" s="49">
        <v>17</v>
      </c>
      <c r="G21" s="49">
        <f t="shared" si="2"/>
        <v>340</v>
      </c>
      <c r="H21" s="50">
        <v>45073</v>
      </c>
    </row>
    <row r="22" spans="1:8" x14ac:dyDescent="0.35">
      <c r="A22" s="51" t="s">
        <v>206</v>
      </c>
      <c r="B22" s="51" t="s">
        <v>365</v>
      </c>
      <c r="C22" s="51">
        <f>IFERROR(VLOOKUP(B22,منتجات!$A$3:$C$350,2,0),"")</f>
        <v>39</v>
      </c>
      <c r="D22" s="51">
        <f>IFERROR(VLOOKUP(B22,منتجات!$A$3:$C$350,3,0),"")</f>
        <v>10</v>
      </c>
      <c r="E22" s="51">
        <v>2</v>
      </c>
      <c r="F22" s="51">
        <v>95</v>
      </c>
      <c r="G22" s="51">
        <f t="shared" si="2"/>
        <v>1900</v>
      </c>
      <c r="H22" s="52">
        <v>45074</v>
      </c>
    </row>
    <row r="23" spans="1:8" x14ac:dyDescent="0.35">
      <c r="A23" s="49" t="s">
        <v>206</v>
      </c>
      <c r="B23" s="49" t="s">
        <v>364</v>
      </c>
      <c r="C23" s="49">
        <f>IFERROR(VLOOKUP(B23,منتجات!$A$3:$C$350,2,0),"")</f>
        <v>38</v>
      </c>
      <c r="D23" s="49">
        <f>IFERROR(VLOOKUP(B23,منتجات!$A$3:$C$350,3,0),"")</f>
        <v>10</v>
      </c>
      <c r="E23" s="49">
        <v>20</v>
      </c>
      <c r="F23" s="49">
        <v>85</v>
      </c>
      <c r="G23" s="49">
        <f t="shared" si="2"/>
        <v>17000</v>
      </c>
      <c r="H23" s="50">
        <v>45075</v>
      </c>
    </row>
    <row r="24" spans="1:8" x14ac:dyDescent="0.35">
      <c r="A24" s="51"/>
      <c r="B24" s="51"/>
      <c r="C24" s="51" t="str">
        <f>IFERROR(VLOOKUP(B24,منتجات!$A$3:$C$350,2,0),"")</f>
        <v/>
      </c>
      <c r="D24" s="51" t="str">
        <f>IFERROR(VLOOKUP(B24,منتجات!$A$3:$C$350,3,0),"")</f>
        <v/>
      </c>
      <c r="E24" s="51"/>
      <c r="F24" s="51" t="str">
        <f>IFERROR(INDEX(منتجات!$G$3:$G$114,MATCH(B24,منتجات!$A$3:$A$115,0)),"")</f>
        <v/>
      </c>
      <c r="G24" s="51" t="str">
        <f t="shared" si="2"/>
        <v/>
      </c>
      <c r="H24" s="53"/>
    </row>
    <row r="25" spans="1:8" x14ac:dyDescent="0.35">
      <c r="A25" s="49"/>
      <c r="B25" s="49"/>
      <c r="C25" s="49" t="str">
        <f>IFERROR(VLOOKUP(B25,منتجات!$A$3:$C$350,2,0),"")</f>
        <v/>
      </c>
      <c r="D25" s="49" t="str">
        <f>IFERROR(VLOOKUP(B25,منتجات!$A$3:$C$350,3,0),"")</f>
        <v/>
      </c>
      <c r="E25" s="49"/>
      <c r="F25" s="49" t="str">
        <f>IFERROR(INDEX(منتجات!$G$3:$G$114,MATCH(B25,منتجات!$A$3:$A$115,0)),"")</f>
        <v/>
      </c>
      <c r="G25" s="49" t="str">
        <f t="shared" si="2"/>
        <v/>
      </c>
      <c r="H25" s="54"/>
    </row>
    <row r="26" spans="1:8" x14ac:dyDescent="0.35">
      <c r="A26" s="51" t="s">
        <v>197</v>
      </c>
      <c r="B26" s="51" t="s">
        <v>457</v>
      </c>
      <c r="C26" s="51">
        <f>IFERROR(VLOOKUP(B26,منتجات!$A$3:$C$350,2,0),"")</f>
        <v>101</v>
      </c>
      <c r="D26" s="51">
        <f>IFERROR(VLOOKUP(B26,منتجات!$A$3:$C$350,3,0),"")</f>
        <v>10</v>
      </c>
      <c r="E26" s="51">
        <v>1</v>
      </c>
      <c r="F26" s="51">
        <v>170</v>
      </c>
      <c r="G26" s="51">
        <f t="shared" si="2"/>
        <v>1700</v>
      </c>
      <c r="H26" s="52">
        <v>45071</v>
      </c>
    </row>
    <row r="27" spans="1:8" x14ac:dyDescent="0.35">
      <c r="A27" s="49" t="s">
        <v>200</v>
      </c>
      <c r="B27" s="49" t="s">
        <v>469</v>
      </c>
      <c r="C27" s="49">
        <f>IFERROR(VLOOKUP(B27,منتجات!$A$3:$C$350,2,0),"")</f>
        <v>125</v>
      </c>
      <c r="D27" s="49">
        <f>IFERROR(VLOOKUP(B27,منتجات!$A$3:$C$350,3,0),"")</f>
        <v>10</v>
      </c>
      <c r="E27" s="49">
        <v>1</v>
      </c>
      <c r="F27" s="49">
        <v>100</v>
      </c>
      <c r="G27" s="49">
        <f t="shared" si="2"/>
        <v>1000</v>
      </c>
      <c r="H27" s="50">
        <v>45071</v>
      </c>
    </row>
    <row r="28" spans="1:8" x14ac:dyDescent="0.35">
      <c r="A28" s="51" t="s">
        <v>200</v>
      </c>
      <c r="B28" s="51" t="s">
        <v>472</v>
      </c>
      <c r="C28" s="51">
        <f>IFERROR(VLOOKUP(B28,منتجات!$A$3:$C$350,2,0),"")</f>
        <v>128</v>
      </c>
      <c r="D28" s="51">
        <f>IFERROR(VLOOKUP(B28,منتجات!$A$3:$C$350,3,0),"")</f>
        <v>10</v>
      </c>
      <c r="E28" s="51">
        <v>1</v>
      </c>
      <c r="F28" s="51">
        <v>100</v>
      </c>
      <c r="G28" s="51">
        <f t="shared" si="2"/>
        <v>1000</v>
      </c>
      <c r="H28" s="52">
        <v>45071</v>
      </c>
    </row>
    <row r="29" spans="1:8" x14ac:dyDescent="0.35">
      <c r="A29" s="49" t="s">
        <v>197</v>
      </c>
      <c r="B29" s="49" t="s">
        <v>431</v>
      </c>
      <c r="C29" s="49">
        <f>IFERROR(VLOOKUP(B29,منتجات!$A$3:$C$350,2,0),"")</f>
        <v>151</v>
      </c>
      <c r="D29" s="49">
        <f>IFERROR(VLOOKUP(B29,منتجات!$A$3:$C$350,3,0),"")</f>
        <v>10</v>
      </c>
      <c r="E29" s="49">
        <v>1</v>
      </c>
      <c r="F29" s="49">
        <v>102</v>
      </c>
      <c r="G29" s="49">
        <f t="shared" si="2"/>
        <v>1020</v>
      </c>
      <c r="H29" s="50">
        <v>45071</v>
      </c>
    </row>
    <row r="30" spans="1:8" x14ac:dyDescent="0.35">
      <c r="A30" s="51" t="s">
        <v>493</v>
      </c>
      <c r="B30" s="51" t="s">
        <v>481</v>
      </c>
      <c r="C30" s="51">
        <f>IFERROR(VLOOKUP(B30,منتجات!$A$3:$C$350,2,0),"")</f>
        <v>194</v>
      </c>
      <c r="D30" s="51">
        <f>IFERROR(VLOOKUP(B30,منتجات!$A$3:$C$350,3,0),"")</f>
        <v>100</v>
      </c>
      <c r="E30" s="51">
        <v>1</v>
      </c>
      <c r="F30" s="51">
        <v>7.1</v>
      </c>
      <c r="G30" s="51">
        <f t="shared" si="2"/>
        <v>710</v>
      </c>
      <c r="H30" s="52">
        <v>45071</v>
      </c>
    </row>
    <row r="31" spans="1:8" x14ac:dyDescent="0.35">
      <c r="A31" s="49" t="s">
        <v>197</v>
      </c>
      <c r="B31" s="49" t="s">
        <v>426</v>
      </c>
      <c r="C31" s="49">
        <f>IFERROR(VLOOKUP(B31,منتجات!$A$3:$C$350,2,0),"")</f>
        <v>144</v>
      </c>
      <c r="D31" s="49">
        <f>IFERROR(VLOOKUP(B31,منتجات!$A$3:$C$350,3,0),"")</f>
        <v>10</v>
      </c>
      <c r="E31" s="49">
        <v>1</v>
      </c>
      <c r="F31" s="49">
        <v>130</v>
      </c>
      <c r="G31" s="49">
        <f t="shared" si="2"/>
        <v>1300</v>
      </c>
      <c r="H31" s="50">
        <v>45071</v>
      </c>
    </row>
    <row r="32" spans="1:8" x14ac:dyDescent="0.35">
      <c r="A32" s="51"/>
      <c r="B32" s="51"/>
      <c r="C32" s="51" t="str">
        <f>IFERROR(VLOOKUP(B32,منتجات!$A$3:$C$350,2,0),"")</f>
        <v/>
      </c>
      <c r="D32" s="51" t="str">
        <f>IFERROR(VLOOKUP(B32,منتجات!$A$3:$C$350,3,0),"")</f>
        <v/>
      </c>
      <c r="E32" s="51"/>
      <c r="F32" s="51" t="str">
        <f>IFERROR(INDEX(منتجات!$G$3:$G$114,MATCH(B32,منتجات!$A$3:$A$115,0)),"")</f>
        <v/>
      </c>
      <c r="G32" s="51" t="str">
        <f t="shared" si="2"/>
        <v/>
      </c>
      <c r="H32" s="53"/>
    </row>
    <row r="33" spans="1:8" x14ac:dyDescent="0.35">
      <c r="A33" s="49"/>
      <c r="B33" s="49" t="s">
        <v>467</v>
      </c>
      <c r="C33" s="49">
        <f>IFERROR(VLOOKUP(B33,منتجات!$A$3:$C$350,2,0),"")</f>
        <v>123</v>
      </c>
      <c r="D33" s="49">
        <f>IFERROR(VLOOKUP(B33,منتجات!$A$3:$C$350,3,0),"")</f>
        <v>10</v>
      </c>
      <c r="E33" s="49">
        <v>2</v>
      </c>
      <c r="F33" s="49">
        <v>105</v>
      </c>
      <c r="G33" s="49">
        <f t="shared" si="2"/>
        <v>2100</v>
      </c>
      <c r="H33" s="54"/>
    </row>
    <row r="34" spans="1:8" x14ac:dyDescent="0.35">
      <c r="A34" s="51"/>
      <c r="B34" s="51" t="s">
        <v>468</v>
      </c>
      <c r="C34" s="51">
        <f>IFERROR(VLOOKUP(B34,منتجات!$A$3:$C$350,2,0),"")</f>
        <v>124</v>
      </c>
      <c r="D34" s="51">
        <f>IFERROR(VLOOKUP(B34,منتجات!$A$3:$C$350,3,0),"")</f>
        <v>10</v>
      </c>
      <c r="E34" s="51">
        <v>2</v>
      </c>
      <c r="F34" s="51">
        <v>105</v>
      </c>
      <c r="G34" s="51">
        <f t="shared" si="2"/>
        <v>2100</v>
      </c>
      <c r="H34" s="53"/>
    </row>
    <row r="35" spans="1:8" x14ac:dyDescent="0.35">
      <c r="A35" s="49"/>
      <c r="B35" s="49" t="s">
        <v>469</v>
      </c>
      <c r="C35" s="49">
        <f>IFERROR(VLOOKUP(B35,منتجات!$A$3:$C$350,2,0),"")</f>
        <v>125</v>
      </c>
      <c r="D35" s="49">
        <f>IFERROR(VLOOKUP(B35,منتجات!$A$3:$C$350,3,0),"")</f>
        <v>10</v>
      </c>
      <c r="E35" s="49">
        <v>2</v>
      </c>
      <c r="F35" s="49">
        <v>100</v>
      </c>
      <c r="G35" s="49">
        <f t="shared" si="2"/>
        <v>2000</v>
      </c>
      <c r="H35" s="54"/>
    </row>
    <row r="36" spans="1:8" x14ac:dyDescent="0.35">
      <c r="A36" s="51"/>
      <c r="B36" s="51"/>
      <c r="C36" s="51" t="str">
        <f>IFERROR(VLOOKUP(B36,منتجات!$A$3:$C$350,2,0),"")</f>
        <v/>
      </c>
      <c r="D36" s="51" t="str">
        <f>IFERROR(VLOOKUP(B36,منتجات!$A$3:$C$350,3,0),"")</f>
        <v/>
      </c>
      <c r="E36" s="51"/>
      <c r="F36" s="51" t="str">
        <f>IFERROR(INDEX(منتجات!$G$3:$G$114,MATCH(B36,منتجات!$A$3:$A$115,0)),"")</f>
        <v/>
      </c>
      <c r="G36" s="51" t="str">
        <f t="shared" si="2"/>
        <v/>
      </c>
      <c r="H36" s="53"/>
    </row>
    <row r="37" spans="1:8" x14ac:dyDescent="0.35">
      <c r="A37" s="49"/>
      <c r="B37" s="49"/>
      <c r="C37" s="49" t="str">
        <f>IFERROR(VLOOKUP(B37,منتجات!$A$3:$C$350,2,0),"")</f>
        <v/>
      </c>
      <c r="D37" s="49" t="str">
        <f>IFERROR(VLOOKUP(B37,منتجات!$A$3:$C$350,3,0),"")</f>
        <v/>
      </c>
      <c r="E37" s="49"/>
      <c r="F37" s="49" t="str">
        <f>IFERROR(INDEX(منتجات!$G$3:$G$114,MATCH(B37,منتجات!$A$3:$A$115,0)),"")</f>
        <v/>
      </c>
      <c r="G37" s="49" t="str">
        <f t="shared" si="2"/>
        <v/>
      </c>
      <c r="H37" s="54"/>
    </row>
    <row r="38" spans="1:8" x14ac:dyDescent="0.35">
      <c r="A38" s="51"/>
      <c r="B38" s="51"/>
      <c r="C38" s="51" t="str">
        <f>IFERROR(VLOOKUP(B38,منتجات!$A$3:$C$350,2,0),"")</f>
        <v/>
      </c>
      <c r="D38" s="51" t="str">
        <f>IFERROR(VLOOKUP(B38,منتجات!$A$3:$C$350,3,0),"")</f>
        <v/>
      </c>
      <c r="E38" s="51"/>
      <c r="F38" s="51"/>
      <c r="G38" s="51" t="str">
        <f t="shared" si="2"/>
        <v/>
      </c>
      <c r="H38" s="53"/>
    </row>
    <row r="39" spans="1:8" x14ac:dyDescent="0.35">
      <c r="A39" s="49"/>
      <c r="B39" s="49"/>
      <c r="C39" s="49" t="str">
        <f>IFERROR(VLOOKUP(B39,منتجات!$A$3:$C$350,2,0),"")</f>
        <v/>
      </c>
      <c r="D39" s="49" t="str">
        <f>IFERROR(VLOOKUP(B39,منتجات!$A$3:$C$350,3,0),"")</f>
        <v/>
      </c>
      <c r="E39" s="49"/>
      <c r="F39" s="49" t="str">
        <f>IFERROR(INDEX(منتجات!$G$3:$G$114,MATCH(B39,منتجات!$A$3:$A$115,0)),"")</f>
        <v/>
      </c>
      <c r="G39" s="49" t="str">
        <f t="shared" si="2"/>
        <v/>
      </c>
      <c r="H39" s="54"/>
    </row>
    <row r="40" spans="1:8" x14ac:dyDescent="0.35">
      <c r="A40" s="51"/>
      <c r="B40" s="51"/>
      <c r="C40" s="51" t="str">
        <f>IFERROR(VLOOKUP(B40,منتجات!$A$3:$C$350,2,0),"")</f>
        <v/>
      </c>
      <c r="D40" s="51" t="str">
        <f>IFERROR(VLOOKUP(B40,منتجات!$A$3:$C$350,3,0),"")</f>
        <v/>
      </c>
      <c r="E40" s="51"/>
      <c r="F40" s="51" t="str">
        <f>IFERROR(INDEX(منتجات!$G$3:$G$114,MATCH(B40,منتجات!$A$3:$A$115,0)),"")</f>
        <v/>
      </c>
      <c r="G40" s="51" t="str">
        <f t="shared" si="2"/>
        <v/>
      </c>
      <c r="H40" s="53"/>
    </row>
    <row r="41" spans="1:8" x14ac:dyDescent="0.35">
      <c r="A41" s="49"/>
      <c r="B41" s="49"/>
      <c r="C41" s="49" t="str">
        <f>IFERROR(VLOOKUP(B41,منتجات!$A$3:$C$350,2,0),"")</f>
        <v/>
      </c>
      <c r="D41" s="49" t="str">
        <f>IFERROR(VLOOKUP(B41,منتجات!$A$3:$C$350,3,0),"")</f>
        <v/>
      </c>
      <c r="E41" s="49"/>
      <c r="F41" s="49" t="str">
        <f>IFERROR(INDEX(منتجات!$G$3:$G$114,MATCH(B41,منتجات!$A$3:$A$115,0)),"")</f>
        <v/>
      </c>
      <c r="G41" s="49" t="str">
        <f t="shared" si="2"/>
        <v/>
      </c>
      <c r="H41" s="54"/>
    </row>
    <row r="42" spans="1:8" x14ac:dyDescent="0.35">
      <c r="A42" s="51"/>
      <c r="B42" s="51"/>
      <c r="C42" s="51" t="str">
        <f>IFERROR(VLOOKUP(B42,منتجات!$A$3:$C$350,2,0),"")</f>
        <v/>
      </c>
      <c r="D42" s="51" t="str">
        <f>IFERROR(VLOOKUP(B42,منتجات!$A$3:$C$350,3,0),"")</f>
        <v/>
      </c>
      <c r="E42" s="51"/>
      <c r="F42" s="51" t="str">
        <f>IFERROR(INDEX(منتجات!$G$3:$G$114,MATCH(B42,منتجات!$A$3:$A$115,0)),"")</f>
        <v/>
      </c>
      <c r="G42" s="51" t="str">
        <f t="shared" si="2"/>
        <v/>
      </c>
      <c r="H42" s="53"/>
    </row>
    <row r="43" spans="1:8" x14ac:dyDescent="0.35">
      <c r="A43" s="49"/>
      <c r="B43" s="49"/>
      <c r="C43" s="49" t="str">
        <f>IFERROR(VLOOKUP(B43,منتجات!$A$3:$C$350,2,0),"")</f>
        <v/>
      </c>
      <c r="D43" s="49" t="str">
        <f>IFERROR(VLOOKUP(B43,منتجات!$A$3:$C$350,3,0),"")</f>
        <v/>
      </c>
      <c r="E43" s="49"/>
      <c r="F43" s="49" t="str">
        <f>IFERROR(INDEX(منتجات!$G$3:$G$114,MATCH(B43,منتجات!$A$3:$A$115,0)),"")</f>
        <v/>
      </c>
      <c r="G43" s="49" t="str">
        <f t="shared" si="2"/>
        <v/>
      </c>
      <c r="H43" s="54"/>
    </row>
    <row r="44" spans="1:8" x14ac:dyDescent="0.35">
      <c r="A44" s="51"/>
      <c r="B44" s="51"/>
      <c r="C44" s="51" t="str">
        <f>IFERROR(VLOOKUP(B44,منتجات!$A$3:$C$350,2,0),"")</f>
        <v/>
      </c>
      <c r="D44" s="51" t="str">
        <f>IFERROR(VLOOKUP(B44,منتجات!$A$3:$C$350,3,0),"")</f>
        <v/>
      </c>
      <c r="E44" s="51"/>
      <c r="F44" s="51" t="str">
        <f>IFERROR(INDEX(منتجات!$G$3:$G$114,MATCH(B44,منتجات!$A$3:$A$115,0)),"")</f>
        <v/>
      </c>
      <c r="G44" s="51" t="str">
        <f t="shared" si="2"/>
        <v/>
      </c>
      <c r="H44" s="53"/>
    </row>
    <row r="45" spans="1:8" x14ac:dyDescent="0.35">
      <c r="A45" s="49"/>
      <c r="B45" s="49"/>
      <c r="C45" s="49" t="str">
        <f>IFERROR(VLOOKUP(B45,منتجات!$A$3:$C$350,2,0),"")</f>
        <v/>
      </c>
      <c r="D45" s="49" t="str">
        <f>IFERROR(VLOOKUP(B45,منتجات!$A$3:$C$350,3,0),"")</f>
        <v/>
      </c>
      <c r="E45" s="49"/>
      <c r="F45" s="49" t="str">
        <f>IFERROR(INDEX(منتجات!$G$3:$G$114,MATCH(B45,منتجات!$A$3:$A$115,0)),"")</f>
        <v/>
      </c>
      <c r="G45" s="49" t="str">
        <f t="shared" si="2"/>
        <v/>
      </c>
      <c r="H45" s="54"/>
    </row>
    <row r="46" spans="1:8" x14ac:dyDescent="0.35">
      <c r="A46" s="51"/>
      <c r="B46" s="51"/>
      <c r="C46" s="51" t="str">
        <f>IFERROR(VLOOKUP(B46,منتجات!$A$3:$C$350,2,0),"")</f>
        <v/>
      </c>
      <c r="D46" s="51" t="str">
        <f>IFERROR(VLOOKUP(B46,منتجات!$A$3:$C$350,3,0),"")</f>
        <v/>
      </c>
      <c r="E46" s="51"/>
      <c r="F46" s="51" t="str">
        <f>IFERROR(INDEX(منتجات!$G$3:$G$114,MATCH(B46,منتجات!$A$3:$A$115,0)),"")</f>
        <v/>
      </c>
      <c r="G46" s="51" t="str">
        <f t="shared" si="2"/>
        <v/>
      </c>
      <c r="H46" s="53"/>
    </row>
    <row r="47" spans="1:8" x14ac:dyDescent="0.35">
      <c r="A47" s="49"/>
      <c r="B47" s="49"/>
      <c r="C47" s="49" t="str">
        <f>IFERROR(VLOOKUP(B47,منتجات!$A$3:$C$350,2,0),"")</f>
        <v/>
      </c>
      <c r="D47" s="49" t="str">
        <f>IFERROR(VLOOKUP(B47,منتجات!$A$3:$C$350,3,0),"")</f>
        <v/>
      </c>
      <c r="E47" s="49"/>
      <c r="F47" s="49" t="str">
        <f>IFERROR(INDEX(منتجات!$G$3:$G$114,MATCH(B47,منتجات!$A$3:$A$115,0)),"")</f>
        <v/>
      </c>
      <c r="G47" s="49" t="str">
        <f t="shared" si="2"/>
        <v/>
      </c>
      <c r="H47" s="54"/>
    </row>
    <row r="48" spans="1:8" x14ac:dyDescent="0.35">
      <c r="A48" s="51"/>
      <c r="B48" s="51"/>
      <c r="C48" s="51" t="str">
        <f>IFERROR(VLOOKUP(B48,منتجات!$A$3:$C$350,2,0),"")</f>
        <v/>
      </c>
      <c r="D48" s="51" t="str">
        <f>IFERROR(VLOOKUP(B48,منتجات!$A$3:$C$350,3,0),"")</f>
        <v/>
      </c>
      <c r="E48" s="51"/>
      <c r="F48" s="51" t="str">
        <f>IFERROR(INDEX(منتجات!$G$3:$G$114,MATCH(B48,منتجات!$A$3:$A$115,0)),"")</f>
        <v/>
      </c>
      <c r="G48" s="51" t="str">
        <f t="shared" si="2"/>
        <v/>
      </c>
      <c r="H48" s="53"/>
    </row>
    <row r="49" spans="1:8" x14ac:dyDescent="0.35">
      <c r="A49" s="49"/>
      <c r="B49" s="49"/>
      <c r="C49" s="49" t="str">
        <f>IFERROR(VLOOKUP(B49,منتجات!$A$3:$C$350,2,0),"")</f>
        <v/>
      </c>
      <c r="D49" s="49" t="str">
        <f>IFERROR(VLOOKUP(B49,منتجات!$A$3:$C$350,3,0),"")</f>
        <v/>
      </c>
      <c r="E49" s="49"/>
      <c r="F49" s="49" t="str">
        <f>IFERROR(INDEX(منتجات!$G$3:$G$114,MATCH(B49,منتجات!$A$3:$A$115,0)),"")</f>
        <v/>
      </c>
      <c r="G49" s="49" t="str">
        <f t="shared" si="2"/>
        <v/>
      </c>
      <c r="H49" s="54"/>
    </row>
    <row r="50" spans="1:8" x14ac:dyDescent="0.35">
      <c r="A50" s="51"/>
      <c r="B50" s="51"/>
      <c r="C50" s="51" t="str">
        <f>IFERROR(VLOOKUP(B50,منتجات!$A$3:$C$350,2,0),"")</f>
        <v/>
      </c>
      <c r="D50" s="51" t="str">
        <f>IFERROR(VLOOKUP(B50,منتجات!$A$3:$C$350,3,0),"")</f>
        <v/>
      </c>
      <c r="E50" s="51"/>
      <c r="F50" s="51" t="str">
        <f>IFERROR(INDEX(منتجات!$G$3:$G$114,MATCH(B50,منتجات!$A$3:$A$115,0)),"")</f>
        <v/>
      </c>
      <c r="G50" s="51" t="str">
        <f t="shared" si="2"/>
        <v/>
      </c>
      <c r="H50" s="53"/>
    </row>
    <row r="51" spans="1:8" x14ac:dyDescent="0.35">
      <c r="A51" s="49"/>
      <c r="B51" s="49"/>
      <c r="C51" s="49" t="str">
        <f>IFERROR(VLOOKUP(B51,منتجات!$A$3:$C$350,2,0),"")</f>
        <v/>
      </c>
      <c r="D51" s="49" t="str">
        <f>IFERROR(VLOOKUP(B51,منتجات!$A$3:$C$350,3,0),"")</f>
        <v/>
      </c>
      <c r="E51" s="49"/>
      <c r="F51" s="49" t="str">
        <f>IFERROR(INDEX(منتجات!$G$3:$G$114,MATCH(B51,منتجات!$A$3:$A$115,0)),"")</f>
        <v/>
      </c>
      <c r="G51" s="49" t="str">
        <f t="shared" si="2"/>
        <v/>
      </c>
      <c r="H51" s="54"/>
    </row>
    <row r="52" spans="1:8" x14ac:dyDescent="0.35">
      <c r="A52" s="51"/>
      <c r="B52" s="51"/>
      <c r="C52" s="51" t="str">
        <f>IFERROR(VLOOKUP(B52,منتجات!$A$3:$C$350,2,0),"")</f>
        <v/>
      </c>
      <c r="D52" s="51" t="str">
        <f>IFERROR(VLOOKUP(B52,منتجات!$A$3:$C$350,3,0),"")</f>
        <v/>
      </c>
      <c r="E52" s="51"/>
      <c r="F52" s="51" t="str">
        <f>IFERROR(INDEX(منتجات!$G$3:$G$114,MATCH(B52,منتجات!$A$3:$A$115,0)),"")</f>
        <v/>
      </c>
      <c r="G52" s="51" t="str">
        <f t="shared" si="2"/>
        <v/>
      </c>
      <c r="H52" s="53"/>
    </row>
    <row r="53" spans="1:8" x14ac:dyDescent="0.35">
      <c r="A53" s="49"/>
      <c r="B53" s="49"/>
      <c r="C53" s="49" t="str">
        <f>IFERROR(VLOOKUP(B53,منتجات!$A$3:$C$350,2,0),"")</f>
        <v/>
      </c>
      <c r="D53" s="49" t="str">
        <f>IFERROR(VLOOKUP(B53,منتجات!$A$3:$C$350,3,0),"")</f>
        <v/>
      </c>
      <c r="E53" s="49"/>
      <c r="F53" s="49" t="str">
        <f>IFERROR(INDEX(منتجات!$G$3:$G$114,MATCH(B53,منتجات!$A$3:$A$115,0)),"")</f>
        <v/>
      </c>
      <c r="G53" s="49" t="str">
        <f t="shared" si="2"/>
        <v/>
      </c>
      <c r="H53" s="54"/>
    </row>
    <row r="54" spans="1:8" x14ac:dyDescent="0.35">
      <c r="A54" s="51"/>
      <c r="B54" s="51"/>
      <c r="C54" s="51" t="str">
        <f>IFERROR(VLOOKUP(B54,منتجات!$A$3:$C$350,2,0),"")</f>
        <v/>
      </c>
      <c r="D54" s="51" t="str">
        <f>IFERROR(VLOOKUP(B54,منتجات!$A$3:$C$350,3,0),"")</f>
        <v/>
      </c>
      <c r="E54" s="51"/>
      <c r="F54" s="51" t="str">
        <f>IFERROR(INDEX(منتجات!$G$3:$G$114,MATCH(B54,منتجات!$A$3:$A$115,0)),"")</f>
        <v/>
      </c>
      <c r="G54" s="51" t="str">
        <f t="shared" si="2"/>
        <v/>
      </c>
      <c r="H54" s="53"/>
    </row>
    <row r="55" spans="1:8" x14ac:dyDescent="0.35">
      <c r="A55" s="49"/>
      <c r="B55" s="49"/>
      <c r="C55" s="49" t="str">
        <f>IFERROR(VLOOKUP(B55,منتجات!$A$3:$C$350,2,0),"")</f>
        <v/>
      </c>
      <c r="D55" s="49" t="str">
        <f>IFERROR(VLOOKUP(B55,منتجات!$A$3:$C$350,3,0),"")</f>
        <v/>
      </c>
      <c r="E55" s="49"/>
      <c r="F55" s="49" t="str">
        <f>IFERROR(INDEX(منتجات!$G$3:$G$114,MATCH(B55,منتجات!$A$3:$A$115,0)),"")</f>
        <v/>
      </c>
      <c r="G55" s="49" t="str">
        <f t="shared" si="2"/>
        <v/>
      </c>
      <c r="H55" s="54"/>
    </row>
    <row r="56" spans="1:8" x14ac:dyDescent="0.35">
      <c r="A56" s="51"/>
      <c r="B56" s="51"/>
      <c r="C56" s="51" t="str">
        <f>IFERROR(VLOOKUP(B56,منتجات!$A$3:$C$350,2,0),"")</f>
        <v/>
      </c>
      <c r="D56" s="51" t="str">
        <f>IFERROR(VLOOKUP(B56,منتجات!$A$3:$C$350,3,0),"")</f>
        <v/>
      </c>
      <c r="E56" s="51"/>
      <c r="F56" s="51" t="str">
        <f>IFERROR(INDEX(منتجات!$G$3:$G$114,MATCH(B56,منتجات!$A$3:$A$115,0)),"")</f>
        <v/>
      </c>
      <c r="G56" s="51" t="str">
        <f t="shared" si="2"/>
        <v/>
      </c>
      <c r="H56" s="53"/>
    </row>
    <row r="57" spans="1:8" x14ac:dyDescent="0.35">
      <c r="A57" s="49"/>
      <c r="B57" s="49"/>
      <c r="C57" s="49" t="str">
        <f>IFERROR(VLOOKUP(B57,منتجات!$A$3:$C$350,2,0),"")</f>
        <v/>
      </c>
      <c r="D57" s="49" t="str">
        <f>IFERROR(VLOOKUP(B57,منتجات!$A$3:$C$350,3,0),"")</f>
        <v/>
      </c>
      <c r="E57" s="49"/>
      <c r="F57" s="49" t="str">
        <f>IFERROR(INDEX(منتجات!$G$3:$G$114,MATCH(B57,منتجات!$A$3:$A$115,0)),"")</f>
        <v/>
      </c>
      <c r="G57" s="49" t="str">
        <f t="shared" si="2"/>
        <v/>
      </c>
      <c r="H57" s="54"/>
    </row>
    <row r="58" spans="1:8" x14ac:dyDescent="0.35">
      <c r="A58" s="51"/>
      <c r="B58" s="51"/>
      <c r="C58" s="51" t="str">
        <f>IFERROR(VLOOKUP(B58,منتجات!$A$3:$C$350,2,0),"")</f>
        <v/>
      </c>
      <c r="D58" s="51" t="str">
        <f>IFERROR(VLOOKUP(B58,منتجات!$A$3:$C$350,3,0),"")</f>
        <v/>
      </c>
      <c r="E58" s="51"/>
      <c r="F58" s="51" t="str">
        <f>IFERROR(INDEX(منتجات!$G$3:$G$114,MATCH(B58,منتجات!$A$3:$A$115,0)),"")</f>
        <v/>
      </c>
      <c r="G58" s="51" t="str">
        <f t="shared" si="2"/>
        <v/>
      </c>
      <c r="H58" s="53"/>
    </row>
    <row r="59" spans="1:8" x14ac:dyDescent="0.35">
      <c r="A59" s="49"/>
      <c r="B59" s="49"/>
      <c r="C59" s="49" t="str">
        <f>IFERROR(VLOOKUP(B59,منتجات!$A$3:$C$350,2,0),"")</f>
        <v/>
      </c>
      <c r="D59" s="49" t="str">
        <f>IFERROR(VLOOKUP(B59,منتجات!$A$3:$C$350,3,0),"")</f>
        <v/>
      </c>
      <c r="E59" s="49"/>
      <c r="F59" s="49" t="str">
        <f>IFERROR(INDEX(منتجات!$G$3:$G$114,MATCH(B59,منتجات!$A$3:$A$115,0)),"")</f>
        <v/>
      </c>
      <c r="G59" s="49" t="str">
        <f t="shared" si="2"/>
        <v/>
      </c>
      <c r="H59" s="54"/>
    </row>
    <row r="60" spans="1:8" x14ac:dyDescent="0.35">
      <c r="A60" s="51"/>
      <c r="B60" s="51"/>
      <c r="C60" s="51" t="str">
        <f>IFERROR(VLOOKUP(B60,منتجات!$A$3:$C$350,2,0),"")</f>
        <v/>
      </c>
      <c r="D60" s="51" t="str">
        <f>IFERROR(VLOOKUP(B60,منتجات!$A$3:$C$350,3,0),"")</f>
        <v/>
      </c>
      <c r="E60" s="51"/>
      <c r="F60" s="51" t="str">
        <f>IFERROR(INDEX(منتجات!$G$3:$G$114,MATCH(B60,منتجات!$A$3:$A$115,0)),"")</f>
        <v/>
      </c>
      <c r="G60" s="51" t="str">
        <f t="shared" si="2"/>
        <v/>
      </c>
      <c r="H60" s="53"/>
    </row>
    <row r="61" spans="1:8" x14ac:dyDescent="0.35">
      <c r="A61" s="49"/>
      <c r="B61" s="49"/>
      <c r="C61" s="49" t="str">
        <f>IFERROR(VLOOKUP(B61,منتجات!$A$3:$C$350,2,0),"")</f>
        <v/>
      </c>
      <c r="D61" s="49" t="str">
        <f>IFERROR(VLOOKUP(B61,منتجات!$A$3:$C$350,3,0),"")</f>
        <v/>
      </c>
      <c r="E61" s="49"/>
      <c r="F61" s="49" t="str">
        <f>IFERROR(INDEX(منتجات!$G$3:$G$114,MATCH(B61,منتجات!$A$3:$A$115,0)),"")</f>
        <v/>
      </c>
      <c r="G61" s="49" t="str">
        <f t="shared" si="2"/>
        <v/>
      </c>
      <c r="H61" s="54"/>
    </row>
    <row r="62" spans="1:8" x14ac:dyDescent="0.35">
      <c r="A62" s="51"/>
      <c r="B62" s="51"/>
      <c r="C62" s="51" t="str">
        <f>IFERROR(VLOOKUP(B62,منتجات!$A$3:$C$350,2,0),"")</f>
        <v/>
      </c>
      <c r="D62" s="51" t="str">
        <f>IFERROR(VLOOKUP(B62,منتجات!$A$3:$C$350,3,0),"")</f>
        <v/>
      </c>
      <c r="E62" s="51"/>
      <c r="F62" s="51" t="str">
        <f>IFERROR(INDEX(منتجات!$G$3:$G$114,MATCH(B62,منتجات!$A$3:$A$115,0)),"")</f>
        <v/>
      </c>
      <c r="G62" s="51" t="str">
        <f t="shared" si="2"/>
        <v/>
      </c>
      <c r="H62" s="53"/>
    </row>
    <row r="63" spans="1:8" x14ac:dyDescent="0.35">
      <c r="A63" s="49"/>
      <c r="B63" s="49"/>
      <c r="C63" s="49" t="str">
        <f>IFERROR(VLOOKUP(B63,منتجات!$A$3:$C$350,2,0),"")</f>
        <v/>
      </c>
      <c r="D63" s="49" t="str">
        <f>IFERROR(VLOOKUP(B63,منتجات!$A$3:$C$350,3,0),"")</f>
        <v/>
      </c>
      <c r="E63" s="49"/>
      <c r="F63" s="49" t="str">
        <f>IFERROR(INDEX(منتجات!$G$3:$G$114,MATCH(B63,منتجات!$A$3:$A$115,0)),"")</f>
        <v/>
      </c>
      <c r="G63" s="49" t="str">
        <f t="shared" si="2"/>
        <v/>
      </c>
      <c r="H63" s="54"/>
    </row>
    <row r="64" spans="1:8" x14ac:dyDescent="0.35">
      <c r="A64" s="51"/>
      <c r="B64" s="51"/>
      <c r="C64" s="51" t="str">
        <f>IFERROR(VLOOKUP(B64,منتجات!$A$3:$C$350,2,0),"")</f>
        <v/>
      </c>
      <c r="D64" s="51" t="str">
        <f>IFERROR(VLOOKUP(B64,منتجات!$A$3:$C$350,3,0),"")</f>
        <v/>
      </c>
      <c r="E64" s="51"/>
      <c r="F64" s="51" t="str">
        <f>IFERROR(INDEX(منتجات!$G$3:$G$114,MATCH(B64,منتجات!$A$3:$A$115,0)),"")</f>
        <v/>
      </c>
      <c r="G64" s="51" t="str">
        <f t="shared" si="2"/>
        <v/>
      </c>
      <c r="H64" s="53"/>
    </row>
    <row r="65" spans="1:8" x14ac:dyDescent="0.35">
      <c r="A65" s="49"/>
      <c r="B65" s="49"/>
      <c r="C65" s="49" t="str">
        <f>IFERROR(VLOOKUP(B65,منتجات!$A$3:$C$350,2,0),"")</f>
        <v/>
      </c>
      <c r="D65" s="49" t="str">
        <f>IFERROR(VLOOKUP(B65,منتجات!$A$3:$C$350,3,0),"")</f>
        <v/>
      </c>
      <c r="E65" s="49"/>
      <c r="F65" s="49" t="str">
        <f>IFERROR(INDEX(منتجات!$G$3:$G$114,MATCH(B65,منتجات!$A$3:$A$115,0)),"")</f>
        <v/>
      </c>
      <c r="G65" s="49" t="str">
        <f t="shared" si="2"/>
        <v/>
      </c>
      <c r="H65" s="54"/>
    </row>
    <row r="66" spans="1:8" x14ac:dyDescent="0.35">
      <c r="A66" s="51"/>
      <c r="B66" s="51"/>
      <c r="C66" s="51" t="str">
        <f>IFERROR(VLOOKUP(B66,منتجات!$A$3:$C$350,2,0),"")</f>
        <v/>
      </c>
      <c r="D66" s="51" t="str">
        <f>IFERROR(VLOOKUP(B66,منتجات!$A$3:$C$350,3,0),"")</f>
        <v/>
      </c>
      <c r="E66" s="51"/>
      <c r="F66" s="51" t="str">
        <f>IFERROR(INDEX(منتجات!$G$3:$G$114,MATCH(B66,منتجات!$A$3:$A$115,0)),"")</f>
        <v/>
      </c>
      <c r="G66" s="51" t="str">
        <f t="shared" si="2"/>
        <v/>
      </c>
      <c r="H66" s="53"/>
    </row>
    <row r="67" spans="1:8" x14ac:dyDescent="0.35">
      <c r="A67" s="49"/>
      <c r="B67" s="49"/>
      <c r="C67" s="49" t="str">
        <f>IFERROR(VLOOKUP(B67,منتجات!$A$3:$C$350,2,0),"")</f>
        <v/>
      </c>
      <c r="D67" s="49" t="str">
        <f>IFERROR(VLOOKUP(B67,منتجات!$A$3:$C$350,3,0),"")</f>
        <v/>
      </c>
      <c r="E67" s="49"/>
      <c r="F67" s="49" t="str">
        <f>IFERROR(INDEX(منتجات!$G$3:$G$114,MATCH(B67,منتجات!$A$3:$A$115,0)),"")</f>
        <v/>
      </c>
      <c r="G67" s="49" t="str">
        <f t="shared" si="2"/>
        <v/>
      </c>
      <c r="H67" s="54"/>
    </row>
    <row r="68" spans="1:8" x14ac:dyDescent="0.35">
      <c r="A68" s="51"/>
      <c r="B68" s="51"/>
      <c r="C68" s="51" t="str">
        <f>IFERROR(VLOOKUP(B68,منتجات!$A$3:$C$350,2,0),"")</f>
        <v/>
      </c>
      <c r="D68" s="51" t="str">
        <f>IFERROR(VLOOKUP(B68,منتجات!$A$3:$C$350,3,0),"")</f>
        <v/>
      </c>
      <c r="E68" s="51"/>
      <c r="F68" s="51" t="str">
        <f>IFERROR(INDEX(منتجات!$G$3:$G$114,MATCH(B68,منتجات!$A$3:$A$115,0)),"")</f>
        <v/>
      </c>
      <c r="G68" s="51" t="str">
        <f t="shared" si="2"/>
        <v/>
      </c>
      <c r="H68" s="53"/>
    </row>
    <row r="69" spans="1:8" x14ac:dyDescent="0.35">
      <c r="A69" s="49"/>
      <c r="B69" s="49"/>
      <c r="C69" s="49" t="str">
        <f>IFERROR(VLOOKUP(B69,منتجات!$A$3:$C$350,2,0),"")</f>
        <v/>
      </c>
      <c r="D69" s="49" t="str">
        <f>IFERROR(VLOOKUP(B69,منتجات!$A$3:$C$350,3,0),"")</f>
        <v/>
      </c>
      <c r="E69" s="49"/>
      <c r="F69" s="49" t="str">
        <f>IFERROR(INDEX(منتجات!$G$3:$G$114,MATCH(B69,منتجات!$A$3:$A$115,0)),"")</f>
        <v/>
      </c>
      <c r="G69" s="49" t="str">
        <f t="shared" si="2"/>
        <v/>
      </c>
      <c r="H69" s="54"/>
    </row>
    <row r="70" spans="1:8" x14ac:dyDescent="0.35">
      <c r="A70" s="51"/>
      <c r="B70" s="51"/>
      <c r="C70" s="51" t="str">
        <f>IFERROR(VLOOKUP(B70,منتجات!$A$3:$C$350,2,0),"")</f>
        <v/>
      </c>
      <c r="D70" s="51" t="str">
        <f>IFERROR(VLOOKUP(B70,منتجات!$A$3:$C$350,3,0),"")</f>
        <v/>
      </c>
      <c r="E70" s="51"/>
      <c r="F70" s="51" t="str">
        <f>IFERROR(INDEX(منتجات!$G$3:$G$114,MATCH(B70,منتجات!$A$3:$A$115,0)),"")</f>
        <v/>
      </c>
      <c r="G70" s="51" t="str">
        <f t="shared" si="2"/>
        <v/>
      </c>
      <c r="H70" s="53"/>
    </row>
    <row r="71" spans="1:8" x14ac:dyDescent="0.35">
      <c r="A71" s="49"/>
      <c r="B71" s="49"/>
      <c r="C71" s="49" t="str">
        <f>IFERROR(VLOOKUP(B71,منتجات!$A$3:$C$350,2,0),"")</f>
        <v/>
      </c>
      <c r="D71" s="49" t="str">
        <f>IFERROR(VLOOKUP(B71,منتجات!$A$3:$C$350,3,0),"")</f>
        <v/>
      </c>
      <c r="E71" s="49"/>
      <c r="F71" s="49" t="str">
        <f>IFERROR(INDEX(منتجات!$G$3:$G$114,MATCH(B71,منتجات!$A$3:$A$115,0)),"")</f>
        <v/>
      </c>
      <c r="G71" s="49" t="str">
        <f t="shared" si="2"/>
        <v/>
      </c>
      <c r="H71" s="54"/>
    </row>
    <row r="72" spans="1:8" x14ac:dyDescent="0.35">
      <c r="A72" s="51"/>
      <c r="B72" s="51"/>
      <c r="C72" s="51" t="str">
        <f>IFERROR(VLOOKUP(B72,منتجات!$A$3:$C$350,2,0),"")</f>
        <v/>
      </c>
      <c r="D72" s="51" t="str">
        <f>IFERROR(VLOOKUP(B72,منتجات!$A$3:$C$350,3,0),"")</f>
        <v/>
      </c>
      <c r="E72" s="51"/>
      <c r="F72" s="51" t="str">
        <f>IFERROR(INDEX(منتجات!$G$3:$G$114,MATCH(B72,منتجات!$A$3:$A$115,0)),"")</f>
        <v/>
      </c>
      <c r="G72" s="51" t="str">
        <f t="shared" si="2"/>
        <v/>
      </c>
      <c r="H72" s="53"/>
    </row>
    <row r="73" spans="1:8" x14ac:dyDescent="0.35">
      <c r="A73" s="49"/>
      <c r="B73" s="49"/>
      <c r="C73" s="49" t="str">
        <f>IFERROR(VLOOKUP(B73,منتجات!$A$3:$C$350,2,0),"")</f>
        <v/>
      </c>
      <c r="D73" s="49" t="str">
        <f>IFERROR(VLOOKUP(B73,منتجات!$A$3:$C$350,3,0),"")</f>
        <v/>
      </c>
      <c r="E73" s="49"/>
      <c r="F73" s="49" t="str">
        <f>IFERROR(INDEX(منتجات!$G$3:$G$114,MATCH(B73,منتجات!$A$3:$A$115,0)),"")</f>
        <v/>
      </c>
      <c r="G73" s="49" t="str">
        <f t="shared" si="2"/>
        <v/>
      </c>
      <c r="H73" s="54"/>
    </row>
    <row r="74" spans="1:8" x14ac:dyDescent="0.35">
      <c r="A74" s="51"/>
      <c r="B74" s="51"/>
      <c r="C74" s="51" t="str">
        <f>IFERROR(VLOOKUP(B74,منتجات!$A$3:$C$350,2,0),"")</f>
        <v/>
      </c>
      <c r="D74" s="51" t="str">
        <f>IFERROR(VLOOKUP(B74,منتجات!$A$3:$C$350,3,0),"")</f>
        <v/>
      </c>
      <c r="E74" s="51"/>
      <c r="F74" s="51" t="str">
        <f>IFERROR(INDEX(منتجات!$G$3:$G$114,MATCH(B74,منتجات!$A$3:$A$115,0)),"")</f>
        <v/>
      </c>
      <c r="G74" s="51" t="str">
        <f t="shared" si="2"/>
        <v/>
      </c>
      <c r="H74" s="53"/>
    </row>
    <row r="75" spans="1:8" x14ac:dyDescent="0.35">
      <c r="A75" s="49"/>
      <c r="B75" s="49"/>
      <c r="C75" s="49" t="str">
        <f>IFERROR(VLOOKUP(B75,منتجات!$A$3:$C$350,2,0),"")</f>
        <v/>
      </c>
      <c r="D75" s="49" t="str">
        <f>IFERROR(VLOOKUP(B75,منتجات!$A$3:$C$350,3,0),"")</f>
        <v/>
      </c>
      <c r="E75" s="49"/>
      <c r="F75" s="49" t="str">
        <f>IFERROR(INDEX(منتجات!$G$3:$G$114,MATCH(B75,منتجات!$A$3:$A$115,0)),"")</f>
        <v/>
      </c>
      <c r="G75" s="49" t="str">
        <f t="shared" si="2"/>
        <v/>
      </c>
      <c r="H75" s="54"/>
    </row>
    <row r="76" spans="1:8" x14ac:dyDescent="0.35">
      <c r="A76" s="51"/>
      <c r="B76" s="51"/>
      <c r="C76" s="51" t="str">
        <f>IFERROR(VLOOKUP(B76,منتجات!$A$3:$C$350,2,0),"")</f>
        <v/>
      </c>
      <c r="D76" s="51" t="str">
        <f>IFERROR(VLOOKUP(B76,منتجات!$A$3:$C$350,3,0),"")</f>
        <v/>
      </c>
      <c r="E76" s="51"/>
      <c r="F76" s="51" t="str">
        <f>IFERROR(INDEX(منتجات!$G$3:$G$114,MATCH(B76,منتجات!$A$3:$A$115,0)),"")</f>
        <v/>
      </c>
      <c r="G76" s="51" t="str">
        <f t="shared" si="2"/>
        <v/>
      </c>
      <c r="H76" s="53"/>
    </row>
    <row r="77" spans="1:8" x14ac:dyDescent="0.35">
      <c r="A77" s="49"/>
      <c r="B77" s="49"/>
      <c r="C77" s="49" t="str">
        <f>IFERROR(VLOOKUP(B77,منتجات!$A$3:$C$350,2,0),"")</f>
        <v/>
      </c>
      <c r="D77" s="49" t="str">
        <f>IFERROR(VLOOKUP(B77,منتجات!$A$3:$C$350,3,0),"")</f>
        <v/>
      </c>
      <c r="E77" s="49"/>
      <c r="F77" s="49" t="str">
        <f>IFERROR(INDEX(منتجات!$G$3:$G$114,MATCH(B77,منتجات!$A$3:$A$115,0)),"")</f>
        <v/>
      </c>
      <c r="G77" s="49" t="str">
        <f t="shared" si="2"/>
        <v/>
      </c>
      <c r="H77" s="54"/>
    </row>
    <row r="78" spans="1:8" x14ac:dyDescent="0.35">
      <c r="A78" s="51"/>
      <c r="B78" s="51"/>
      <c r="C78" s="51" t="str">
        <f>IFERROR(VLOOKUP(B78,منتجات!$A$3:$C$350,2,0),"")</f>
        <v/>
      </c>
      <c r="D78" s="51" t="str">
        <f>IFERROR(VLOOKUP(B78,منتجات!$A$3:$C$350,3,0),"")</f>
        <v/>
      </c>
      <c r="E78" s="51"/>
      <c r="F78" s="51" t="str">
        <f>IFERROR(INDEX(منتجات!$G$3:$G$114,MATCH(B78,منتجات!$A$3:$A$115,0)),"")</f>
        <v/>
      </c>
      <c r="G78" s="51" t="str">
        <f t="shared" ref="G78:G141" si="3">IFERROR(E78*F78*D78,"")</f>
        <v/>
      </c>
      <c r="H78" s="53"/>
    </row>
    <row r="79" spans="1:8" x14ac:dyDescent="0.35">
      <c r="A79" s="49"/>
      <c r="B79" s="49"/>
      <c r="C79" s="49" t="str">
        <f>IFERROR(VLOOKUP(B79,منتجات!$A$3:$C$350,2,0),"")</f>
        <v/>
      </c>
      <c r="D79" s="49" t="str">
        <f>IFERROR(VLOOKUP(B79,منتجات!$A$3:$C$350,3,0),"")</f>
        <v/>
      </c>
      <c r="E79" s="49"/>
      <c r="F79" s="49" t="str">
        <f>IFERROR(INDEX(منتجات!$G$3:$G$114,MATCH(B79,منتجات!$A$3:$A$115,0)),"")</f>
        <v/>
      </c>
      <c r="G79" s="49" t="str">
        <f t="shared" si="3"/>
        <v/>
      </c>
      <c r="H79" s="54"/>
    </row>
    <row r="80" spans="1:8" x14ac:dyDescent="0.35">
      <c r="A80" s="51"/>
      <c r="B80" s="51"/>
      <c r="C80" s="51" t="str">
        <f>IFERROR(VLOOKUP(B80,منتجات!$A$3:$C$350,2,0),"")</f>
        <v/>
      </c>
      <c r="D80" s="51" t="str">
        <f>IFERROR(VLOOKUP(B80,منتجات!$A$3:$C$350,3,0),"")</f>
        <v/>
      </c>
      <c r="E80" s="51"/>
      <c r="F80" s="51" t="str">
        <f>IFERROR(INDEX(منتجات!$G$3:$G$114,MATCH(B80,منتجات!$A$3:$A$115,0)),"")</f>
        <v/>
      </c>
      <c r="G80" s="51" t="str">
        <f t="shared" si="3"/>
        <v/>
      </c>
      <c r="H80" s="53"/>
    </row>
    <row r="81" spans="1:8" x14ac:dyDescent="0.35">
      <c r="A81" s="49"/>
      <c r="B81" s="49"/>
      <c r="C81" s="49" t="str">
        <f>IFERROR(VLOOKUP(B81,منتجات!$A$3:$C$350,2,0),"")</f>
        <v/>
      </c>
      <c r="D81" s="49" t="str">
        <f>IFERROR(VLOOKUP(B81,منتجات!$A$3:$C$350,3,0),"")</f>
        <v/>
      </c>
      <c r="E81" s="49"/>
      <c r="F81" s="49" t="str">
        <f>IFERROR(INDEX(منتجات!$G$3:$G$114,MATCH(B81,منتجات!$A$3:$A$115,0)),"")</f>
        <v/>
      </c>
      <c r="G81" s="49" t="str">
        <f t="shared" si="3"/>
        <v/>
      </c>
      <c r="H81" s="54"/>
    </row>
    <row r="82" spans="1:8" x14ac:dyDescent="0.35">
      <c r="A82" s="51"/>
      <c r="B82" s="51"/>
      <c r="C82" s="51" t="str">
        <f>IFERROR(VLOOKUP(B82,منتجات!$A$3:$C$350,2,0),"")</f>
        <v/>
      </c>
      <c r="D82" s="51" t="str">
        <f>IFERROR(VLOOKUP(B82,منتجات!$A$3:$C$350,3,0),"")</f>
        <v/>
      </c>
      <c r="E82" s="51"/>
      <c r="F82" s="51" t="str">
        <f>IFERROR(INDEX(منتجات!$G$3:$G$114,MATCH(B82,منتجات!$A$3:$A$115,0)),"")</f>
        <v/>
      </c>
      <c r="G82" s="51" t="str">
        <f t="shared" si="3"/>
        <v/>
      </c>
      <c r="H82" s="53"/>
    </row>
    <row r="83" spans="1:8" x14ac:dyDescent="0.35">
      <c r="A83" s="49"/>
      <c r="B83" s="49"/>
      <c r="C83" s="49" t="str">
        <f>IFERROR(VLOOKUP(B83,منتجات!$A$3:$C$350,2,0),"")</f>
        <v/>
      </c>
      <c r="D83" s="49" t="str">
        <f>IFERROR(VLOOKUP(B83,منتجات!$A$3:$C$350,3,0),"")</f>
        <v/>
      </c>
      <c r="E83" s="49"/>
      <c r="F83" s="49" t="str">
        <f>IFERROR(INDEX(منتجات!$G$3:$G$114,MATCH(B83,منتجات!$A$3:$A$115,0)),"")</f>
        <v/>
      </c>
      <c r="G83" s="49" t="str">
        <f t="shared" si="3"/>
        <v/>
      </c>
      <c r="H83" s="54"/>
    </row>
    <row r="84" spans="1:8" x14ac:dyDescent="0.35">
      <c r="A84" s="51"/>
      <c r="B84" s="51"/>
      <c r="C84" s="51" t="str">
        <f>IFERROR(VLOOKUP(B84,منتجات!$A$3:$C$350,2,0),"")</f>
        <v/>
      </c>
      <c r="D84" s="51" t="str">
        <f>IFERROR(VLOOKUP(B84,منتجات!$A$3:$C$350,3,0),"")</f>
        <v/>
      </c>
      <c r="E84" s="51"/>
      <c r="F84" s="51" t="str">
        <f>IFERROR(INDEX(منتجات!$G$3:$G$114,MATCH(B84,منتجات!$A$3:$A$115,0)),"")</f>
        <v/>
      </c>
      <c r="G84" s="51" t="str">
        <f t="shared" si="3"/>
        <v/>
      </c>
      <c r="H84" s="53"/>
    </row>
    <row r="85" spans="1:8" x14ac:dyDescent="0.35">
      <c r="A85" s="49"/>
      <c r="B85" s="49"/>
      <c r="C85" s="49" t="str">
        <f>IFERROR(VLOOKUP(B85,منتجات!$A$3:$C$350,2,0),"")</f>
        <v/>
      </c>
      <c r="D85" s="49" t="str">
        <f>IFERROR(VLOOKUP(B85,منتجات!$A$3:$C$350,3,0),"")</f>
        <v/>
      </c>
      <c r="E85" s="49"/>
      <c r="F85" s="49" t="str">
        <f>IFERROR(INDEX(منتجات!$G$3:$G$114,MATCH(B85,منتجات!$A$3:$A$115,0)),"")</f>
        <v/>
      </c>
      <c r="G85" s="49" t="str">
        <f t="shared" si="3"/>
        <v/>
      </c>
      <c r="H85" s="54"/>
    </row>
    <row r="86" spans="1:8" x14ac:dyDescent="0.35">
      <c r="A86" s="51"/>
      <c r="B86" s="51"/>
      <c r="C86" s="51" t="str">
        <f>IFERROR(VLOOKUP(B86,منتجات!$A$3:$C$350,2,0),"")</f>
        <v/>
      </c>
      <c r="D86" s="51" t="str">
        <f>IFERROR(VLOOKUP(B86,منتجات!$A$3:$C$350,3,0),"")</f>
        <v/>
      </c>
      <c r="E86" s="51"/>
      <c r="F86" s="51" t="str">
        <f>IFERROR(INDEX(منتجات!$G$3:$G$114,MATCH(B86,منتجات!$A$3:$A$115,0)),"")</f>
        <v/>
      </c>
      <c r="G86" s="51" t="str">
        <f t="shared" si="3"/>
        <v/>
      </c>
      <c r="H86" s="53"/>
    </row>
    <row r="87" spans="1:8" x14ac:dyDescent="0.35">
      <c r="A87" s="49"/>
      <c r="B87" s="49"/>
      <c r="C87" s="49" t="str">
        <f>IFERROR(VLOOKUP(B87,منتجات!$A$3:$C$350,2,0),"")</f>
        <v/>
      </c>
      <c r="D87" s="49" t="str">
        <f>IFERROR(VLOOKUP(B87,منتجات!$A$3:$C$350,3,0),"")</f>
        <v/>
      </c>
      <c r="E87" s="49"/>
      <c r="F87" s="49" t="str">
        <f>IFERROR(INDEX(منتجات!$G$3:$G$114,MATCH(B87,منتجات!$A$3:$A$115,0)),"")</f>
        <v/>
      </c>
      <c r="G87" s="49" t="str">
        <f t="shared" si="3"/>
        <v/>
      </c>
      <c r="H87" s="54"/>
    </row>
    <row r="88" spans="1:8" x14ac:dyDescent="0.35">
      <c r="A88" s="51"/>
      <c r="B88" s="51"/>
      <c r="C88" s="51" t="str">
        <f>IFERROR(VLOOKUP(B88,منتجات!$A$3:$C$350,2,0),"")</f>
        <v/>
      </c>
      <c r="D88" s="51" t="str">
        <f>IFERROR(VLOOKUP(B88,منتجات!$A$3:$C$350,3,0),"")</f>
        <v/>
      </c>
      <c r="E88" s="51"/>
      <c r="F88" s="51" t="str">
        <f>IFERROR(INDEX(منتجات!$G$3:$G$114,MATCH(B88,منتجات!$A$3:$A$115,0)),"")</f>
        <v/>
      </c>
      <c r="G88" s="51" t="str">
        <f t="shared" si="3"/>
        <v/>
      </c>
      <c r="H88" s="53"/>
    </row>
    <row r="89" spans="1:8" x14ac:dyDescent="0.35">
      <c r="A89" s="49"/>
      <c r="B89" s="49"/>
      <c r="C89" s="49" t="str">
        <f>IFERROR(VLOOKUP(B89,منتجات!$A$3:$C$350,2,0),"")</f>
        <v/>
      </c>
      <c r="D89" s="49" t="str">
        <f>IFERROR(VLOOKUP(B89,منتجات!$A$3:$C$350,3,0),"")</f>
        <v/>
      </c>
      <c r="E89" s="49"/>
      <c r="F89" s="49" t="str">
        <f>IFERROR(INDEX(منتجات!$G$3:$G$114,MATCH(B89,منتجات!$A$3:$A$115,0)),"")</f>
        <v/>
      </c>
      <c r="G89" s="49" t="str">
        <f t="shared" si="3"/>
        <v/>
      </c>
      <c r="H89" s="54"/>
    </row>
    <row r="90" spans="1:8" x14ac:dyDescent="0.35">
      <c r="A90" s="51"/>
      <c r="B90" s="51"/>
      <c r="C90" s="51" t="str">
        <f>IFERROR(VLOOKUP(B90,منتجات!$A$3:$C$350,2,0),"")</f>
        <v/>
      </c>
      <c r="D90" s="51" t="str">
        <f>IFERROR(VLOOKUP(B90,منتجات!$A$3:$C$350,3,0),"")</f>
        <v/>
      </c>
      <c r="E90" s="51"/>
      <c r="F90" s="51" t="str">
        <f>IFERROR(INDEX(منتجات!$G$3:$G$114,MATCH(B90,منتجات!$A$3:$A$115,0)),"")</f>
        <v/>
      </c>
      <c r="G90" s="51" t="str">
        <f t="shared" si="3"/>
        <v/>
      </c>
      <c r="H90" s="53"/>
    </row>
    <row r="91" spans="1:8" x14ac:dyDescent="0.35">
      <c r="A91" s="49"/>
      <c r="B91" s="49"/>
      <c r="C91" s="49" t="str">
        <f>IFERROR(VLOOKUP(B91,منتجات!$A$3:$C$350,2,0),"")</f>
        <v/>
      </c>
      <c r="D91" s="49" t="str">
        <f>IFERROR(VLOOKUP(B91,منتجات!$A$3:$C$350,3,0),"")</f>
        <v/>
      </c>
      <c r="E91" s="49"/>
      <c r="F91" s="49" t="str">
        <f>IFERROR(INDEX(منتجات!$G$3:$G$114,MATCH(B91,منتجات!$A$3:$A$115,0)),"")</f>
        <v/>
      </c>
      <c r="G91" s="49" t="str">
        <f t="shared" si="3"/>
        <v/>
      </c>
      <c r="H91" s="54"/>
    </row>
    <row r="92" spans="1:8" x14ac:dyDescent="0.35">
      <c r="A92" s="51"/>
      <c r="B92" s="51"/>
      <c r="C92" s="51" t="str">
        <f>IFERROR(VLOOKUP(B92,منتجات!$A$3:$C$350,2,0),"")</f>
        <v/>
      </c>
      <c r="D92" s="51" t="str">
        <f>IFERROR(VLOOKUP(B92,منتجات!$A$3:$C$350,3,0),"")</f>
        <v/>
      </c>
      <c r="E92" s="51"/>
      <c r="F92" s="51" t="str">
        <f>IFERROR(INDEX(منتجات!$G$3:$G$114,MATCH(B92,منتجات!$A$3:$A$115,0)),"")</f>
        <v/>
      </c>
      <c r="G92" s="51" t="str">
        <f t="shared" si="3"/>
        <v/>
      </c>
      <c r="H92" s="53"/>
    </row>
    <row r="93" spans="1:8" x14ac:dyDescent="0.35">
      <c r="A93" s="49"/>
      <c r="B93" s="49"/>
      <c r="C93" s="49" t="str">
        <f>IFERROR(VLOOKUP(B93,منتجات!$A$3:$C$350,2,0),"")</f>
        <v/>
      </c>
      <c r="D93" s="49" t="str">
        <f>IFERROR(VLOOKUP(B93,منتجات!$A$3:$C$350,3,0),"")</f>
        <v/>
      </c>
      <c r="E93" s="49"/>
      <c r="F93" s="49" t="str">
        <f>IFERROR(INDEX(منتجات!$G$3:$G$114,MATCH(B93,منتجات!$A$3:$A$115,0)),"")</f>
        <v/>
      </c>
      <c r="G93" s="49" t="str">
        <f t="shared" si="3"/>
        <v/>
      </c>
      <c r="H93" s="54"/>
    </row>
    <row r="94" spans="1:8" x14ac:dyDescent="0.35">
      <c r="A94" s="51"/>
      <c r="B94" s="51"/>
      <c r="C94" s="51" t="str">
        <f>IFERROR(VLOOKUP(B94,منتجات!$A$3:$C$350,2,0),"")</f>
        <v/>
      </c>
      <c r="D94" s="51" t="str">
        <f>IFERROR(VLOOKUP(B94,منتجات!$A$3:$C$350,3,0),"")</f>
        <v/>
      </c>
      <c r="E94" s="51"/>
      <c r="F94" s="51" t="str">
        <f>IFERROR(INDEX(منتجات!$G$3:$G$114,MATCH(B94,منتجات!$A$3:$A$115,0)),"")</f>
        <v/>
      </c>
      <c r="G94" s="51" t="str">
        <f t="shared" si="3"/>
        <v/>
      </c>
      <c r="H94" s="53"/>
    </row>
    <row r="95" spans="1:8" x14ac:dyDescent="0.35">
      <c r="A95" s="49"/>
      <c r="B95" s="49"/>
      <c r="C95" s="49" t="str">
        <f>IFERROR(VLOOKUP(B95,منتجات!$A$3:$C$350,2,0),"")</f>
        <v/>
      </c>
      <c r="D95" s="49" t="str">
        <f>IFERROR(VLOOKUP(B95,منتجات!$A$3:$C$350,3,0),"")</f>
        <v/>
      </c>
      <c r="E95" s="49"/>
      <c r="F95" s="49" t="str">
        <f>IFERROR(INDEX(منتجات!$G$3:$G$114,MATCH(B95,منتجات!$A$3:$A$115,0)),"")</f>
        <v/>
      </c>
      <c r="G95" s="49" t="str">
        <f t="shared" si="3"/>
        <v/>
      </c>
      <c r="H95" s="54"/>
    </row>
    <row r="96" spans="1:8" x14ac:dyDescent="0.35">
      <c r="A96" s="51"/>
      <c r="B96" s="51"/>
      <c r="C96" s="51" t="str">
        <f>IFERROR(VLOOKUP(B96,منتجات!$A$3:$C$350,2,0),"")</f>
        <v/>
      </c>
      <c r="D96" s="51" t="str">
        <f>IFERROR(VLOOKUP(B96,منتجات!$A$3:$C$350,3,0),"")</f>
        <v/>
      </c>
      <c r="E96" s="51"/>
      <c r="F96" s="51" t="str">
        <f>IFERROR(INDEX(منتجات!$G$3:$G$114,MATCH(B96,منتجات!$A$3:$A$115,0)),"")</f>
        <v/>
      </c>
      <c r="G96" s="51" t="str">
        <f t="shared" si="3"/>
        <v/>
      </c>
      <c r="H96" s="53"/>
    </row>
    <row r="97" spans="1:8" x14ac:dyDescent="0.35">
      <c r="A97" s="49"/>
      <c r="B97" s="49"/>
      <c r="C97" s="49" t="str">
        <f>IFERROR(VLOOKUP(B97,منتجات!$A$3:$C$350,2,0),"")</f>
        <v/>
      </c>
      <c r="D97" s="49" t="str">
        <f>IFERROR(VLOOKUP(B97,منتجات!$A$3:$C$350,3,0),"")</f>
        <v/>
      </c>
      <c r="E97" s="49"/>
      <c r="F97" s="49" t="str">
        <f>IFERROR(INDEX(منتجات!$G$3:$G$114,MATCH(B97,منتجات!$A$3:$A$115,0)),"")</f>
        <v/>
      </c>
      <c r="G97" s="49" t="str">
        <f t="shared" si="3"/>
        <v/>
      </c>
      <c r="H97" s="54"/>
    </row>
    <row r="98" spans="1:8" x14ac:dyDescent="0.35">
      <c r="A98" s="51"/>
      <c r="B98" s="51"/>
      <c r="C98" s="51" t="str">
        <f>IFERROR(VLOOKUP(B98,منتجات!$A$3:$C$350,2,0),"")</f>
        <v/>
      </c>
      <c r="D98" s="51" t="str">
        <f>IFERROR(VLOOKUP(B98,منتجات!$A$3:$C$350,3,0),"")</f>
        <v/>
      </c>
      <c r="E98" s="51"/>
      <c r="F98" s="51" t="str">
        <f>IFERROR(INDEX(منتجات!$G$3:$G$114,MATCH(B98,منتجات!$A$3:$A$115,0)),"")</f>
        <v/>
      </c>
      <c r="G98" s="51" t="str">
        <f t="shared" si="3"/>
        <v/>
      </c>
      <c r="H98" s="53"/>
    </row>
    <row r="99" spans="1:8" x14ac:dyDescent="0.35">
      <c r="A99" s="49"/>
      <c r="B99" s="49"/>
      <c r="C99" s="49" t="str">
        <f>IFERROR(VLOOKUP(B99,منتجات!$A$3:$C$350,2,0),"")</f>
        <v/>
      </c>
      <c r="D99" s="49" t="str">
        <f>IFERROR(VLOOKUP(B99,منتجات!$A$3:$C$350,3,0),"")</f>
        <v/>
      </c>
      <c r="E99" s="49"/>
      <c r="F99" s="49" t="str">
        <f>IFERROR(INDEX(منتجات!$G$3:$G$114,MATCH(B99,منتجات!$A$3:$A$115,0)),"")</f>
        <v/>
      </c>
      <c r="G99" s="49" t="str">
        <f t="shared" si="3"/>
        <v/>
      </c>
      <c r="H99" s="54"/>
    </row>
    <row r="100" spans="1:8" x14ac:dyDescent="0.35">
      <c r="A100" s="51"/>
      <c r="B100" s="51"/>
      <c r="C100" s="51" t="str">
        <f>IFERROR(VLOOKUP(B100,منتجات!$A$3:$C$350,2,0),"")</f>
        <v/>
      </c>
      <c r="D100" s="51" t="str">
        <f>IFERROR(VLOOKUP(B100,منتجات!$A$3:$C$350,3,0),"")</f>
        <v/>
      </c>
      <c r="E100" s="51"/>
      <c r="F100" s="51" t="str">
        <f>IFERROR(INDEX(منتجات!$G$3:$G$114,MATCH(B100,منتجات!$A$3:$A$115,0)),"")</f>
        <v/>
      </c>
      <c r="G100" s="51" t="str">
        <f t="shared" si="3"/>
        <v/>
      </c>
      <c r="H100" s="53"/>
    </row>
    <row r="101" spans="1:8" x14ac:dyDescent="0.35">
      <c r="A101" s="49"/>
      <c r="B101" s="49"/>
      <c r="C101" s="49" t="str">
        <f>IFERROR(VLOOKUP(B101,منتجات!$A$3:$C$350,2,0),"")</f>
        <v/>
      </c>
      <c r="D101" s="49" t="str">
        <f>IFERROR(VLOOKUP(B101,منتجات!$A$3:$C$350,3,0),"")</f>
        <v/>
      </c>
      <c r="E101" s="49"/>
      <c r="F101" s="49" t="str">
        <f>IFERROR(INDEX(منتجات!$G$3:$G$114,MATCH(B101,منتجات!$A$3:$A$115,0)),"")</f>
        <v/>
      </c>
      <c r="G101" s="49" t="str">
        <f t="shared" si="3"/>
        <v/>
      </c>
      <c r="H101" s="54"/>
    </row>
    <row r="102" spans="1:8" x14ac:dyDescent="0.35">
      <c r="A102" s="51"/>
      <c r="B102" s="51"/>
      <c r="C102" s="51" t="str">
        <f>IFERROR(VLOOKUP(B102,منتجات!$A$3:$C$350,2,0),"")</f>
        <v/>
      </c>
      <c r="D102" s="51" t="str">
        <f>IFERROR(VLOOKUP(B102,منتجات!$A$3:$C$350,3,0),"")</f>
        <v/>
      </c>
      <c r="E102" s="51"/>
      <c r="F102" s="51" t="str">
        <f>IFERROR(INDEX(منتجات!$G$3:$G$114,MATCH(B102,منتجات!$A$3:$A$115,0)),"")</f>
        <v/>
      </c>
      <c r="G102" s="51" t="str">
        <f t="shared" si="3"/>
        <v/>
      </c>
      <c r="H102" s="53"/>
    </row>
    <row r="103" spans="1:8" x14ac:dyDescent="0.35">
      <c r="A103" s="49"/>
      <c r="B103" s="49"/>
      <c r="C103" s="49" t="str">
        <f>IFERROR(VLOOKUP(B103,منتجات!$A$3:$C$350,2,0),"")</f>
        <v/>
      </c>
      <c r="D103" s="49" t="str">
        <f>IFERROR(VLOOKUP(B103,منتجات!$A$3:$C$350,3,0),"")</f>
        <v/>
      </c>
      <c r="E103" s="49"/>
      <c r="F103" s="49" t="str">
        <f>IFERROR(INDEX(منتجات!$G$3:$G$114,MATCH(B103,منتجات!$A$3:$A$115,0)),"")</f>
        <v/>
      </c>
      <c r="G103" s="49" t="str">
        <f t="shared" si="3"/>
        <v/>
      </c>
      <c r="H103" s="54"/>
    </row>
    <row r="104" spans="1:8" x14ac:dyDescent="0.35">
      <c r="A104" s="51"/>
      <c r="B104" s="51"/>
      <c r="C104" s="51" t="str">
        <f>IFERROR(VLOOKUP(B104,منتجات!$A$3:$C$350,2,0),"")</f>
        <v/>
      </c>
      <c r="D104" s="51" t="str">
        <f>IFERROR(VLOOKUP(B104,منتجات!$A$3:$C$350,3,0),"")</f>
        <v/>
      </c>
      <c r="E104" s="51"/>
      <c r="F104" s="51" t="str">
        <f>IFERROR(INDEX(منتجات!$G$3:$G$114,MATCH(B104,منتجات!$A$3:$A$115,0)),"")</f>
        <v/>
      </c>
      <c r="G104" s="51" t="str">
        <f t="shared" si="3"/>
        <v/>
      </c>
      <c r="H104" s="53"/>
    </row>
    <row r="105" spans="1:8" x14ac:dyDescent="0.35">
      <c r="A105" s="49"/>
      <c r="B105" s="49"/>
      <c r="C105" s="49" t="str">
        <f>IFERROR(VLOOKUP(B105,منتجات!$A$3:$C$350,2,0),"")</f>
        <v/>
      </c>
      <c r="D105" s="49" t="str">
        <f>IFERROR(VLOOKUP(B105,منتجات!$A$3:$C$350,3,0),"")</f>
        <v/>
      </c>
      <c r="E105" s="49"/>
      <c r="F105" s="49" t="str">
        <f>IFERROR(INDEX(منتجات!$G$3:$G$114,MATCH(B105,منتجات!$A$3:$A$115,0)),"")</f>
        <v/>
      </c>
      <c r="G105" s="49" t="str">
        <f t="shared" si="3"/>
        <v/>
      </c>
      <c r="H105" s="54"/>
    </row>
    <row r="106" spans="1:8" x14ac:dyDescent="0.35">
      <c r="A106" s="51"/>
      <c r="B106" s="51"/>
      <c r="C106" s="51" t="str">
        <f>IFERROR(VLOOKUP(B106,منتجات!$A$3:$C$350,2,0),"")</f>
        <v/>
      </c>
      <c r="D106" s="51" t="str">
        <f>IFERROR(VLOOKUP(B106,منتجات!$A$3:$C$350,3,0),"")</f>
        <v/>
      </c>
      <c r="E106" s="51"/>
      <c r="F106" s="51" t="str">
        <f>IFERROR(INDEX(منتجات!$G$3:$G$114,MATCH(B106,منتجات!$A$3:$A$115,0)),"")</f>
        <v/>
      </c>
      <c r="G106" s="51" t="str">
        <f t="shared" si="3"/>
        <v/>
      </c>
      <c r="H106" s="53"/>
    </row>
    <row r="107" spans="1:8" x14ac:dyDescent="0.35">
      <c r="A107" s="49"/>
      <c r="B107" s="49"/>
      <c r="C107" s="49" t="str">
        <f>IFERROR(VLOOKUP(B107,منتجات!$A$3:$C$350,2,0),"")</f>
        <v/>
      </c>
      <c r="D107" s="49" t="str">
        <f>IFERROR(VLOOKUP(B107,منتجات!$A$3:$C$350,3,0),"")</f>
        <v/>
      </c>
      <c r="E107" s="49"/>
      <c r="F107" s="49" t="str">
        <f>IFERROR(INDEX(منتجات!$G$3:$G$114,MATCH(B107,منتجات!$A$3:$A$115,0)),"")</f>
        <v/>
      </c>
      <c r="G107" s="49" t="str">
        <f t="shared" si="3"/>
        <v/>
      </c>
      <c r="H107" s="54"/>
    </row>
    <row r="108" spans="1:8" x14ac:dyDescent="0.35">
      <c r="A108" s="51"/>
      <c r="B108" s="51"/>
      <c r="C108" s="51" t="str">
        <f>IFERROR(VLOOKUP(B108,منتجات!$A$3:$C$350,2,0),"")</f>
        <v/>
      </c>
      <c r="D108" s="51" t="str">
        <f>IFERROR(VLOOKUP(B108,منتجات!$A$3:$C$350,3,0),"")</f>
        <v/>
      </c>
      <c r="E108" s="51"/>
      <c r="F108" s="51" t="str">
        <f>IFERROR(INDEX(منتجات!$G$3:$G$114,MATCH(B108,منتجات!$A$3:$A$115,0)),"")</f>
        <v/>
      </c>
      <c r="G108" s="51" t="str">
        <f t="shared" si="3"/>
        <v/>
      </c>
      <c r="H108" s="53"/>
    </row>
    <row r="109" spans="1:8" x14ac:dyDescent="0.35">
      <c r="A109" s="49"/>
      <c r="B109" s="49"/>
      <c r="C109" s="49" t="str">
        <f>IFERROR(VLOOKUP(B109,منتجات!$A$3:$C$350,2,0),"")</f>
        <v/>
      </c>
      <c r="D109" s="49" t="str">
        <f>IFERROR(VLOOKUP(B109,منتجات!$A$3:$C$350,3,0),"")</f>
        <v/>
      </c>
      <c r="E109" s="49"/>
      <c r="F109" s="49" t="str">
        <f>IFERROR(INDEX(منتجات!$G$3:$G$114,MATCH(B109,منتجات!$A$3:$A$115,0)),"")</f>
        <v/>
      </c>
      <c r="G109" s="49" t="str">
        <f t="shared" si="3"/>
        <v/>
      </c>
      <c r="H109" s="54"/>
    </row>
    <row r="110" spans="1:8" x14ac:dyDescent="0.35">
      <c r="A110" s="51"/>
      <c r="B110" s="51"/>
      <c r="C110" s="51" t="str">
        <f>IFERROR(VLOOKUP(B110,منتجات!$A$3:$C$350,2,0),"")</f>
        <v/>
      </c>
      <c r="D110" s="51" t="str">
        <f>IFERROR(VLOOKUP(B110,منتجات!$A$3:$C$350,3,0),"")</f>
        <v/>
      </c>
      <c r="E110" s="51"/>
      <c r="F110" s="51" t="str">
        <f>IFERROR(INDEX(منتجات!$G$3:$G$114,MATCH(B110,منتجات!$A$3:$A$115,0)),"")</f>
        <v/>
      </c>
      <c r="G110" s="51" t="str">
        <f t="shared" si="3"/>
        <v/>
      </c>
      <c r="H110" s="53"/>
    </row>
    <row r="111" spans="1:8" x14ac:dyDescent="0.35">
      <c r="A111" s="49"/>
      <c r="B111" s="49"/>
      <c r="C111" s="49" t="str">
        <f>IFERROR(VLOOKUP(B111,منتجات!$A$3:$C$350,2,0),"")</f>
        <v/>
      </c>
      <c r="D111" s="49" t="str">
        <f>IFERROR(VLOOKUP(B111,منتجات!$A$3:$C$350,3,0),"")</f>
        <v/>
      </c>
      <c r="E111" s="49"/>
      <c r="F111" s="49" t="str">
        <f>IFERROR(INDEX(منتجات!$G$3:$G$114,MATCH(B111,منتجات!$A$3:$A$115,0)),"")</f>
        <v/>
      </c>
      <c r="G111" s="49" t="str">
        <f t="shared" si="3"/>
        <v/>
      </c>
      <c r="H111" s="54"/>
    </row>
    <row r="112" spans="1:8" x14ac:dyDescent="0.35">
      <c r="A112" s="51"/>
      <c r="B112" s="51"/>
      <c r="C112" s="51" t="str">
        <f>IFERROR(VLOOKUP(B112,منتجات!$A$3:$C$350,2,0),"")</f>
        <v/>
      </c>
      <c r="D112" s="51" t="str">
        <f>IFERROR(VLOOKUP(B112,منتجات!$A$3:$C$350,3,0),"")</f>
        <v/>
      </c>
      <c r="E112" s="51"/>
      <c r="F112" s="51" t="str">
        <f>IFERROR(INDEX(منتجات!$G$3:$G$114,MATCH(B112,منتجات!$A$3:$A$115,0)),"")</f>
        <v/>
      </c>
      <c r="G112" s="51" t="str">
        <f t="shared" si="3"/>
        <v/>
      </c>
      <c r="H112" s="53"/>
    </row>
    <row r="113" spans="1:8" x14ac:dyDescent="0.35">
      <c r="A113" s="49"/>
      <c r="B113" s="49"/>
      <c r="C113" s="49" t="str">
        <f>IFERROR(VLOOKUP(B113,منتجات!$A$3:$C$350,2,0),"")</f>
        <v/>
      </c>
      <c r="D113" s="49" t="str">
        <f>IFERROR(VLOOKUP(B113,منتجات!$A$3:$C$350,3,0),"")</f>
        <v/>
      </c>
      <c r="E113" s="49"/>
      <c r="F113" s="49" t="str">
        <f>IFERROR(INDEX(منتجات!$G$3:$G$114,MATCH(B113,منتجات!$A$3:$A$115,0)),"")</f>
        <v/>
      </c>
      <c r="G113" s="49" t="str">
        <f t="shared" si="3"/>
        <v/>
      </c>
      <c r="H113" s="54"/>
    </row>
    <row r="114" spans="1:8" x14ac:dyDescent="0.35">
      <c r="A114" s="51"/>
      <c r="B114" s="51"/>
      <c r="C114" s="51" t="str">
        <f>IFERROR(VLOOKUP(B114,منتجات!$A$3:$C$350,2,0),"")</f>
        <v/>
      </c>
      <c r="D114" s="51" t="str">
        <f>IFERROR(VLOOKUP(B114,منتجات!$A$3:$C$350,3,0),"")</f>
        <v/>
      </c>
      <c r="E114" s="51"/>
      <c r="F114" s="51" t="str">
        <f>IFERROR(INDEX(منتجات!$G$3:$G$114,MATCH(B114,منتجات!$A$3:$A$115,0)),"")</f>
        <v/>
      </c>
      <c r="G114" s="51" t="str">
        <f t="shared" si="3"/>
        <v/>
      </c>
      <c r="H114" s="53"/>
    </row>
    <row r="115" spans="1:8" x14ac:dyDescent="0.35">
      <c r="A115" s="49"/>
      <c r="B115" s="49"/>
      <c r="C115" s="49" t="str">
        <f>IFERROR(VLOOKUP(B115,منتجات!$A$3:$C$350,2,0),"")</f>
        <v/>
      </c>
      <c r="D115" s="49" t="str">
        <f>IFERROR(VLOOKUP(B115,منتجات!$A$3:$C$350,3,0),"")</f>
        <v/>
      </c>
      <c r="E115" s="49"/>
      <c r="F115" s="49" t="str">
        <f>IFERROR(INDEX(منتجات!$G$3:$G$114,MATCH(B115,منتجات!$A$3:$A$115,0)),"")</f>
        <v/>
      </c>
      <c r="G115" s="49" t="str">
        <f t="shared" si="3"/>
        <v/>
      </c>
      <c r="H115" s="54"/>
    </row>
    <row r="116" spans="1:8" x14ac:dyDescent="0.35">
      <c r="A116" s="51"/>
      <c r="B116" s="51"/>
      <c r="C116" s="51" t="str">
        <f>IFERROR(VLOOKUP(B116,منتجات!$A$3:$C$350,2,0),"")</f>
        <v/>
      </c>
      <c r="D116" s="51" t="str">
        <f>IFERROR(VLOOKUP(B116,منتجات!$A$3:$C$350,3,0),"")</f>
        <v/>
      </c>
      <c r="E116" s="51"/>
      <c r="F116" s="51" t="str">
        <f>IFERROR(INDEX(منتجات!$G$3:$G$114,MATCH(B116,منتجات!$A$3:$A$115,0)),"")</f>
        <v/>
      </c>
      <c r="G116" s="51" t="str">
        <f t="shared" si="3"/>
        <v/>
      </c>
      <c r="H116" s="53"/>
    </row>
    <row r="117" spans="1:8" x14ac:dyDescent="0.35">
      <c r="A117" s="49"/>
      <c r="B117" s="49"/>
      <c r="C117" s="49" t="str">
        <f>IFERROR(VLOOKUP(B117,منتجات!$A$3:$C$350,2,0),"")</f>
        <v/>
      </c>
      <c r="D117" s="49" t="str">
        <f>IFERROR(VLOOKUP(B117,منتجات!$A$3:$C$350,3,0),"")</f>
        <v/>
      </c>
      <c r="E117" s="49"/>
      <c r="F117" s="49" t="str">
        <f>IFERROR(INDEX(منتجات!$G$3:$G$114,MATCH(B117,منتجات!$A$3:$A$115,0)),"")</f>
        <v/>
      </c>
      <c r="G117" s="49" t="str">
        <f t="shared" si="3"/>
        <v/>
      </c>
      <c r="H117" s="54"/>
    </row>
    <row r="118" spans="1:8" x14ac:dyDescent="0.35">
      <c r="A118" s="51"/>
      <c r="B118" s="51"/>
      <c r="C118" s="51" t="str">
        <f>IFERROR(VLOOKUP(B118,منتجات!$A$3:$C$350,2,0),"")</f>
        <v/>
      </c>
      <c r="D118" s="51" t="str">
        <f>IFERROR(VLOOKUP(B118,منتجات!$A$3:$C$350,3,0),"")</f>
        <v/>
      </c>
      <c r="E118" s="51"/>
      <c r="F118" s="51" t="str">
        <f>IFERROR(INDEX(منتجات!$G$3:$G$114,MATCH(B118,منتجات!$A$3:$A$115,0)),"")</f>
        <v/>
      </c>
      <c r="G118" s="51" t="str">
        <f t="shared" si="3"/>
        <v/>
      </c>
      <c r="H118" s="53"/>
    </row>
    <row r="119" spans="1:8" x14ac:dyDescent="0.35">
      <c r="A119" s="49"/>
      <c r="B119" s="49"/>
      <c r="C119" s="49" t="str">
        <f>IFERROR(VLOOKUP(B119,منتجات!$A$3:$C$350,2,0),"")</f>
        <v/>
      </c>
      <c r="D119" s="49" t="str">
        <f>IFERROR(VLOOKUP(B119,منتجات!$A$3:$C$350,3,0),"")</f>
        <v/>
      </c>
      <c r="E119" s="49"/>
      <c r="F119" s="49" t="str">
        <f>IFERROR(INDEX(منتجات!$G$3:$G$114,MATCH(B119,منتجات!$A$3:$A$115,0)),"")</f>
        <v/>
      </c>
      <c r="G119" s="49" t="str">
        <f t="shared" si="3"/>
        <v/>
      </c>
      <c r="H119" s="54"/>
    </row>
    <row r="120" spans="1:8" x14ac:dyDescent="0.35">
      <c r="A120" s="51"/>
      <c r="B120" s="51"/>
      <c r="C120" s="51" t="str">
        <f>IFERROR(VLOOKUP(B120,منتجات!$A$3:$C$350,2,0),"")</f>
        <v/>
      </c>
      <c r="D120" s="51" t="str">
        <f>IFERROR(VLOOKUP(B120,منتجات!$A$3:$C$350,3,0),"")</f>
        <v/>
      </c>
      <c r="E120" s="51"/>
      <c r="F120" s="51" t="str">
        <f>IFERROR(INDEX(منتجات!$G$3:$G$114,MATCH(B120,منتجات!$A$3:$A$115,0)),"")</f>
        <v/>
      </c>
      <c r="G120" s="51" t="str">
        <f t="shared" si="3"/>
        <v/>
      </c>
      <c r="H120" s="53"/>
    </row>
    <row r="121" spans="1:8" x14ac:dyDescent="0.35">
      <c r="A121" s="49"/>
      <c r="B121" s="49"/>
      <c r="C121" s="49" t="str">
        <f>IFERROR(VLOOKUP(B121,منتجات!$A$3:$C$350,2,0),"")</f>
        <v/>
      </c>
      <c r="D121" s="49" t="str">
        <f>IFERROR(VLOOKUP(B121,منتجات!$A$3:$C$350,3,0),"")</f>
        <v/>
      </c>
      <c r="E121" s="49"/>
      <c r="F121" s="49" t="str">
        <f>IFERROR(INDEX(منتجات!$G$3:$G$114,MATCH(B121,منتجات!$A$3:$A$115,0)),"")</f>
        <v/>
      </c>
      <c r="G121" s="49" t="str">
        <f t="shared" si="3"/>
        <v/>
      </c>
      <c r="H121" s="54"/>
    </row>
    <row r="122" spans="1:8" x14ac:dyDescent="0.35">
      <c r="A122" s="51"/>
      <c r="B122" s="51"/>
      <c r="C122" s="51" t="str">
        <f>IFERROR(VLOOKUP(B122,منتجات!$A$3:$C$350,2,0),"")</f>
        <v/>
      </c>
      <c r="D122" s="51" t="str">
        <f>IFERROR(VLOOKUP(B122,منتجات!$A$3:$C$350,3,0),"")</f>
        <v/>
      </c>
      <c r="E122" s="51"/>
      <c r="F122" s="51" t="str">
        <f>IFERROR(INDEX(منتجات!$G$3:$G$114,MATCH(B122,منتجات!$A$3:$A$115,0)),"")</f>
        <v/>
      </c>
      <c r="G122" s="51" t="str">
        <f t="shared" si="3"/>
        <v/>
      </c>
      <c r="H122" s="53"/>
    </row>
    <row r="123" spans="1:8" x14ac:dyDescent="0.35">
      <c r="A123" s="49"/>
      <c r="B123" s="49"/>
      <c r="C123" s="49" t="str">
        <f>IFERROR(VLOOKUP(B123,منتجات!$A$3:$C$350,2,0),"")</f>
        <v/>
      </c>
      <c r="D123" s="49" t="str">
        <f>IFERROR(VLOOKUP(B123,منتجات!$A$3:$C$350,3,0),"")</f>
        <v/>
      </c>
      <c r="E123" s="49"/>
      <c r="F123" s="49" t="str">
        <f>IFERROR(INDEX(منتجات!$G$3:$G$114,MATCH(B123,منتجات!$A$3:$A$115,0)),"")</f>
        <v/>
      </c>
      <c r="G123" s="49" t="str">
        <f t="shared" si="3"/>
        <v/>
      </c>
      <c r="H123" s="54"/>
    </row>
    <row r="124" spans="1:8" x14ac:dyDescent="0.35">
      <c r="A124" s="51"/>
      <c r="B124" s="51"/>
      <c r="C124" s="51" t="str">
        <f>IFERROR(VLOOKUP(B124,منتجات!$A$3:$C$350,2,0),"")</f>
        <v/>
      </c>
      <c r="D124" s="51" t="str">
        <f>IFERROR(VLOOKUP(B124,منتجات!$A$3:$C$350,3,0),"")</f>
        <v/>
      </c>
      <c r="E124" s="51"/>
      <c r="F124" s="51" t="str">
        <f>IFERROR(INDEX(منتجات!$G$3:$G$114,MATCH(B124,منتجات!$A$3:$A$115,0)),"")</f>
        <v/>
      </c>
      <c r="G124" s="51" t="str">
        <f t="shared" si="3"/>
        <v/>
      </c>
      <c r="H124" s="53"/>
    </row>
    <row r="125" spans="1:8" x14ac:dyDescent="0.35">
      <c r="A125" s="49"/>
      <c r="B125" s="49"/>
      <c r="C125" s="49" t="str">
        <f>IFERROR(VLOOKUP(B125,منتجات!$A$3:$C$350,2,0),"")</f>
        <v/>
      </c>
      <c r="D125" s="49" t="str">
        <f>IFERROR(VLOOKUP(B125,منتجات!$A$3:$C$350,3,0),"")</f>
        <v/>
      </c>
      <c r="E125" s="49"/>
      <c r="F125" s="49" t="str">
        <f>IFERROR(INDEX(منتجات!$G$3:$G$114,MATCH(B125,منتجات!$A$3:$A$115,0)),"")</f>
        <v/>
      </c>
      <c r="G125" s="49" t="str">
        <f t="shared" si="3"/>
        <v/>
      </c>
      <c r="H125" s="54"/>
    </row>
    <row r="126" spans="1:8" x14ac:dyDescent="0.35">
      <c r="A126" s="51"/>
      <c r="B126" s="51"/>
      <c r="C126" s="51" t="str">
        <f>IFERROR(VLOOKUP(B126,منتجات!$A$3:$C$350,2,0),"")</f>
        <v/>
      </c>
      <c r="D126" s="51" t="str">
        <f>IFERROR(VLOOKUP(B126,منتجات!$A$3:$C$350,3,0),"")</f>
        <v/>
      </c>
      <c r="E126" s="51"/>
      <c r="F126" s="51" t="str">
        <f>IFERROR(INDEX(منتجات!$G$3:$G$114,MATCH(B126,منتجات!$A$3:$A$115,0)),"")</f>
        <v/>
      </c>
      <c r="G126" s="51" t="str">
        <f t="shared" si="3"/>
        <v/>
      </c>
      <c r="H126" s="53"/>
    </row>
    <row r="127" spans="1:8" x14ac:dyDescent="0.35">
      <c r="A127" s="49"/>
      <c r="B127" s="49"/>
      <c r="C127" s="49" t="str">
        <f>IFERROR(VLOOKUP(B127,منتجات!$A$3:$C$350,2,0),"")</f>
        <v/>
      </c>
      <c r="D127" s="49" t="str">
        <f>IFERROR(VLOOKUP(B127,منتجات!$A$3:$C$350,3,0),"")</f>
        <v/>
      </c>
      <c r="E127" s="49"/>
      <c r="F127" s="49" t="str">
        <f>IFERROR(INDEX(منتجات!$G$3:$G$114,MATCH(B127,منتجات!$A$3:$A$115,0)),"")</f>
        <v/>
      </c>
      <c r="G127" s="49" t="str">
        <f t="shared" si="3"/>
        <v/>
      </c>
      <c r="H127" s="54"/>
    </row>
    <row r="128" spans="1:8" x14ac:dyDescent="0.35">
      <c r="A128" s="51"/>
      <c r="B128" s="51"/>
      <c r="C128" s="51" t="str">
        <f>IFERROR(VLOOKUP(B128,منتجات!$A$3:$C$350,2,0),"")</f>
        <v/>
      </c>
      <c r="D128" s="51" t="str">
        <f>IFERROR(VLOOKUP(B128,منتجات!$A$3:$C$350,3,0),"")</f>
        <v/>
      </c>
      <c r="E128" s="51"/>
      <c r="F128" s="51" t="str">
        <f>IFERROR(INDEX(منتجات!$G$3:$G$114,MATCH(B128,منتجات!$A$3:$A$115,0)),"")</f>
        <v/>
      </c>
      <c r="G128" s="51" t="str">
        <f t="shared" si="3"/>
        <v/>
      </c>
      <c r="H128" s="53"/>
    </row>
    <row r="129" spans="1:8" x14ac:dyDescent="0.35">
      <c r="A129" s="49"/>
      <c r="B129" s="49"/>
      <c r="C129" s="49" t="str">
        <f>IFERROR(VLOOKUP(B129,منتجات!$A$3:$C$350,2,0),"")</f>
        <v/>
      </c>
      <c r="D129" s="49" t="str">
        <f>IFERROR(VLOOKUP(B129,منتجات!$A$3:$C$350,3,0),"")</f>
        <v/>
      </c>
      <c r="E129" s="49"/>
      <c r="F129" s="49" t="str">
        <f>IFERROR(INDEX(منتجات!$G$3:$G$114,MATCH(B129,منتجات!$A$3:$A$115,0)),"")</f>
        <v/>
      </c>
      <c r="G129" s="49" t="str">
        <f t="shared" si="3"/>
        <v/>
      </c>
      <c r="H129" s="54"/>
    </row>
    <row r="130" spans="1:8" x14ac:dyDescent="0.35">
      <c r="A130" s="51"/>
      <c r="B130" s="51"/>
      <c r="C130" s="51" t="str">
        <f>IFERROR(VLOOKUP(B130,منتجات!$A$3:$C$350,2,0),"")</f>
        <v/>
      </c>
      <c r="D130" s="51" t="str">
        <f>IFERROR(VLOOKUP(B130,منتجات!$A$3:$C$350,3,0),"")</f>
        <v/>
      </c>
      <c r="E130" s="51"/>
      <c r="F130" s="51" t="str">
        <f>IFERROR(INDEX(منتجات!$G$3:$G$114,MATCH(B130,منتجات!$A$3:$A$115,0)),"")</f>
        <v/>
      </c>
      <c r="G130" s="51" t="str">
        <f t="shared" si="3"/>
        <v/>
      </c>
      <c r="H130" s="53"/>
    </row>
    <row r="131" spans="1:8" x14ac:dyDescent="0.35">
      <c r="A131" s="49"/>
      <c r="B131" s="49"/>
      <c r="C131" s="49" t="str">
        <f>IFERROR(VLOOKUP(B131,منتجات!$A$3:$C$350,2,0),"")</f>
        <v/>
      </c>
      <c r="D131" s="49" t="str">
        <f>IFERROR(VLOOKUP(B131,منتجات!$A$3:$C$350,3,0),"")</f>
        <v/>
      </c>
      <c r="E131" s="49"/>
      <c r="F131" s="49" t="str">
        <f>IFERROR(INDEX(منتجات!$G$3:$G$114,MATCH(B131,منتجات!$A$3:$A$115,0)),"")</f>
        <v/>
      </c>
      <c r="G131" s="49" t="str">
        <f t="shared" si="3"/>
        <v/>
      </c>
      <c r="H131" s="54"/>
    </row>
    <row r="132" spans="1:8" x14ac:dyDescent="0.35">
      <c r="A132" s="51"/>
      <c r="B132" s="51"/>
      <c r="C132" s="51" t="str">
        <f>IFERROR(VLOOKUP(B132,منتجات!$A$3:$C$350,2,0),"")</f>
        <v/>
      </c>
      <c r="D132" s="51" t="str">
        <f>IFERROR(VLOOKUP(B132,منتجات!$A$3:$C$350,3,0),"")</f>
        <v/>
      </c>
      <c r="E132" s="51"/>
      <c r="F132" s="51" t="str">
        <f>IFERROR(INDEX(منتجات!$G$3:$G$114,MATCH(B132,منتجات!$A$3:$A$115,0)),"")</f>
        <v/>
      </c>
      <c r="G132" s="51" t="str">
        <f t="shared" si="3"/>
        <v/>
      </c>
      <c r="H132" s="53"/>
    </row>
    <row r="133" spans="1:8" x14ac:dyDescent="0.35">
      <c r="A133" s="49"/>
      <c r="B133" s="49"/>
      <c r="C133" s="49" t="str">
        <f>IFERROR(VLOOKUP(B133,منتجات!$A$3:$C$350,2,0),"")</f>
        <v/>
      </c>
      <c r="D133" s="49" t="str">
        <f>IFERROR(VLOOKUP(B133,منتجات!$A$3:$C$350,3,0),"")</f>
        <v/>
      </c>
      <c r="E133" s="49"/>
      <c r="F133" s="49" t="str">
        <f>IFERROR(INDEX(منتجات!$G$3:$G$114,MATCH(B133,منتجات!$A$3:$A$115,0)),"")</f>
        <v/>
      </c>
      <c r="G133" s="49" t="str">
        <f t="shared" si="3"/>
        <v/>
      </c>
      <c r="H133" s="54"/>
    </row>
    <row r="134" spans="1:8" x14ac:dyDescent="0.35">
      <c r="A134" s="51"/>
      <c r="B134" s="51"/>
      <c r="C134" s="51" t="str">
        <f>IFERROR(VLOOKUP(B134,منتجات!$A$3:$C$350,2,0),"")</f>
        <v/>
      </c>
      <c r="D134" s="51" t="str">
        <f>IFERROR(VLOOKUP(B134,منتجات!$A$3:$C$350,3,0),"")</f>
        <v/>
      </c>
      <c r="E134" s="51"/>
      <c r="F134" s="51" t="str">
        <f>IFERROR(INDEX(منتجات!$G$3:$G$114,MATCH(B134,منتجات!$A$3:$A$115,0)),"")</f>
        <v/>
      </c>
      <c r="G134" s="51" t="str">
        <f t="shared" si="3"/>
        <v/>
      </c>
      <c r="H134" s="53"/>
    </row>
    <row r="135" spans="1:8" x14ac:dyDescent="0.35">
      <c r="A135" s="49"/>
      <c r="B135" s="49"/>
      <c r="C135" s="49" t="str">
        <f>IFERROR(VLOOKUP(B135,منتجات!$A$3:$C$350,2,0),"")</f>
        <v/>
      </c>
      <c r="D135" s="49" t="str">
        <f>IFERROR(VLOOKUP(B135,منتجات!$A$3:$C$350,3,0),"")</f>
        <v/>
      </c>
      <c r="E135" s="49"/>
      <c r="F135" s="49" t="str">
        <f>IFERROR(INDEX(منتجات!$G$3:$G$114,MATCH(B135,منتجات!$A$3:$A$115,0)),"")</f>
        <v/>
      </c>
      <c r="G135" s="49" t="str">
        <f t="shared" si="3"/>
        <v/>
      </c>
      <c r="H135" s="54"/>
    </row>
    <row r="136" spans="1:8" x14ac:dyDescent="0.35">
      <c r="A136" s="51"/>
      <c r="B136" s="51"/>
      <c r="C136" s="51" t="str">
        <f>IFERROR(VLOOKUP(B136,منتجات!$A$3:$C$350,2,0),"")</f>
        <v/>
      </c>
      <c r="D136" s="51" t="str">
        <f>IFERROR(VLOOKUP(B136,منتجات!$A$3:$C$350,3,0),"")</f>
        <v/>
      </c>
      <c r="E136" s="51"/>
      <c r="F136" s="51" t="str">
        <f>IFERROR(INDEX(منتجات!$G$3:$G$114,MATCH(B136,منتجات!$A$3:$A$115,0)),"")</f>
        <v/>
      </c>
      <c r="G136" s="51" t="str">
        <f t="shared" si="3"/>
        <v/>
      </c>
      <c r="H136" s="53"/>
    </row>
    <row r="137" spans="1:8" x14ac:dyDescent="0.35">
      <c r="A137" s="49"/>
      <c r="B137" s="49"/>
      <c r="C137" s="49" t="str">
        <f>IFERROR(VLOOKUP(B137,منتجات!$A$3:$C$350,2,0),"")</f>
        <v/>
      </c>
      <c r="D137" s="49" t="str">
        <f>IFERROR(VLOOKUP(B137,منتجات!$A$3:$C$350,3,0),"")</f>
        <v/>
      </c>
      <c r="E137" s="49"/>
      <c r="F137" s="49" t="str">
        <f>IFERROR(INDEX(منتجات!$G$3:$G$114,MATCH(B137,منتجات!$A$3:$A$115,0)),"")</f>
        <v/>
      </c>
      <c r="G137" s="49" t="str">
        <f t="shared" si="3"/>
        <v/>
      </c>
      <c r="H137" s="54"/>
    </row>
    <row r="138" spans="1:8" x14ac:dyDescent="0.35">
      <c r="A138" s="51"/>
      <c r="B138" s="51"/>
      <c r="C138" s="51" t="str">
        <f>IFERROR(VLOOKUP(B138,منتجات!$A$3:$C$350,2,0),"")</f>
        <v/>
      </c>
      <c r="D138" s="51" t="str">
        <f>IFERROR(VLOOKUP(B138,منتجات!$A$3:$C$350,3,0),"")</f>
        <v/>
      </c>
      <c r="E138" s="51"/>
      <c r="F138" s="51" t="str">
        <f>IFERROR(INDEX(منتجات!$G$3:$G$114,MATCH(B138,منتجات!$A$3:$A$115,0)),"")</f>
        <v/>
      </c>
      <c r="G138" s="51" t="str">
        <f t="shared" si="3"/>
        <v/>
      </c>
      <c r="H138" s="53"/>
    </row>
    <row r="139" spans="1:8" x14ac:dyDescent="0.35">
      <c r="A139" s="49"/>
      <c r="B139" s="49"/>
      <c r="C139" s="49" t="str">
        <f>IFERROR(VLOOKUP(B139,منتجات!$A$3:$C$350,2,0),"")</f>
        <v/>
      </c>
      <c r="D139" s="49" t="str">
        <f>IFERROR(VLOOKUP(B139,منتجات!$A$3:$C$350,3,0),"")</f>
        <v/>
      </c>
      <c r="E139" s="49"/>
      <c r="F139" s="49" t="str">
        <f>IFERROR(INDEX(منتجات!$G$3:$G$114,MATCH(B139,منتجات!$A$3:$A$115,0)),"")</f>
        <v/>
      </c>
      <c r="G139" s="49" t="str">
        <f t="shared" si="3"/>
        <v/>
      </c>
      <c r="H139" s="54"/>
    </row>
    <row r="140" spans="1:8" x14ac:dyDescent="0.35">
      <c r="A140" s="51"/>
      <c r="B140" s="51"/>
      <c r="C140" s="51" t="str">
        <f>IFERROR(VLOOKUP(B140,منتجات!$A$3:$C$350,2,0),"")</f>
        <v/>
      </c>
      <c r="D140" s="51" t="str">
        <f>IFERROR(VLOOKUP(B140,منتجات!$A$3:$C$350,3,0),"")</f>
        <v/>
      </c>
      <c r="E140" s="51"/>
      <c r="F140" s="51" t="str">
        <f>IFERROR(INDEX(منتجات!$G$3:$G$114,MATCH(B140,منتجات!$A$3:$A$115,0)),"")</f>
        <v/>
      </c>
      <c r="G140" s="51" t="str">
        <f t="shared" si="3"/>
        <v/>
      </c>
      <c r="H140" s="53"/>
    </row>
    <row r="141" spans="1:8" x14ac:dyDescent="0.35">
      <c r="A141" s="49"/>
      <c r="B141" s="49"/>
      <c r="C141" s="49" t="str">
        <f>IFERROR(VLOOKUP(B141,منتجات!$A$3:$C$350,2,0),"")</f>
        <v/>
      </c>
      <c r="D141" s="49" t="str">
        <f>IFERROR(VLOOKUP(B141,منتجات!$A$3:$C$350,3,0),"")</f>
        <v/>
      </c>
      <c r="E141" s="49"/>
      <c r="F141" s="49" t="str">
        <f>IFERROR(INDEX(منتجات!$G$3:$G$114,MATCH(B141,منتجات!$A$3:$A$115,0)),"")</f>
        <v/>
      </c>
      <c r="G141" s="49" t="str">
        <f t="shared" si="3"/>
        <v/>
      </c>
      <c r="H141" s="54"/>
    </row>
    <row r="142" spans="1:8" x14ac:dyDescent="0.35">
      <c r="A142" s="51"/>
      <c r="B142" s="51"/>
      <c r="C142" s="51" t="str">
        <f>IFERROR(VLOOKUP(B142,منتجات!$A$3:$C$350,2,0),"")</f>
        <v/>
      </c>
      <c r="D142" s="51" t="str">
        <f>IFERROR(VLOOKUP(B142,منتجات!$A$3:$C$350,3,0),"")</f>
        <v/>
      </c>
      <c r="E142" s="51"/>
      <c r="F142" s="51" t="str">
        <f>IFERROR(INDEX(منتجات!$G$3:$G$114,MATCH(B142,منتجات!$A$3:$A$115,0)),"")</f>
        <v/>
      </c>
      <c r="G142" s="51" t="str">
        <f t="shared" ref="G142:G205" si="4">IFERROR(E142*F142*D142,"")</f>
        <v/>
      </c>
      <c r="H142" s="53"/>
    </row>
    <row r="143" spans="1:8" x14ac:dyDescent="0.35">
      <c r="A143" s="49"/>
      <c r="B143" s="49"/>
      <c r="C143" s="49" t="str">
        <f>IFERROR(VLOOKUP(B143,منتجات!$A$3:$C$350,2,0),"")</f>
        <v/>
      </c>
      <c r="D143" s="49" t="str">
        <f>IFERROR(VLOOKUP(B143,منتجات!$A$3:$C$350,3,0),"")</f>
        <v/>
      </c>
      <c r="E143" s="49"/>
      <c r="F143" s="49" t="str">
        <f>IFERROR(INDEX(منتجات!$G$3:$G$114,MATCH(B143,منتجات!$A$3:$A$115,0)),"")</f>
        <v/>
      </c>
      <c r="G143" s="49" t="str">
        <f t="shared" si="4"/>
        <v/>
      </c>
      <c r="H143" s="54"/>
    </row>
    <row r="144" spans="1:8" x14ac:dyDescent="0.35">
      <c r="A144" s="51"/>
      <c r="B144" s="51"/>
      <c r="C144" s="51" t="str">
        <f>IFERROR(VLOOKUP(B144,منتجات!$A$3:$C$350,2,0),"")</f>
        <v/>
      </c>
      <c r="D144" s="51" t="str">
        <f>IFERROR(VLOOKUP(B144,منتجات!$A$3:$C$350,3,0),"")</f>
        <v/>
      </c>
      <c r="E144" s="51"/>
      <c r="F144" s="51" t="str">
        <f>IFERROR(INDEX(منتجات!$G$3:$G$114,MATCH(B144,منتجات!$A$3:$A$115,0)),"")</f>
        <v/>
      </c>
      <c r="G144" s="51" t="str">
        <f t="shared" si="4"/>
        <v/>
      </c>
      <c r="H144" s="53"/>
    </row>
    <row r="145" spans="1:8" x14ac:dyDescent="0.35">
      <c r="A145" s="49"/>
      <c r="B145" s="49"/>
      <c r="C145" s="49" t="str">
        <f>IFERROR(VLOOKUP(B145,منتجات!$A$3:$C$350,2,0),"")</f>
        <v/>
      </c>
      <c r="D145" s="49" t="str">
        <f>IFERROR(VLOOKUP(B145,منتجات!$A$3:$C$350,3,0),"")</f>
        <v/>
      </c>
      <c r="E145" s="49"/>
      <c r="F145" s="49" t="str">
        <f>IFERROR(INDEX(منتجات!$G$3:$G$114,MATCH(B145,منتجات!$A$3:$A$115,0)),"")</f>
        <v/>
      </c>
      <c r="G145" s="49" t="str">
        <f t="shared" si="4"/>
        <v/>
      </c>
      <c r="H145" s="54"/>
    </row>
    <row r="146" spans="1:8" x14ac:dyDescent="0.35">
      <c r="A146" s="51"/>
      <c r="B146" s="51"/>
      <c r="C146" s="51" t="str">
        <f>IFERROR(VLOOKUP(B146,منتجات!$A$3:$C$350,2,0),"")</f>
        <v/>
      </c>
      <c r="D146" s="51" t="str">
        <f>IFERROR(VLOOKUP(B146,منتجات!$A$3:$C$350,3,0),"")</f>
        <v/>
      </c>
      <c r="E146" s="51"/>
      <c r="F146" s="51" t="str">
        <f>IFERROR(INDEX(منتجات!$G$3:$G$114,MATCH(B146,منتجات!$A$3:$A$115,0)),"")</f>
        <v/>
      </c>
      <c r="G146" s="51" t="str">
        <f t="shared" si="4"/>
        <v/>
      </c>
      <c r="H146" s="53"/>
    </row>
    <row r="147" spans="1:8" x14ac:dyDescent="0.35">
      <c r="A147" s="49"/>
      <c r="B147" s="49"/>
      <c r="C147" s="49" t="str">
        <f>IFERROR(VLOOKUP(B147,منتجات!$A$3:$C$350,2,0),"")</f>
        <v/>
      </c>
      <c r="D147" s="49" t="str">
        <f>IFERROR(VLOOKUP(B147,منتجات!$A$3:$C$350,3,0),"")</f>
        <v/>
      </c>
      <c r="E147" s="49"/>
      <c r="F147" s="49" t="str">
        <f>IFERROR(INDEX(منتجات!$G$3:$G$114,MATCH(B147,منتجات!$A$3:$A$115,0)),"")</f>
        <v/>
      </c>
      <c r="G147" s="49" t="str">
        <f t="shared" si="4"/>
        <v/>
      </c>
      <c r="H147" s="54"/>
    </row>
    <row r="148" spans="1:8" x14ac:dyDescent="0.35">
      <c r="A148" s="51"/>
      <c r="B148" s="51"/>
      <c r="C148" s="51" t="str">
        <f>IFERROR(VLOOKUP(B148,منتجات!$A$3:$C$350,2,0),"")</f>
        <v/>
      </c>
      <c r="D148" s="51" t="str">
        <f>IFERROR(VLOOKUP(B148,منتجات!$A$3:$C$350,3,0),"")</f>
        <v/>
      </c>
      <c r="E148" s="51"/>
      <c r="F148" s="51" t="str">
        <f>IFERROR(INDEX(منتجات!$G$3:$G$114,MATCH(B148,منتجات!$A$3:$A$115,0)),"")</f>
        <v/>
      </c>
      <c r="G148" s="51" t="str">
        <f t="shared" si="4"/>
        <v/>
      </c>
      <c r="H148" s="53"/>
    </row>
    <row r="149" spans="1:8" x14ac:dyDescent="0.35">
      <c r="A149" s="49"/>
      <c r="B149" s="49"/>
      <c r="C149" s="49" t="str">
        <f>IFERROR(VLOOKUP(B149,منتجات!$A$3:$C$350,2,0),"")</f>
        <v/>
      </c>
      <c r="D149" s="49" t="str">
        <f>IFERROR(VLOOKUP(B149,منتجات!$A$3:$C$350,3,0),"")</f>
        <v/>
      </c>
      <c r="E149" s="49"/>
      <c r="F149" s="49" t="str">
        <f>IFERROR(INDEX(منتجات!$G$3:$G$114,MATCH(B149,منتجات!$A$3:$A$115,0)),"")</f>
        <v/>
      </c>
      <c r="G149" s="49" t="str">
        <f t="shared" si="4"/>
        <v/>
      </c>
      <c r="H149" s="54"/>
    </row>
    <row r="150" spans="1:8" x14ac:dyDescent="0.35">
      <c r="A150" s="51"/>
      <c r="B150" s="51"/>
      <c r="C150" s="51" t="str">
        <f>IFERROR(VLOOKUP(B150,منتجات!$A$3:$C$350,2,0),"")</f>
        <v/>
      </c>
      <c r="D150" s="51" t="str">
        <f>IFERROR(VLOOKUP(B150,منتجات!$A$3:$C$350,3,0),"")</f>
        <v/>
      </c>
      <c r="E150" s="51"/>
      <c r="F150" s="51" t="str">
        <f>IFERROR(INDEX(منتجات!$G$3:$G$114,MATCH(B150,منتجات!$A$3:$A$115,0)),"")</f>
        <v/>
      </c>
      <c r="G150" s="51" t="str">
        <f t="shared" si="4"/>
        <v/>
      </c>
      <c r="H150" s="53"/>
    </row>
    <row r="151" spans="1:8" x14ac:dyDescent="0.35">
      <c r="A151" s="49"/>
      <c r="B151" s="49"/>
      <c r="C151" s="49" t="str">
        <f>IFERROR(VLOOKUP(B151,منتجات!$A$3:$C$350,2,0),"")</f>
        <v/>
      </c>
      <c r="D151" s="49" t="str">
        <f>IFERROR(VLOOKUP(B151,منتجات!$A$3:$C$350,3,0),"")</f>
        <v/>
      </c>
      <c r="E151" s="49"/>
      <c r="F151" s="49" t="str">
        <f>IFERROR(INDEX(منتجات!$G$3:$G$114,MATCH(B151,منتجات!$A$3:$A$115,0)),"")</f>
        <v/>
      </c>
      <c r="G151" s="49" t="str">
        <f t="shared" si="4"/>
        <v/>
      </c>
      <c r="H151" s="54"/>
    </row>
    <row r="152" spans="1:8" x14ac:dyDescent="0.35">
      <c r="A152" s="51"/>
      <c r="B152" s="51"/>
      <c r="C152" s="51" t="str">
        <f>IFERROR(VLOOKUP(B152,منتجات!$A$3:$C$350,2,0),"")</f>
        <v/>
      </c>
      <c r="D152" s="51" t="str">
        <f>IFERROR(VLOOKUP(B152,منتجات!$A$3:$C$350,3,0),"")</f>
        <v/>
      </c>
      <c r="E152" s="51"/>
      <c r="F152" s="51" t="str">
        <f>IFERROR(INDEX(منتجات!$G$3:$G$114,MATCH(B152,منتجات!$A$3:$A$115,0)),"")</f>
        <v/>
      </c>
      <c r="G152" s="51" t="str">
        <f t="shared" si="4"/>
        <v/>
      </c>
      <c r="H152" s="53"/>
    </row>
    <row r="153" spans="1:8" x14ac:dyDescent="0.35">
      <c r="A153" s="49"/>
      <c r="B153" s="49"/>
      <c r="C153" s="49" t="str">
        <f>IFERROR(VLOOKUP(B153,منتجات!$A$3:$C$350,2,0),"")</f>
        <v/>
      </c>
      <c r="D153" s="49" t="str">
        <f>IFERROR(VLOOKUP(B153,منتجات!$A$3:$C$350,3,0),"")</f>
        <v/>
      </c>
      <c r="E153" s="49"/>
      <c r="F153" s="49" t="str">
        <f>IFERROR(INDEX(منتجات!$G$3:$G$114,MATCH(B153,منتجات!$A$3:$A$115,0)),"")</f>
        <v/>
      </c>
      <c r="G153" s="49" t="str">
        <f t="shared" si="4"/>
        <v/>
      </c>
      <c r="H153" s="54"/>
    </row>
    <row r="154" spans="1:8" x14ac:dyDescent="0.35">
      <c r="A154" s="51"/>
      <c r="B154" s="51"/>
      <c r="C154" s="51" t="str">
        <f>IFERROR(VLOOKUP(B154,منتجات!$A$3:$C$350,2,0),"")</f>
        <v/>
      </c>
      <c r="D154" s="51" t="str">
        <f>IFERROR(VLOOKUP(B154,منتجات!$A$3:$C$350,3,0),"")</f>
        <v/>
      </c>
      <c r="E154" s="51"/>
      <c r="F154" s="51" t="str">
        <f>IFERROR(INDEX(منتجات!$G$3:$G$114,MATCH(B154,منتجات!$A$3:$A$115,0)),"")</f>
        <v/>
      </c>
      <c r="G154" s="51" t="str">
        <f t="shared" si="4"/>
        <v/>
      </c>
      <c r="H154" s="53"/>
    </row>
    <row r="155" spans="1:8" x14ac:dyDescent="0.35">
      <c r="A155" s="49"/>
      <c r="B155" s="49"/>
      <c r="C155" s="49" t="str">
        <f>IFERROR(VLOOKUP(B155,منتجات!$A$3:$C$350,2,0),"")</f>
        <v/>
      </c>
      <c r="D155" s="49" t="str">
        <f>IFERROR(VLOOKUP(B155,منتجات!$A$3:$C$350,3,0),"")</f>
        <v/>
      </c>
      <c r="E155" s="49"/>
      <c r="F155" s="49" t="str">
        <f>IFERROR(INDEX(منتجات!$G$3:$G$114,MATCH(B155,منتجات!$A$3:$A$115,0)),"")</f>
        <v/>
      </c>
      <c r="G155" s="49" t="str">
        <f t="shared" si="4"/>
        <v/>
      </c>
      <c r="H155" s="54"/>
    </row>
    <row r="156" spans="1:8" x14ac:dyDescent="0.35">
      <c r="A156" s="51"/>
      <c r="B156" s="51"/>
      <c r="C156" s="51" t="str">
        <f>IFERROR(VLOOKUP(B156,منتجات!$A$3:$C$350,2,0),"")</f>
        <v/>
      </c>
      <c r="D156" s="51" t="str">
        <f>IFERROR(VLOOKUP(B156,منتجات!$A$3:$C$350,3,0),"")</f>
        <v/>
      </c>
      <c r="E156" s="51"/>
      <c r="F156" s="51" t="str">
        <f>IFERROR(INDEX(منتجات!$G$3:$G$114,MATCH(B156,منتجات!$A$3:$A$115,0)),"")</f>
        <v/>
      </c>
      <c r="G156" s="51" t="str">
        <f t="shared" si="4"/>
        <v/>
      </c>
      <c r="H156" s="53"/>
    </row>
    <row r="157" spans="1:8" x14ac:dyDescent="0.35">
      <c r="A157" s="49"/>
      <c r="B157" s="49"/>
      <c r="C157" s="49" t="str">
        <f>IFERROR(VLOOKUP(B157,منتجات!$A$3:$C$350,2,0),"")</f>
        <v/>
      </c>
      <c r="D157" s="49" t="str">
        <f>IFERROR(VLOOKUP(B157,منتجات!$A$3:$C$350,3,0),"")</f>
        <v/>
      </c>
      <c r="E157" s="49"/>
      <c r="F157" s="49" t="str">
        <f>IFERROR(INDEX(منتجات!$G$3:$G$114,MATCH(B157,منتجات!$A$3:$A$115,0)),"")</f>
        <v/>
      </c>
      <c r="G157" s="49" t="str">
        <f t="shared" si="4"/>
        <v/>
      </c>
      <c r="H157" s="54"/>
    </row>
    <row r="158" spans="1:8" x14ac:dyDescent="0.35">
      <c r="A158" s="51"/>
      <c r="B158" s="51"/>
      <c r="C158" s="51" t="str">
        <f>IFERROR(VLOOKUP(B158,منتجات!$A$3:$C$350,2,0),"")</f>
        <v/>
      </c>
      <c r="D158" s="51" t="str">
        <f>IFERROR(VLOOKUP(B158,منتجات!$A$3:$C$350,3,0),"")</f>
        <v/>
      </c>
      <c r="E158" s="51"/>
      <c r="F158" s="51" t="str">
        <f>IFERROR(INDEX(منتجات!$G$3:$G$114,MATCH(B158,منتجات!$A$3:$A$115,0)),"")</f>
        <v/>
      </c>
      <c r="G158" s="51" t="str">
        <f t="shared" si="4"/>
        <v/>
      </c>
      <c r="H158" s="53"/>
    </row>
    <row r="159" spans="1:8" x14ac:dyDescent="0.35">
      <c r="A159" s="49"/>
      <c r="B159" s="49"/>
      <c r="C159" s="49" t="str">
        <f>IFERROR(VLOOKUP(B159,منتجات!$A$3:$C$350,2,0),"")</f>
        <v/>
      </c>
      <c r="D159" s="49" t="str">
        <f>IFERROR(VLOOKUP(B159,منتجات!$A$3:$C$350,3,0),"")</f>
        <v/>
      </c>
      <c r="E159" s="49"/>
      <c r="F159" s="49" t="str">
        <f>IFERROR(INDEX(منتجات!$G$3:$G$114,MATCH(B159,منتجات!$A$3:$A$115,0)),"")</f>
        <v/>
      </c>
      <c r="G159" s="49" t="str">
        <f t="shared" si="4"/>
        <v/>
      </c>
      <c r="H159" s="54"/>
    </row>
    <row r="160" spans="1:8" x14ac:dyDescent="0.35">
      <c r="A160" s="51"/>
      <c r="B160" s="51"/>
      <c r="C160" s="51" t="str">
        <f>IFERROR(VLOOKUP(B160,منتجات!$A$3:$C$350,2,0),"")</f>
        <v/>
      </c>
      <c r="D160" s="51" t="str">
        <f>IFERROR(VLOOKUP(B160,منتجات!$A$3:$C$350,3,0),"")</f>
        <v/>
      </c>
      <c r="E160" s="51"/>
      <c r="F160" s="51" t="str">
        <f>IFERROR(INDEX(منتجات!$G$3:$G$114,MATCH(B160,منتجات!$A$3:$A$115,0)),"")</f>
        <v/>
      </c>
      <c r="G160" s="51" t="str">
        <f t="shared" si="4"/>
        <v/>
      </c>
      <c r="H160" s="53"/>
    </row>
    <row r="161" spans="1:8" x14ac:dyDescent="0.35">
      <c r="A161" s="49"/>
      <c r="B161" s="49"/>
      <c r="C161" s="49" t="str">
        <f>IFERROR(VLOOKUP(B161,منتجات!$A$3:$C$350,2,0),"")</f>
        <v/>
      </c>
      <c r="D161" s="49" t="str">
        <f>IFERROR(VLOOKUP(B161,منتجات!$A$3:$C$350,3,0),"")</f>
        <v/>
      </c>
      <c r="E161" s="49"/>
      <c r="F161" s="49" t="str">
        <f>IFERROR(INDEX(منتجات!$G$3:$G$114,MATCH(B161,منتجات!$A$3:$A$115,0)),"")</f>
        <v/>
      </c>
      <c r="G161" s="49" t="str">
        <f t="shared" si="4"/>
        <v/>
      </c>
      <c r="H161" s="54"/>
    </row>
    <row r="162" spans="1:8" x14ac:dyDescent="0.35">
      <c r="A162" s="51"/>
      <c r="B162" s="51"/>
      <c r="C162" s="51" t="str">
        <f>IFERROR(VLOOKUP(B162,منتجات!$A$3:$C$350,2,0),"")</f>
        <v/>
      </c>
      <c r="D162" s="51" t="str">
        <f>IFERROR(VLOOKUP(B162,منتجات!$A$3:$C$350,3,0),"")</f>
        <v/>
      </c>
      <c r="E162" s="51"/>
      <c r="F162" s="51" t="str">
        <f>IFERROR(INDEX(منتجات!$G$3:$G$114,MATCH(B162,منتجات!$A$3:$A$115,0)),"")</f>
        <v/>
      </c>
      <c r="G162" s="51" t="str">
        <f t="shared" si="4"/>
        <v/>
      </c>
      <c r="H162" s="53"/>
    </row>
    <row r="163" spans="1:8" x14ac:dyDescent="0.35">
      <c r="A163" s="49"/>
      <c r="B163" s="49"/>
      <c r="C163" s="49" t="str">
        <f>IFERROR(VLOOKUP(B163,منتجات!$A$3:$C$350,2,0),"")</f>
        <v/>
      </c>
      <c r="D163" s="49" t="str">
        <f>IFERROR(VLOOKUP(B163,منتجات!$A$3:$C$350,3,0),"")</f>
        <v/>
      </c>
      <c r="E163" s="49"/>
      <c r="F163" s="49" t="str">
        <f>IFERROR(INDEX(منتجات!$G$3:$G$114,MATCH(B163,منتجات!$A$3:$A$115,0)),"")</f>
        <v/>
      </c>
      <c r="G163" s="49" t="str">
        <f t="shared" si="4"/>
        <v/>
      </c>
      <c r="H163" s="54"/>
    </row>
    <row r="164" spans="1:8" x14ac:dyDescent="0.35">
      <c r="A164" s="51"/>
      <c r="B164" s="51"/>
      <c r="C164" s="51" t="str">
        <f>IFERROR(VLOOKUP(B164,منتجات!$A$3:$C$350,2,0),"")</f>
        <v/>
      </c>
      <c r="D164" s="51" t="str">
        <f>IFERROR(VLOOKUP(B164,منتجات!$A$3:$C$350,3,0),"")</f>
        <v/>
      </c>
      <c r="E164" s="51"/>
      <c r="F164" s="51" t="str">
        <f>IFERROR(INDEX(منتجات!$G$3:$G$114,MATCH(B164,منتجات!$A$3:$A$115,0)),"")</f>
        <v/>
      </c>
      <c r="G164" s="51" t="str">
        <f t="shared" si="4"/>
        <v/>
      </c>
      <c r="H164" s="53"/>
    </row>
    <row r="165" spans="1:8" x14ac:dyDescent="0.35">
      <c r="A165" s="49"/>
      <c r="B165" s="49"/>
      <c r="C165" s="49" t="str">
        <f>IFERROR(VLOOKUP(B165,منتجات!$A$3:$C$350,2,0),"")</f>
        <v/>
      </c>
      <c r="D165" s="49" t="str">
        <f>IFERROR(VLOOKUP(B165,منتجات!$A$3:$C$350,3,0),"")</f>
        <v/>
      </c>
      <c r="E165" s="49"/>
      <c r="F165" s="49" t="str">
        <f>IFERROR(INDEX(منتجات!$G$3:$G$114,MATCH(B165,منتجات!$A$3:$A$115,0)),"")</f>
        <v/>
      </c>
      <c r="G165" s="49" t="str">
        <f t="shared" si="4"/>
        <v/>
      </c>
      <c r="H165" s="54"/>
    </row>
    <row r="166" spans="1:8" x14ac:dyDescent="0.35">
      <c r="A166" s="51"/>
      <c r="B166" s="51"/>
      <c r="C166" s="51" t="str">
        <f>IFERROR(VLOOKUP(B166,منتجات!$A$3:$C$350,2,0),"")</f>
        <v/>
      </c>
      <c r="D166" s="51" t="str">
        <f>IFERROR(VLOOKUP(B166,منتجات!$A$3:$C$350,3,0),"")</f>
        <v/>
      </c>
      <c r="E166" s="51"/>
      <c r="F166" s="51" t="str">
        <f>IFERROR(INDEX(منتجات!$G$3:$G$114,MATCH(B166,منتجات!$A$3:$A$115,0)),"")</f>
        <v/>
      </c>
      <c r="G166" s="51" t="str">
        <f t="shared" si="4"/>
        <v/>
      </c>
      <c r="H166" s="53"/>
    </row>
    <row r="167" spans="1:8" x14ac:dyDescent="0.35">
      <c r="A167" s="49"/>
      <c r="B167" s="49"/>
      <c r="C167" s="49" t="str">
        <f>IFERROR(VLOOKUP(B167,منتجات!$A$3:$C$350,2,0),"")</f>
        <v/>
      </c>
      <c r="D167" s="49" t="str">
        <f>IFERROR(VLOOKUP(B167,منتجات!$A$3:$C$350,3,0),"")</f>
        <v/>
      </c>
      <c r="E167" s="49"/>
      <c r="F167" s="49" t="str">
        <f>IFERROR(INDEX(منتجات!$G$3:$G$114,MATCH(B167,منتجات!$A$3:$A$115,0)),"")</f>
        <v/>
      </c>
      <c r="G167" s="49" t="str">
        <f t="shared" si="4"/>
        <v/>
      </c>
      <c r="H167" s="54"/>
    </row>
    <row r="168" spans="1:8" x14ac:dyDescent="0.35">
      <c r="A168" s="51"/>
      <c r="B168" s="51"/>
      <c r="C168" s="51" t="str">
        <f>IFERROR(VLOOKUP(B168,منتجات!$A$3:$C$350,2,0),"")</f>
        <v/>
      </c>
      <c r="D168" s="51" t="str">
        <f>IFERROR(VLOOKUP(B168,منتجات!$A$3:$C$350,3,0),"")</f>
        <v/>
      </c>
      <c r="E168" s="51"/>
      <c r="F168" s="51" t="str">
        <f>IFERROR(INDEX(منتجات!$G$3:$G$114,MATCH(B168,منتجات!$A$3:$A$115,0)),"")</f>
        <v/>
      </c>
      <c r="G168" s="51" t="str">
        <f t="shared" si="4"/>
        <v/>
      </c>
      <c r="H168" s="53"/>
    </row>
    <row r="169" spans="1:8" x14ac:dyDescent="0.35">
      <c r="A169" s="49"/>
      <c r="B169" s="49"/>
      <c r="C169" s="49" t="str">
        <f>IFERROR(VLOOKUP(B169,منتجات!$A$3:$C$350,2,0),"")</f>
        <v/>
      </c>
      <c r="D169" s="49" t="str">
        <f>IFERROR(VLOOKUP(B169,منتجات!$A$3:$C$350,3,0),"")</f>
        <v/>
      </c>
      <c r="E169" s="49"/>
      <c r="F169" s="49" t="str">
        <f>IFERROR(INDEX(منتجات!$G$3:$G$114,MATCH(B169,منتجات!$A$3:$A$115,0)),"")</f>
        <v/>
      </c>
      <c r="G169" s="49" t="str">
        <f t="shared" si="4"/>
        <v/>
      </c>
      <c r="H169" s="54"/>
    </row>
    <row r="170" spans="1:8" x14ac:dyDescent="0.35">
      <c r="A170" s="51"/>
      <c r="B170" s="51"/>
      <c r="C170" s="51" t="str">
        <f>IFERROR(VLOOKUP(B170,منتجات!$A$3:$C$350,2,0),"")</f>
        <v/>
      </c>
      <c r="D170" s="51" t="str">
        <f>IFERROR(VLOOKUP(B170,منتجات!$A$3:$C$350,3,0),"")</f>
        <v/>
      </c>
      <c r="E170" s="51"/>
      <c r="F170" s="51" t="str">
        <f>IFERROR(INDEX(منتجات!$G$3:$G$114,MATCH(B170,منتجات!$A$3:$A$115,0)),"")</f>
        <v/>
      </c>
      <c r="G170" s="51" t="str">
        <f t="shared" si="4"/>
        <v/>
      </c>
      <c r="H170" s="53"/>
    </row>
    <row r="171" spans="1:8" x14ac:dyDescent="0.35">
      <c r="A171" s="49"/>
      <c r="B171" s="49"/>
      <c r="C171" s="49" t="str">
        <f>IFERROR(VLOOKUP(B171,منتجات!$A$3:$C$350,2,0),"")</f>
        <v/>
      </c>
      <c r="D171" s="49" t="str">
        <f>IFERROR(VLOOKUP(B171,منتجات!$A$3:$C$350,3,0),"")</f>
        <v/>
      </c>
      <c r="E171" s="49"/>
      <c r="F171" s="49" t="str">
        <f>IFERROR(INDEX(منتجات!$G$3:$G$114,MATCH(B171,منتجات!$A$3:$A$115,0)),"")</f>
        <v/>
      </c>
      <c r="G171" s="49" t="str">
        <f t="shared" si="4"/>
        <v/>
      </c>
      <c r="H171" s="54"/>
    </row>
    <row r="172" spans="1:8" x14ac:dyDescent="0.35">
      <c r="A172" s="51"/>
      <c r="B172" s="51"/>
      <c r="C172" s="51" t="str">
        <f>IFERROR(VLOOKUP(B172,منتجات!$A$3:$C$350,2,0),"")</f>
        <v/>
      </c>
      <c r="D172" s="51" t="str">
        <f>IFERROR(VLOOKUP(B172,منتجات!$A$3:$C$350,3,0),"")</f>
        <v/>
      </c>
      <c r="E172" s="51"/>
      <c r="F172" s="51" t="str">
        <f>IFERROR(INDEX(منتجات!$G$3:$G$114,MATCH(B172,منتجات!$A$3:$A$115,0)),"")</f>
        <v/>
      </c>
      <c r="G172" s="51" t="str">
        <f t="shared" si="4"/>
        <v/>
      </c>
      <c r="H172" s="53"/>
    </row>
    <row r="173" spans="1:8" x14ac:dyDescent="0.35">
      <c r="A173" s="49"/>
      <c r="B173" s="49"/>
      <c r="C173" s="49" t="str">
        <f>IFERROR(VLOOKUP(B173,منتجات!$A$3:$C$350,2,0),"")</f>
        <v/>
      </c>
      <c r="D173" s="49" t="str">
        <f>IFERROR(VLOOKUP(B173,منتجات!$A$3:$C$350,3,0),"")</f>
        <v/>
      </c>
      <c r="E173" s="49"/>
      <c r="F173" s="49" t="str">
        <f>IFERROR(INDEX(منتجات!$G$3:$G$114,MATCH(B173,منتجات!$A$3:$A$115,0)),"")</f>
        <v/>
      </c>
      <c r="G173" s="49" t="str">
        <f t="shared" si="4"/>
        <v/>
      </c>
      <c r="H173" s="54"/>
    </row>
    <row r="174" spans="1:8" x14ac:dyDescent="0.35">
      <c r="A174" s="51"/>
      <c r="B174" s="51"/>
      <c r="C174" s="51" t="str">
        <f>IFERROR(VLOOKUP(B174,منتجات!$A$3:$C$350,2,0),"")</f>
        <v/>
      </c>
      <c r="D174" s="51" t="str">
        <f>IFERROR(VLOOKUP(B174,منتجات!$A$3:$C$350,3,0),"")</f>
        <v/>
      </c>
      <c r="E174" s="51"/>
      <c r="F174" s="51" t="str">
        <f>IFERROR(INDEX(منتجات!$G$3:$G$114,MATCH(B174,منتجات!$A$3:$A$115,0)),"")</f>
        <v/>
      </c>
      <c r="G174" s="51" t="str">
        <f t="shared" si="4"/>
        <v/>
      </c>
      <c r="H174" s="53"/>
    </row>
    <row r="175" spans="1:8" x14ac:dyDescent="0.35">
      <c r="A175" s="49"/>
      <c r="B175" s="49"/>
      <c r="C175" s="49" t="str">
        <f>IFERROR(VLOOKUP(B175,منتجات!$A$3:$C$350,2,0),"")</f>
        <v/>
      </c>
      <c r="D175" s="49" t="str">
        <f>IFERROR(VLOOKUP(B175,منتجات!$A$3:$C$350,3,0),"")</f>
        <v/>
      </c>
      <c r="E175" s="49"/>
      <c r="F175" s="49" t="str">
        <f>IFERROR(INDEX(منتجات!$G$3:$G$114,MATCH(B175,منتجات!$A$3:$A$115,0)),"")</f>
        <v/>
      </c>
      <c r="G175" s="49" t="str">
        <f t="shared" si="4"/>
        <v/>
      </c>
      <c r="H175" s="54"/>
    </row>
    <row r="176" spans="1:8" x14ac:dyDescent="0.35">
      <c r="A176" s="51"/>
      <c r="B176" s="51"/>
      <c r="C176" s="51" t="str">
        <f>IFERROR(VLOOKUP(B176,منتجات!$A$3:$C$350,2,0),"")</f>
        <v/>
      </c>
      <c r="D176" s="51" t="str">
        <f>IFERROR(VLOOKUP(B176,منتجات!$A$3:$C$350,3,0),"")</f>
        <v/>
      </c>
      <c r="E176" s="51"/>
      <c r="F176" s="51" t="str">
        <f>IFERROR(INDEX(منتجات!$G$3:$G$114,MATCH(B176,منتجات!$A$3:$A$115,0)),"")</f>
        <v/>
      </c>
      <c r="G176" s="51" t="str">
        <f t="shared" si="4"/>
        <v/>
      </c>
      <c r="H176" s="53"/>
    </row>
    <row r="177" spans="1:8" x14ac:dyDescent="0.35">
      <c r="A177" s="49"/>
      <c r="B177" s="49"/>
      <c r="C177" s="49" t="str">
        <f>IFERROR(VLOOKUP(B177,منتجات!$A$3:$C$350,2,0),"")</f>
        <v/>
      </c>
      <c r="D177" s="49" t="str">
        <f>IFERROR(VLOOKUP(B177,منتجات!$A$3:$C$350,3,0),"")</f>
        <v/>
      </c>
      <c r="E177" s="49"/>
      <c r="F177" s="49" t="str">
        <f>IFERROR(INDEX(منتجات!$G$3:$G$114,MATCH(B177,منتجات!$A$3:$A$115,0)),"")</f>
        <v/>
      </c>
      <c r="G177" s="49" t="str">
        <f t="shared" si="4"/>
        <v/>
      </c>
      <c r="H177" s="54"/>
    </row>
    <row r="178" spans="1:8" x14ac:dyDescent="0.35">
      <c r="A178" s="51"/>
      <c r="B178" s="51"/>
      <c r="C178" s="51" t="str">
        <f>IFERROR(VLOOKUP(B178,منتجات!$A$3:$C$350,2,0),"")</f>
        <v/>
      </c>
      <c r="D178" s="51" t="str">
        <f>IFERROR(VLOOKUP(B178,منتجات!$A$3:$C$350,3,0),"")</f>
        <v/>
      </c>
      <c r="E178" s="51"/>
      <c r="F178" s="51" t="str">
        <f>IFERROR(INDEX(منتجات!$G$3:$G$114,MATCH(B178,منتجات!$A$3:$A$115,0)),"")</f>
        <v/>
      </c>
      <c r="G178" s="51" t="str">
        <f t="shared" si="4"/>
        <v/>
      </c>
      <c r="H178" s="53"/>
    </row>
    <row r="179" spans="1:8" x14ac:dyDescent="0.35">
      <c r="A179" s="49"/>
      <c r="B179" s="49"/>
      <c r="C179" s="49" t="str">
        <f>IFERROR(VLOOKUP(B179,منتجات!$A$3:$C$350,2,0),"")</f>
        <v/>
      </c>
      <c r="D179" s="49" t="str">
        <f>IFERROR(VLOOKUP(B179,منتجات!$A$3:$C$350,3,0),"")</f>
        <v/>
      </c>
      <c r="E179" s="49"/>
      <c r="F179" s="49" t="str">
        <f>IFERROR(INDEX(منتجات!$G$3:$G$114,MATCH(B179,منتجات!$A$3:$A$115,0)),"")</f>
        <v/>
      </c>
      <c r="G179" s="49" t="str">
        <f t="shared" si="4"/>
        <v/>
      </c>
      <c r="H179" s="54"/>
    </row>
    <row r="180" spans="1:8" x14ac:dyDescent="0.35">
      <c r="A180" s="51"/>
      <c r="B180" s="51"/>
      <c r="C180" s="51" t="str">
        <f>IFERROR(VLOOKUP(B180,منتجات!$A$3:$C$350,2,0),"")</f>
        <v/>
      </c>
      <c r="D180" s="51" t="str">
        <f>IFERROR(VLOOKUP(B180,منتجات!$A$3:$C$350,3,0),"")</f>
        <v/>
      </c>
      <c r="E180" s="51"/>
      <c r="F180" s="51" t="str">
        <f>IFERROR(INDEX(منتجات!$G$3:$G$114,MATCH(B180,منتجات!$A$3:$A$115,0)),"")</f>
        <v/>
      </c>
      <c r="G180" s="51" t="str">
        <f t="shared" si="4"/>
        <v/>
      </c>
      <c r="H180" s="53"/>
    </row>
    <row r="181" spans="1:8" x14ac:dyDescent="0.35">
      <c r="A181" s="49"/>
      <c r="B181" s="49"/>
      <c r="C181" s="49" t="str">
        <f>IFERROR(VLOOKUP(B181,منتجات!$A$3:$C$350,2,0),"")</f>
        <v/>
      </c>
      <c r="D181" s="49" t="str">
        <f>IFERROR(VLOOKUP(B181,منتجات!$A$3:$C$350,3,0),"")</f>
        <v/>
      </c>
      <c r="E181" s="49"/>
      <c r="F181" s="49" t="str">
        <f>IFERROR(INDEX(منتجات!$G$3:$G$114,MATCH(B181,منتجات!$A$3:$A$115,0)),"")</f>
        <v/>
      </c>
      <c r="G181" s="49" t="str">
        <f t="shared" si="4"/>
        <v/>
      </c>
      <c r="H181" s="54"/>
    </row>
    <row r="182" spans="1:8" x14ac:dyDescent="0.35">
      <c r="A182" s="51"/>
      <c r="B182" s="51"/>
      <c r="C182" s="51" t="str">
        <f>IFERROR(VLOOKUP(B182,منتجات!$A$3:$C$350,2,0),"")</f>
        <v/>
      </c>
      <c r="D182" s="51" t="str">
        <f>IFERROR(VLOOKUP(B182,منتجات!$A$3:$C$350,3,0),"")</f>
        <v/>
      </c>
      <c r="E182" s="51"/>
      <c r="F182" s="51" t="str">
        <f>IFERROR(INDEX(منتجات!$G$3:$G$114,MATCH(B182,منتجات!$A$3:$A$115,0)),"")</f>
        <v/>
      </c>
      <c r="G182" s="51" t="str">
        <f t="shared" si="4"/>
        <v/>
      </c>
      <c r="H182" s="53"/>
    </row>
    <row r="183" spans="1:8" x14ac:dyDescent="0.35">
      <c r="A183" s="49"/>
      <c r="B183" s="49"/>
      <c r="C183" s="49" t="str">
        <f>IFERROR(VLOOKUP(B183,منتجات!$A$3:$C$350,2,0),"")</f>
        <v/>
      </c>
      <c r="D183" s="49" t="str">
        <f>IFERROR(VLOOKUP(B183,منتجات!$A$3:$C$350,3,0),"")</f>
        <v/>
      </c>
      <c r="E183" s="49"/>
      <c r="F183" s="49" t="str">
        <f>IFERROR(INDEX(منتجات!$G$3:$G$114,MATCH(B183,منتجات!$A$3:$A$115,0)),"")</f>
        <v/>
      </c>
      <c r="G183" s="49" t="str">
        <f t="shared" si="4"/>
        <v/>
      </c>
      <c r="H183" s="54"/>
    </row>
    <row r="184" spans="1:8" x14ac:dyDescent="0.35">
      <c r="A184" s="51"/>
      <c r="B184" s="51"/>
      <c r="C184" s="51" t="str">
        <f>IFERROR(VLOOKUP(B184,منتجات!$A$3:$C$350,2,0),"")</f>
        <v/>
      </c>
      <c r="D184" s="51" t="str">
        <f>IFERROR(VLOOKUP(B184,منتجات!$A$3:$C$350,3,0),"")</f>
        <v/>
      </c>
      <c r="E184" s="51"/>
      <c r="F184" s="51" t="str">
        <f>IFERROR(INDEX(منتجات!$G$3:$G$114,MATCH(B184,منتجات!$A$3:$A$115,0)),"")</f>
        <v/>
      </c>
      <c r="G184" s="51" t="str">
        <f t="shared" si="4"/>
        <v/>
      </c>
      <c r="H184" s="53"/>
    </row>
    <row r="185" spans="1:8" x14ac:dyDescent="0.35">
      <c r="A185" s="49"/>
      <c r="B185" s="49"/>
      <c r="C185" s="49" t="str">
        <f>IFERROR(VLOOKUP(B185,منتجات!$A$3:$C$350,2,0),"")</f>
        <v/>
      </c>
      <c r="D185" s="49" t="str">
        <f>IFERROR(VLOOKUP(B185,منتجات!$A$3:$C$350,3,0),"")</f>
        <v/>
      </c>
      <c r="E185" s="49"/>
      <c r="F185" s="49" t="str">
        <f>IFERROR(INDEX(منتجات!$G$3:$G$114,MATCH(B185,منتجات!$A$3:$A$115,0)),"")</f>
        <v/>
      </c>
      <c r="G185" s="49" t="str">
        <f t="shared" si="4"/>
        <v/>
      </c>
      <c r="H185" s="54"/>
    </row>
    <row r="186" spans="1:8" x14ac:dyDescent="0.35">
      <c r="A186" s="51"/>
      <c r="B186" s="51"/>
      <c r="C186" s="51" t="str">
        <f>IFERROR(VLOOKUP(B186,منتجات!$A$3:$C$350,2,0),"")</f>
        <v/>
      </c>
      <c r="D186" s="51" t="str">
        <f>IFERROR(VLOOKUP(B186,منتجات!$A$3:$C$350,3,0),"")</f>
        <v/>
      </c>
      <c r="E186" s="51"/>
      <c r="F186" s="51" t="str">
        <f>IFERROR(INDEX(منتجات!$G$3:$G$114,MATCH(B186,منتجات!$A$3:$A$115,0)),"")</f>
        <v/>
      </c>
      <c r="G186" s="51" t="str">
        <f t="shared" si="4"/>
        <v/>
      </c>
      <c r="H186" s="53"/>
    </row>
    <row r="187" spans="1:8" x14ac:dyDescent="0.35">
      <c r="A187" s="49"/>
      <c r="B187" s="49"/>
      <c r="C187" s="49" t="str">
        <f>IFERROR(VLOOKUP(B187,منتجات!$A$3:$C$350,2,0),"")</f>
        <v/>
      </c>
      <c r="D187" s="49" t="str">
        <f>IFERROR(VLOOKUP(B187,منتجات!$A$3:$C$350,3,0),"")</f>
        <v/>
      </c>
      <c r="E187" s="49"/>
      <c r="F187" s="49" t="str">
        <f>IFERROR(INDEX(منتجات!$G$3:$G$114,MATCH(B187,منتجات!$A$3:$A$115,0)),"")</f>
        <v/>
      </c>
      <c r="G187" s="49" t="str">
        <f t="shared" si="4"/>
        <v/>
      </c>
      <c r="H187" s="54"/>
    </row>
    <row r="188" spans="1:8" x14ac:dyDescent="0.35">
      <c r="A188" s="51"/>
      <c r="B188" s="51"/>
      <c r="C188" s="51" t="str">
        <f>IFERROR(VLOOKUP(B188,منتجات!$A$3:$C$350,2,0),"")</f>
        <v/>
      </c>
      <c r="D188" s="51" t="str">
        <f>IFERROR(VLOOKUP(B188,منتجات!$A$3:$C$350,3,0),"")</f>
        <v/>
      </c>
      <c r="E188" s="51"/>
      <c r="F188" s="51" t="str">
        <f>IFERROR(INDEX(منتجات!$G$3:$G$114,MATCH(B188,منتجات!$A$3:$A$115,0)),"")</f>
        <v/>
      </c>
      <c r="G188" s="51" t="str">
        <f t="shared" si="4"/>
        <v/>
      </c>
      <c r="H188" s="53"/>
    </row>
    <row r="189" spans="1:8" x14ac:dyDescent="0.35">
      <c r="A189" s="49"/>
      <c r="B189" s="49"/>
      <c r="C189" s="49" t="str">
        <f>IFERROR(VLOOKUP(B189,منتجات!$A$3:$C$350,2,0),"")</f>
        <v/>
      </c>
      <c r="D189" s="49" t="str">
        <f>IFERROR(VLOOKUP(B189,منتجات!$A$3:$C$350,3,0),"")</f>
        <v/>
      </c>
      <c r="E189" s="49"/>
      <c r="F189" s="49" t="str">
        <f>IFERROR(INDEX(منتجات!$G$3:$G$114,MATCH(B189,منتجات!$A$3:$A$115,0)),"")</f>
        <v/>
      </c>
      <c r="G189" s="49" t="str">
        <f t="shared" si="4"/>
        <v/>
      </c>
      <c r="H189" s="54"/>
    </row>
    <row r="190" spans="1:8" x14ac:dyDescent="0.35">
      <c r="A190" s="51"/>
      <c r="B190" s="51"/>
      <c r="C190" s="51" t="str">
        <f>IFERROR(VLOOKUP(B190,منتجات!$A$3:$C$350,2,0),"")</f>
        <v/>
      </c>
      <c r="D190" s="51" t="str">
        <f>IFERROR(VLOOKUP(B190,منتجات!$A$3:$C$350,3,0),"")</f>
        <v/>
      </c>
      <c r="E190" s="51"/>
      <c r="F190" s="51" t="str">
        <f>IFERROR(INDEX(منتجات!$G$3:$G$114,MATCH(B190,منتجات!$A$3:$A$115,0)),"")</f>
        <v/>
      </c>
      <c r="G190" s="51" t="str">
        <f t="shared" si="4"/>
        <v/>
      </c>
      <c r="H190" s="53"/>
    </row>
    <row r="191" spans="1:8" x14ac:dyDescent="0.35">
      <c r="A191" s="49"/>
      <c r="B191" s="49"/>
      <c r="C191" s="49" t="str">
        <f>IFERROR(VLOOKUP(B191,منتجات!$A$3:$C$350,2,0),"")</f>
        <v/>
      </c>
      <c r="D191" s="49" t="str">
        <f>IFERROR(VLOOKUP(B191,منتجات!$A$3:$C$350,3,0),"")</f>
        <v/>
      </c>
      <c r="E191" s="49"/>
      <c r="F191" s="49" t="str">
        <f>IFERROR(INDEX(منتجات!$G$3:$G$114,MATCH(B191,منتجات!$A$3:$A$115,0)),"")</f>
        <v/>
      </c>
      <c r="G191" s="49" t="str">
        <f t="shared" si="4"/>
        <v/>
      </c>
      <c r="H191" s="54"/>
    </row>
    <row r="192" spans="1:8" x14ac:dyDescent="0.35">
      <c r="A192" s="51"/>
      <c r="B192" s="51"/>
      <c r="C192" s="51" t="str">
        <f>IFERROR(VLOOKUP(B192,منتجات!$A$3:$C$350,2,0),"")</f>
        <v/>
      </c>
      <c r="D192" s="51" t="str">
        <f>IFERROR(VLOOKUP(B192,منتجات!$A$3:$C$350,3,0),"")</f>
        <v/>
      </c>
      <c r="E192" s="51"/>
      <c r="F192" s="51" t="str">
        <f>IFERROR(INDEX(منتجات!$G$3:$G$114,MATCH(B192,منتجات!$A$3:$A$115,0)),"")</f>
        <v/>
      </c>
      <c r="G192" s="51" t="str">
        <f t="shared" si="4"/>
        <v/>
      </c>
      <c r="H192" s="53"/>
    </row>
    <row r="193" spans="1:8" x14ac:dyDescent="0.35">
      <c r="A193" s="49"/>
      <c r="B193" s="49"/>
      <c r="C193" s="49" t="str">
        <f>IFERROR(VLOOKUP(B193,منتجات!$A$3:$C$350,2,0),"")</f>
        <v/>
      </c>
      <c r="D193" s="49" t="str">
        <f>IFERROR(VLOOKUP(B193,منتجات!$A$3:$C$350,3,0),"")</f>
        <v/>
      </c>
      <c r="E193" s="49"/>
      <c r="F193" s="49" t="str">
        <f>IFERROR(INDEX(منتجات!$G$3:$G$114,MATCH(B193,منتجات!$A$3:$A$115,0)),"")</f>
        <v/>
      </c>
      <c r="G193" s="49" t="str">
        <f t="shared" si="4"/>
        <v/>
      </c>
      <c r="H193" s="54"/>
    </row>
    <row r="194" spans="1:8" x14ac:dyDescent="0.35">
      <c r="A194" s="51"/>
      <c r="B194" s="51"/>
      <c r="C194" s="51" t="str">
        <f>IFERROR(VLOOKUP(B194,منتجات!$A$3:$C$350,2,0),"")</f>
        <v/>
      </c>
      <c r="D194" s="51" t="str">
        <f>IFERROR(VLOOKUP(B194,منتجات!$A$3:$C$350,3,0),"")</f>
        <v/>
      </c>
      <c r="E194" s="51"/>
      <c r="F194" s="51" t="str">
        <f>IFERROR(INDEX(منتجات!$G$3:$G$114,MATCH(B194,منتجات!$A$3:$A$115,0)),"")</f>
        <v/>
      </c>
      <c r="G194" s="51" t="str">
        <f t="shared" si="4"/>
        <v/>
      </c>
      <c r="H194" s="53"/>
    </row>
    <row r="195" spans="1:8" x14ac:dyDescent="0.35">
      <c r="A195" s="49"/>
      <c r="B195" s="49"/>
      <c r="C195" s="49" t="str">
        <f>IFERROR(VLOOKUP(B195,منتجات!$A$3:$C$350,2,0),"")</f>
        <v/>
      </c>
      <c r="D195" s="49" t="str">
        <f>IFERROR(VLOOKUP(B195,منتجات!$A$3:$C$350,3,0),"")</f>
        <v/>
      </c>
      <c r="E195" s="49"/>
      <c r="F195" s="49" t="str">
        <f>IFERROR(INDEX(منتجات!$G$3:$G$114,MATCH(B195,منتجات!$A$3:$A$115,0)),"")</f>
        <v/>
      </c>
      <c r="G195" s="49" t="str">
        <f t="shared" si="4"/>
        <v/>
      </c>
      <c r="H195" s="54"/>
    </row>
    <row r="196" spans="1:8" x14ac:dyDescent="0.35">
      <c r="A196" s="51"/>
      <c r="B196" s="51"/>
      <c r="C196" s="51" t="str">
        <f>IFERROR(VLOOKUP(B196,منتجات!$A$3:$C$350,2,0),"")</f>
        <v/>
      </c>
      <c r="D196" s="51" t="str">
        <f>IFERROR(VLOOKUP(B196,منتجات!$A$3:$C$350,3,0),"")</f>
        <v/>
      </c>
      <c r="E196" s="51"/>
      <c r="F196" s="51" t="str">
        <f>IFERROR(INDEX(منتجات!$G$3:$G$114,MATCH(B196,منتجات!$A$3:$A$115,0)),"")</f>
        <v/>
      </c>
      <c r="G196" s="51" t="str">
        <f t="shared" si="4"/>
        <v/>
      </c>
      <c r="H196" s="53"/>
    </row>
    <row r="197" spans="1:8" x14ac:dyDescent="0.35">
      <c r="A197" s="49"/>
      <c r="B197" s="49"/>
      <c r="C197" s="49" t="str">
        <f>IFERROR(VLOOKUP(B197,منتجات!$A$3:$C$350,2,0),"")</f>
        <v/>
      </c>
      <c r="D197" s="49" t="str">
        <f>IFERROR(VLOOKUP(B197,منتجات!$A$3:$C$350,3,0),"")</f>
        <v/>
      </c>
      <c r="E197" s="49"/>
      <c r="F197" s="49" t="str">
        <f>IFERROR(INDEX(منتجات!$G$3:$G$114,MATCH(B197,منتجات!$A$3:$A$115,0)),"")</f>
        <v/>
      </c>
      <c r="G197" s="49" t="str">
        <f t="shared" si="4"/>
        <v/>
      </c>
      <c r="H197" s="54"/>
    </row>
    <row r="198" spans="1:8" x14ac:dyDescent="0.35">
      <c r="A198" s="51"/>
      <c r="B198" s="51"/>
      <c r="C198" s="51" t="str">
        <f>IFERROR(VLOOKUP(B198,منتجات!$A$3:$C$350,2,0),"")</f>
        <v/>
      </c>
      <c r="D198" s="51" t="str">
        <f>IFERROR(VLOOKUP(B198,منتجات!$A$3:$C$350,3,0),"")</f>
        <v/>
      </c>
      <c r="E198" s="51"/>
      <c r="F198" s="51" t="str">
        <f>IFERROR(INDEX(منتجات!$G$3:$G$114,MATCH(B198,منتجات!$A$3:$A$115,0)),"")</f>
        <v/>
      </c>
      <c r="G198" s="51" t="str">
        <f t="shared" si="4"/>
        <v/>
      </c>
      <c r="H198" s="53"/>
    </row>
    <row r="199" spans="1:8" x14ac:dyDescent="0.35">
      <c r="A199" s="49"/>
      <c r="B199" s="49"/>
      <c r="C199" s="49" t="str">
        <f>IFERROR(VLOOKUP(B199,منتجات!$A$3:$C$350,2,0),"")</f>
        <v/>
      </c>
      <c r="D199" s="49" t="str">
        <f>IFERROR(VLOOKUP(B199,منتجات!$A$3:$C$350,3,0),"")</f>
        <v/>
      </c>
      <c r="E199" s="49"/>
      <c r="F199" s="49" t="str">
        <f>IFERROR(INDEX(منتجات!$G$3:$G$114,MATCH(B199,منتجات!$A$3:$A$115,0)),"")</f>
        <v/>
      </c>
      <c r="G199" s="49" t="str">
        <f t="shared" si="4"/>
        <v/>
      </c>
      <c r="H199" s="54"/>
    </row>
    <row r="200" spans="1:8" x14ac:dyDescent="0.35">
      <c r="A200" s="51"/>
      <c r="B200" s="51"/>
      <c r="C200" s="51" t="str">
        <f>IFERROR(VLOOKUP(B200,منتجات!$A$3:$C$350,2,0),"")</f>
        <v/>
      </c>
      <c r="D200" s="51" t="str">
        <f>IFERROR(VLOOKUP(B200,منتجات!$A$3:$C$350,3,0),"")</f>
        <v/>
      </c>
      <c r="E200" s="51"/>
      <c r="F200" s="51" t="str">
        <f>IFERROR(INDEX(منتجات!$G$3:$G$114,MATCH(B200,منتجات!$A$3:$A$115,0)),"")</f>
        <v/>
      </c>
      <c r="G200" s="51" t="str">
        <f t="shared" si="4"/>
        <v/>
      </c>
      <c r="H200" s="53"/>
    </row>
    <row r="201" spans="1:8" x14ac:dyDescent="0.35">
      <c r="A201" s="49"/>
      <c r="B201" s="49"/>
      <c r="C201" s="49" t="str">
        <f>IFERROR(VLOOKUP(B201,منتجات!$A$3:$C$350,2,0),"")</f>
        <v/>
      </c>
      <c r="D201" s="49" t="str">
        <f>IFERROR(VLOOKUP(B201,منتجات!$A$3:$C$350,3,0),"")</f>
        <v/>
      </c>
      <c r="E201" s="49"/>
      <c r="F201" s="49" t="str">
        <f>IFERROR(INDEX(منتجات!$G$3:$G$114,MATCH(B201,منتجات!$A$3:$A$115,0)),"")</f>
        <v/>
      </c>
      <c r="G201" s="49" t="str">
        <f t="shared" si="4"/>
        <v/>
      </c>
      <c r="H201" s="54"/>
    </row>
    <row r="202" spans="1:8" x14ac:dyDescent="0.35">
      <c r="A202" s="51"/>
      <c r="B202" s="51"/>
      <c r="C202" s="51" t="str">
        <f>IFERROR(VLOOKUP(B202,منتجات!$A$3:$C$350,2,0),"")</f>
        <v/>
      </c>
      <c r="D202" s="51" t="str">
        <f>IFERROR(VLOOKUP(B202,منتجات!$A$3:$C$350,3,0),"")</f>
        <v/>
      </c>
      <c r="E202" s="51"/>
      <c r="F202" s="51" t="str">
        <f>IFERROR(INDEX(منتجات!$G$3:$G$114,MATCH(B202,منتجات!$A$3:$A$115,0)),"")</f>
        <v/>
      </c>
      <c r="G202" s="51" t="str">
        <f t="shared" si="4"/>
        <v/>
      </c>
      <c r="H202" s="53"/>
    </row>
    <row r="203" spans="1:8" x14ac:dyDescent="0.35">
      <c r="A203" s="49"/>
      <c r="B203" s="49"/>
      <c r="C203" s="49" t="str">
        <f>IFERROR(VLOOKUP(B203,منتجات!$A$3:$C$350,2,0),"")</f>
        <v/>
      </c>
      <c r="D203" s="49" t="str">
        <f>IFERROR(VLOOKUP(B203,منتجات!$A$3:$C$350,3,0),"")</f>
        <v/>
      </c>
      <c r="E203" s="49"/>
      <c r="F203" s="49" t="str">
        <f>IFERROR(INDEX(منتجات!$G$3:$G$114,MATCH(B203,منتجات!$A$3:$A$115,0)),"")</f>
        <v/>
      </c>
      <c r="G203" s="49" t="str">
        <f t="shared" si="4"/>
        <v/>
      </c>
      <c r="H203" s="54"/>
    </row>
    <row r="204" spans="1:8" x14ac:dyDescent="0.35">
      <c r="A204" s="51"/>
      <c r="B204" s="51"/>
      <c r="C204" s="51" t="str">
        <f>IFERROR(VLOOKUP(B204,منتجات!$A$3:$C$350,2,0),"")</f>
        <v/>
      </c>
      <c r="D204" s="51" t="str">
        <f>IFERROR(VLOOKUP(B204,منتجات!$A$3:$C$350,3,0),"")</f>
        <v/>
      </c>
      <c r="E204" s="51"/>
      <c r="F204" s="51" t="str">
        <f>IFERROR(INDEX(منتجات!$G$3:$G$114,MATCH(B204,منتجات!$A$3:$A$115,0)),"")</f>
        <v/>
      </c>
      <c r="G204" s="51" t="str">
        <f t="shared" si="4"/>
        <v/>
      </c>
      <c r="H204" s="53"/>
    </row>
    <row r="205" spans="1:8" x14ac:dyDescent="0.35">
      <c r="A205" s="49"/>
      <c r="B205" s="49"/>
      <c r="C205" s="49" t="str">
        <f>IFERROR(VLOOKUP(B205,منتجات!$A$3:$C$350,2,0),"")</f>
        <v/>
      </c>
      <c r="D205" s="49" t="str">
        <f>IFERROR(VLOOKUP(B205,منتجات!$A$3:$C$350,3,0),"")</f>
        <v/>
      </c>
      <c r="E205" s="49"/>
      <c r="F205" s="49" t="str">
        <f>IFERROR(INDEX(منتجات!$G$3:$G$114,MATCH(B205,منتجات!$A$3:$A$115,0)),"")</f>
        <v/>
      </c>
      <c r="G205" s="49" t="str">
        <f t="shared" si="4"/>
        <v/>
      </c>
      <c r="H205" s="54"/>
    </row>
    <row r="206" spans="1:8" x14ac:dyDescent="0.35">
      <c r="A206" s="51"/>
      <c r="B206" s="51"/>
      <c r="C206" s="51" t="str">
        <f>IFERROR(VLOOKUP(B206,منتجات!$A$3:$C$350,2,0),"")</f>
        <v/>
      </c>
      <c r="D206" s="51" t="str">
        <f>IFERROR(VLOOKUP(B206,منتجات!$A$3:$C$350,3,0),"")</f>
        <v/>
      </c>
      <c r="E206" s="51"/>
      <c r="F206" s="51" t="str">
        <f>IFERROR(INDEX(منتجات!$G$3:$G$114,MATCH(B206,منتجات!$A$3:$A$115,0)),"")</f>
        <v/>
      </c>
      <c r="G206" s="51" t="str">
        <f t="shared" ref="G206:G269" si="5">IFERROR(E206*F206*D206,"")</f>
        <v/>
      </c>
      <c r="H206" s="53"/>
    </row>
    <row r="207" spans="1:8" x14ac:dyDescent="0.35">
      <c r="A207" s="49"/>
      <c r="B207" s="49"/>
      <c r="C207" s="49" t="str">
        <f>IFERROR(VLOOKUP(B207,منتجات!$A$3:$C$350,2,0),"")</f>
        <v/>
      </c>
      <c r="D207" s="49" t="str">
        <f>IFERROR(VLOOKUP(B207,منتجات!$A$3:$C$350,3,0),"")</f>
        <v/>
      </c>
      <c r="E207" s="49"/>
      <c r="F207" s="49" t="str">
        <f>IFERROR(INDEX(منتجات!$G$3:$G$114,MATCH(B207,منتجات!$A$3:$A$115,0)),"")</f>
        <v/>
      </c>
      <c r="G207" s="49" t="str">
        <f t="shared" si="5"/>
        <v/>
      </c>
      <c r="H207" s="54"/>
    </row>
    <row r="208" spans="1:8" x14ac:dyDescent="0.35">
      <c r="A208" s="51"/>
      <c r="B208" s="51"/>
      <c r="C208" s="51" t="str">
        <f>IFERROR(VLOOKUP(B208,منتجات!$A$3:$C$350,2,0),"")</f>
        <v/>
      </c>
      <c r="D208" s="51" t="str">
        <f>IFERROR(VLOOKUP(B208,منتجات!$A$3:$C$350,3,0),"")</f>
        <v/>
      </c>
      <c r="E208" s="51"/>
      <c r="F208" s="51" t="str">
        <f>IFERROR(INDEX(منتجات!$G$3:$G$114,MATCH(B208,منتجات!$A$3:$A$115,0)),"")</f>
        <v/>
      </c>
      <c r="G208" s="51" t="str">
        <f t="shared" si="5"/>
        <v/>
      </c>
      <c r="H208" s="53"/>
    </row>
    <row r="209" spans="1:8" x14ac:dyDescent="0.35">
      <c r="A209" s="49"/>
      <c r="B209" s="49"/>
      <c r="C209" s="49" t="str">
        <f>IFERROR(VLOOKUP(B209,منتجات!$A$3:$C$350,2,0),"")</f>
        <v/>
      </c>
      <c r="D209" s="49" t="str">
        <f>IFERROR(VLOOKUP(B209,منتجات!$A$3:$C$350,3,0),"")</f>
        <v/>
      </c>
      <c r="E209" s="49"/>
      <c r="F209" s="49" t="str">
        <f>IFERROR(INDEX(منتجات!$G$3:$G$114,MATCH(B209,منتجات!$A$3:$A$115,0)),"")</f>
        <v/>
      </c>
      <c r="G209" s="49" t="str">
        <f t="shared" si="5"/>
        <v/>
      </c>
      <c r="H209" s="54"/>
    </row>
    <row r="210" spans="1:8" x14ac:dyDescent="0.35">
      <c r="A210" s="51"/>
      <c r="B210" s="51"/>
      <c r="C210" s="51" t="str">
        <f>IFERROR(VLOOKUP(B210,منتجات!$A$3:$C$350,2,0),"")</f>
        <v/>
      </c>
      <c r="D210" s="51" t="str">
        <f>IFERROR(VLOOKUP(B210,منتجات!$A$3:$C$350,3,0),"")</f>
        <v/>
      </c>
      <c r="E210" s="51"/>
      <c r="F210" s="51" t="str">
        <f>IFERROR(INDEX(منتجات!$G$3:$G$114,MATCH(B210,منتجات!$A$3:$A$115,0)),"")</f>
        <v/>
      </c>
      <c r="G210" s="51" t="str">
        <f t="shared" si="5"/>
        <v/>
      </c>
      <c r="H210" s="53"/>
    </row>
    <row r="211" spans="1:8" x14ac:dyDescent="0.35">
      <c r="A211" s="49"/>
      <c r="B211" s="49"/>
      <c r="C211" s="49" t="str">
        <f>IFERROR(VLOOKUP(B211,منتجات!$A$3:$C$350,2,0),"")</f>
        <v/>
      </c>
      <c r="D211" s="49" t="str">
        <f>IFERROR(VLOOKUP(B211,منتجات!$A$3:$C$350,3,0),"")</f>
        <v/>
      </c>
      <c r="E211" s="49"/>
      <c r="F211" s="49" t="str">
        <f>IFERROR(INDEX(منتجات!$G$3:$G$114,MATCH(B211,منتجات!$A$3:$A$115,0)),"")</f>
        <v/>
      </c>
      <c r="G211" s="49" t="str">
        <f t="shared" si="5"/>
        <v/>
      </c>
      <c r="H211" s="54"/>
    </row>
    <row r="212" spans="1:8" x14ac:dyDescent="0.35">
      <c r="A212" s="51"/>
      <c r="B212" s="51"/>
      <c r="C212" s="51" t="str">
        <f>IFERROR(VLOOKUP(B212,منتجات!$A$3:$C$350,2,0),"")</f>
        <v/>
      </c>
      <c r="D212" s="51" t="str">
        <f>IFERROR(VLOOKUP(B212,منتجات!$A$3:$C$350,3,0),"")</f>
        <v/>
      </c>
      <c r="E212" s="51"/>
      <c r="F212" s="51" t="str">
        <f>IFERROR(INDEX(منتجات!$G$3:$G$114,MATCH(B212,منتجات!$A$3:$A$115,0)),"")</f>
        <v/>
      </c>
      <c r="G212" s="51" t="str">
        <f t="shared" si="5"/>
        <v/>
      </c>
      <c r="H212" s="53"/>
    </row>
    <row r="213" spans="1:8" x14ac:dyDescent="0.35">
      <c r="A213" s="49"/>
      <c r="B213" s="49"/>
      <c r="C213" s="49" t="str">
        <f>IFERROR(VLOOKUP(B213,منتجات!$A$3:$C$350,2,0),"")</f>
        <v/>
      </c>
      <c r="D213" s="49" t="str">
        <f>IFERROR(VLOOKUP(B213,منتجات!$A$3:$C$350,3,0),"")</f>
        <v/>
      </c>
      <c r="E213" s="49"/>
      <c r="F213" s="49" t="str">
        <f>IFERROR(INDEX(منتجات!$G$3:$G$114,MATCH(B213,منتجات!$A$3:$A$115,0)),"")</f>
        <v/>
      </c>
      <c r="G213" s="49" t="str">
        <f t="shared" si="5"/>
        <v/>
      </c>
      <c r="H213" s="54"/>
    </row>
    <row r="214" spans="1:8" x14ac:dyDescent="0.35">
      <c r="A214" s="51"/>
      <c r="B214" s="51"/>
      <c r="C214" s="51" t="str">
        <f>IFERROR(VLOOKUP(B214,منتجات!$A$3:$C$350,2,0),"")</f>
        <v/>
      </c>
      <c r="D214" s="51" t="str">
        <f>IFERROR(VLOOKUP(B214,منتجات!$A$3:$C$350,3,0),"")</f>
        <v/>
      </c>
      <c r="E214" s="51"/>
      <c r="F214" s="51" t="str">
        <f>IFERROR(INDEX(منتجات!$G$3:$G$114,MATCH(B214,منتجات!$A$3:$A$115,0)),"")</f>
        <v/>
      </c>
      <c r="G214" s="51" t="str">
        <f t="shared" si="5"/>
        <v/>
      </c>
      <c r="H214" s="53"/>
    </row>
    <row r="215" spans="1:8" x14ac:dyDescent="0.35">
      <c r="A215" s="49"/>
      <c r="B215" s="49"/>
      <c r="C215" s="49" t="str">
        <f>IFERROR(VLOOKUP(B215,منتجات!$A$3:$C$350,2,0),"")</f>
        <v/>
      </c>
      <c r="D215" s="49" t="str">
        <f>IFERROR(VLOOKUP(B215,منتجات!$A$3:$C$350,3,0),"")</f>
        <v/>
      </c>
      <c r="E215" s="49"/>
      <c r="F215" s="49" t="str">
        <f>IFERROR(INDEX(منتجات!$G$3:$G$114,MATCH(B215,منتجات!$A$3:$A$115,0)),"")</f>
        <v/>
      </c>
      <c r="G215" s="49" t="str">
        <f t="shared" si="5"/>
        <v/>
      </c>
      <c r="H215" s="54"/>
    </row>
    <row r="216" spans="1:8" x14ac:dyDescent="0.35">
      <c r="A216" s="51"/>
      <c r="B216" s="51"/>
      <c r="C216" s="51" t="str">
        <f>IFERROR(VLOOKUP(B216,منتجات!$A$3:$C$350,2,0),"")</f>
        <v/>
      </c>
      <c r="D216" s="51" t="str">
        <f>IFERROR(VLOOKUP(B216,منتجات!$A$3:$C$350,3,0),"")</f>
        <v/>
      </c>
      <c r="E216" s="51"/>
      <c r="F216" s="51" t="str">
        <f>IFERROR(INDEX(منتجات!$G$3:$G$114,MATCH(B216,منتجات!$A$3:$A$115,0)),"")</f>
        <v/>
      </c>
      <c r="G216" s="51" t="str">
        <f t="shared" si="5"/>
        <v/>
      </c>
      <c r="H216" s="53"/>
    </row>
    <row r="217" spans="1:8" x14ac:dyDescent="0.35">
      <c r="A217" s="49"/>
      <c r="B217" s="49"/>
      <c r="C217" s="49" t="str">
        <f>IFERROR(VLOOKUP(B217,منتجات!$A$3:$C$350,2,0),"")</f>
        <v/>
      </c>
      <c r="D217" s="49" t="str">
        <f>IFERROR(VLOOKUP(B217,منتجات!$A$3:$C$350,3,0),"")</f>
        <v/>
      </c>
      <c r="E217" s="49"/>
      <c r="F217" s="49" t="str">
        <f>IFERROR(INDEX(منتجات!$G$3:$G$114,MATCH(B217,منتجات!$A$3:$A$115,0)),"")</f>
        <v/>
      </c>
      <c r="G217" s="49" t="str">
        <f t="shared" si="5"/>
        <v/>
      </c>
      <c r="H217" s="54"/>
    </row>
    <row r="218" spans="1:8" x14ac:dyDescent="0.35">
      <c r="A218" s="51"/>
      <c r="B218" s="51"/>
      <c r="C218" s="51" t="str">
        <f>IFERROR(VLOOKUP(B218,منتجات!$A$3:$C$350,2,0),"")</f>
        <v/>
      </c>
      <c r="D218" s="51" t="str">
        <f>IFERROR(VLOOKUP(B218,منتجات!$A$3:$C$350,3,0),"")</f>
        <v/>
      </c>
      <c r="E218" s="51"/>
      <c r="F218" s="51" t="str">
        <f>IFERROR(INDEX(منتجات!$G$3:$G$114,MATCH(B218,منتجات!$A$3:$A$115,0)),"")</f>
        <v/>
      </c>
      <c r="G218" s="51" t="str">
        <f t="shared" si="5"/>
        <v/>
      </c>
      <c r="H218" s="53"/>
    </row>
    <row r="219" spans="1:8" x14ac:dyDescent="0.35">
      <c r="A219" s="49"/>
      <c r="B219" s="49"/>
      <c r="C219" s="49" t="str">
        <f>IFERROR(VLOOKUP(B219,منتجات!$A$3:$C$350,2,0),"")</f>
        <v/>
      </c>
      <c r="D219" s="49" t="str">
        <f>IFERROR(VLOOKUP(B219,منتجات!$A$3:$C$350,3,0),"")</f>
        <v/>
      </c>
      <c r="E219" s="49"/>
      <c r="F219" s="49" t="str">
        <f>IFERROR(INDEX(منتجات!$G$3:$G$114,MATCH(B219,منتجات!$A$3:$A$115,0)),"")</f>
        <v/>
      </c>
      <c r="G219" s="49" t="str">
        <f t="shared" si="5"/>
        <v/>
      </c>
      <c r="H219" s="54"/>
    </row>
    <row r="220" spans="1:8" x14ac:dyDescent="0.35">
      <c r="A220" s="51"/>
      <c r="B220" s="51"/>
      <c r="C220" s="51" t="str">
        <f>IFERROR(VLOOKUP(B220,منتجات!$A$3:$C$350,2,0),"")</f>
        <v/>
      </c>
      <c r="D220" s="51" t="str">
        <f>IFERROR(VLOOKUP(B220,منتجات!$A$3:$C$350,3,0),"")</f>
        <v/>
      </c>
      <c r="E220" s="51"/>
      <c r="F220" s="51" t="str">
        <f>IFERROR(INDEX(منتجات!$G$3:$G$114,MATCH(B220,منتجات!$A$3:$A$115,0)),"")</f>
        <v/>
      </c>
      <c r="G220" s="51" t="str">
        <f t="shared" si="5"/>
        <v/>
      </c>
      <c r="H220" s="53"/>
    </row>
    <row r="221" spans="1:8" x14ac:dyDescent="0.35">
      <c r="A221" s="49"/>
      <c r="B221" s="49"/>
      <c r="C221" s="49" t="str">
        <f>IFERROR(VLOOKUP(B221,منتجات!$A$3:$C$350,2,0),"")</f>
        <v/>
      </c>
      <c r="D221" s="49" t="str">
        <f>IFERROR(VLOOKUP(B221,منتجات!$A$3:$C$350,3,0),"")</f>
        <v/>
      </c>
      <c r="E221" s="49"/>
      <c r="F221" s="49" t="str">
        <f>IFERROR(INDEX(منتجات!$G$3:$G$114,MATCH(B221,منتجات!$A$3:$A$115,0)),"")</f>
        <v/>
      </c>
      <c r="G221" s="49" t="str">
        <f t="shared" si="5"/>
        <v/>
      </c>
      <c r="H221" s="54"/>
    </row>
    <row r="222" spans="1:8" x14ac:dyDescent="0.35">
      <c r="A222" s="51"/>
      <c r="B222" s="51"/>
      <c r="C222" s="51" t="str">
        <f>IFERROR(VLOOKUP(B222,منتجات!$A$3:$C$350,2,0),"")</f>
        <v/>
      </c>
      <c r="D222" s="51" t="str">
        <f>IFERROR(VLOOKUP(B222,منتجات!$A$3:$C$350,3,0),"")</f>
        <v/>
      </c>
      <c r="E222" s="51"/>
      <c r="F222" s="51" t="str">
        <f>IFERROR(INDEX(منتجات!$G$3:$G$114,MATCH(B222,منتجات!$A$3:$A$115,0)),"")</f>
        <v/>
      </c>
      <c r="G222" s="51" t="str">
        <f t="shared" si="5"/>
        <v/>
      </c>
      <c r="H222" s="53"/>
    </row>
    <row r="223" spans="1:8" x14ac:dyDescent="0.35">
      <c r="A223" s="49"/>
      <c r="B223" s="49"/>
      <c r="C223" s="51" t="str">
        <f>IFERROR(VLOOKUP(B223,منتجات!$A$3:$C$350,2,0),"")</f>
        <v/>
      </c>
      <c r="D223" s="49" t="str">
        <f>IFERROR(VLOOKUP(B223,منتجات!$A$3:$C$350,3,0),"")</f>
        <v/>
      </c>
      <c r="E223" s="49"/>
      <c r="F223" s="49" t="str">
        <f>IFERROR(INDEX(منتجات!$G$3:$G$114,MATCH(B223,منتجات!$A$3:$A$115,0)),"")</f>
        <v/>
      </c>
      <c r="G223" s="49" t="str">
        <f t="shared" si="5"/>
        <v/>
      </c>
      <c r="H223" s="54"/>
    </row>
    <row r="224" spans="1:8" x14ac:dyDescent="0.35">
      <c r="A224" s="51"/>
      <c r="B224" s="51"/>
      <c r="C224" s="51" t="str">
        <f>IFERROR(VLOOKUP(B224,منتجات!$A$3:$C$350,2,0),"")</f>
        <v/>
      </c>
      <c r="D224" s="51" t="str">
        <f>IFERROR(VLOOKUP(B224,منتجات!$A$3:$C$350,3,0),"")</f>
        <v/>
      </c>
      <c r="E224" s="51"/>
      <c r="F224" s="51" t="str">
        <f>IFERROR(INDEX(منتجات!$G$3:$G$114,MATCH(B224,منتجات!$A$3:$A$115,0)),"")</f>
        <v/>
      </c>
      <c r="G224" s="51" t="str">
        <f t="shared" si="5"/>
        <v/>
      </c>
      <c r="H224" s="53"/>
    </row>
    <row r="225" spans="1:8" x14ac:dyDescent="0.35">
      <c r="A225" s="49"/>
      <c r="B225" s="49"/>
      <c r="C225" s="51" t="str">
        <f>IFERROR(VLOOKUP(B225,منتجات!$A$3:$C$350,2,0),"")</f>
        <v/>
      </c>
      <c r="D225" s="49" t="str">
        <f>IFERROR(VLOOKUP(B225,منتجات!$A$3:$C$350,3,0),"")</f>
        <v/>
      </c>
      <c r="E225" s="49"/>
      <c r="F225" s="49" t="str">
        <f>IFERROR(INDEX(منتجات!$G$3:$G$114,MATCH(B225,منتجات!$A$3:$A$115,0)),"")</f>
        <v/>
      </c>
      <c r="G225" s="49" t="str">
        <f t="shared" si="5"/>
        <v/>
      </c>
      <c r="H225" s="54"/>
    </row>
    <row r="226" spans="1:8" x14ac:dyDescent="0.35">
      <c r="A226" s="51"/>
      <c r="B226" s="51"/>
      <c r="C226" s="51" t="str">
        <f>IFERROR(VLOOKUP(B226,منتجات!$A$3:$C$350,2,0),"")</f>
        <v/>
      </c>
      <c r="D226" s="51" t="str">
        <f>IFERROR(VLOOKUP(B226,منتجات!$A$3:$C$350,3,0),"")</f>
        <v/>
      </c>
      <c r="E226" s="51"/>
      <c r="F226" s="51" t="str">
        <f>IFERROR(INDEX(منتجات!$G$3:$G$114,MATCH(B226,منتجات!$A$3:$A$115,0)),"")</f>
        <v/>
      </c>
      <c r="G226" s="51" t="str">
        <f t="shared" si="5"/>
        <v/>
      </c>
      <c r="H226" s="53"/>
    </row>
    <row r="227" spans="1:8" x14ac:dyDescent="0.35">
      <c r="A227" s="49"/>
      <c r="B227" s="49"/>
      <c r="C227" s="51" t="str">
        <f>IFERROR(VLOOKUP(B227,منتجات!$A$3:$C$350,2,0),"")</f>
        <v/>
      </c>
      <c r="D227" s="49" t="str">
        <f>IFERROR(VLOOKUP(B227,منتجات!$A$3:$C$350,3,0),"")</f>
        <v/>
      </c>
      <c r="E227" s="49"/>
      <c r="F227" s="49" t="str">
        <f>IFERROR(INDEX(منتجات!$G$3:$G$114,MATCH(B227,منتجات!$A$3:$A$115,0)),"")</f>
        <v/>
      </c>
      <c r="G227" s="49" t="str">
        <f t="shared" si="5"/>
        <v/>
      </c>
      <c r="H227" s="54"/>
    </row>
    <row r="228" spans="1:8" x14ac:dyDescent="0.35">
      <c r="A228" s="51"/>
      <c r="B228" s="51"/>
      <c r="C228" s="51" t="str">
        <f>IFERROR(VLOOKUP(B228,منتجات!$A$3:$C$350,2,0),"")</f>
        <v/>
      </c>
      <c r="D228" s="51" t="str">
        <f>IFERROR(VLOOKUP(B228,منتجات!$A$3:$C$350,3,0),"")</f>
        <v/>
      </c>
      <c r="E228" s="51"/>
      <c r="F228" s="51" t="str">
        <f>IFERROR(INDEX(منتجات!$G$3:$G$114,MATCH(B228,منتجات!$A$3:$A$115,0)),"")</f>
        <v/>
      </c>
      <c r="G228" s="51" t="str">
        <f t="shared" si="5"/>
        <v/>
      </c>
      <c r="H228" s="53"/>
    </row>
    <row r="229" spans="1:8" x14ac:dyDescent="0.35">
      <c r="A229" s="49"/>
      <c r="B229" s="49"/>
      <c r="C229" s="51" t="str">
        <f>IFERROR(VLOOKUP(B229,منتجات!$A$3:$C$350,2,0),"")</f>
        <v/>
      </c>
      <c r="D229" s="49" t="str">
        <f>IFERROR(VLOOKUP(B229,منتجات!$A$3:$C$350,3,0),"")</f>
        <v/>
      </c>
      <c r="E229" s="49"/>
      <c r="F229" s="49" t="str">
        <f>IFERROR(INDEX(منتجات!$G$3:$G$114,MATCH(B229,منتجات!$A$3:$A$115,0)),"")</f>
        <v/>
      </c>
      <c r="G229" s="49" t="str">
        <f t="shared" si="5"/>
        <v/>
      </c>
      <c r="H229" s="54"/>
    </row>
    <row r="230" spans="1:8" x14ac:dyDescent="0.35">
      <c r="A230" s="51"/>
      <c r="B230" s="51"/>
      <c r="C230" s="51" t="str">
        <f>IFERROR(VLOOKUP(B230,منتجات!$A$3:$C$350,2,0),"")</f>
        <v/>
      </c>
      <c r="D230" s="51" t="str">
        <f>IFERROR(VLOOKUP(B230,منتجات!$A$3:$C$350,3,0),"")</f>
        <v/>
      </c>
      <c r="E230" s="51"/>
      <c r="F230" s="51" t="str">
        <f>IFERROR(INDEX(منتجات!$G$3:$G$114,MATCH(B230,منتجات!$A$3:$A$115,0)),"")</f>
        <v/>
      </c>
      <c r="G230" s="51" t="str">
        <f t="shared" si="5"/>
        <v/>
      </c>
      <c r="H230" s="53"/>
    </row>
    <row r="231" spans="1:8" x14ac:dyDescent="0.35">
      <c r="A231" s="49"/>
      <c r="B231" s="49"/>
      <c r="C231" s="51" t="str">
        <f>IFERROR(VLOOKUP(B231,منتجات!$A$3:$C$350,2,0),"")</f>
        <v/>
      </c>
      <c r="D231" s="49" t="str">
        <f>IFERROR(VLOOKUP(B231,منتجات!$A$3:$C$350,3,0),"")</f>
        <v/>
      </c>
      <c r="E231" s="49"/>
      <c r="F231" s="49" t="str">
        <f>IFERROR(INDEX(منتجات!$G$3:$G$114,MATCH(B231,منتجات!$A$3:$A$115,0)),"")</f>
        <v/>
      </c>
      <c r="G231" s="49" t="str">
        <f t="shared" si="5"/>
        <v/>
      </c>
      <c r="H231" s="54"/>
    </row>
    <row r="232" spans="1:8" x14ac:dyDescent="0.35">
      <c r="A232" s="51"/>
      <c r="B232" s="51"/>
      <c r="C232" s="51" t="str">
        <f>IFERROR(VLOOKUP(B232,منتجات!$A$3:$C$350,2,0),"")</f>
        <v/>
      </c>
      <c r="D232" s="51" t="str">
        <f>IFERROR(VLOOKUP(B232,منتجات!$A$3:$C$350,3,0),"")</f>
        <v/>
      </c>
      <c r="E232" s="51"/>
      <c r="F232" s="51" t="str">
        <f>IFERROR(INDEX(منتجات!$G$3:$G$114,MATCH(B232,منتجات!$A$3:$A$115,0)),"")</f>
        <v/>
      </c>
      <c r="G232" s="51" t="str">
        <f t="shared" si="5"/>
        <v/>
      </c>
      <c r="H232" s="53"/>
    </row>
    <row r="233" spans="1:8" x14ac:dyDescent="0.35">
      <c r="A233" s="49"/>
      <c r="B233" s="49"/>
      <c r="C233" s="51" t="str">
        <f>IFERROR(VLOOKUP(B233,منتجات!$A$3:$C$350,2,0),"")</f>
        <v/>
      </c>
      <c r="D233" s="49" t="str">
        <f>IFERROR(VLOOKUP(B233,منتجات!$A$3:$C$350,3,0),"")</f>
        <v/>
      </c>
      <c r="E233" s="49"/>
      <c r="F233" s="49" t="str">
        <f>IFERROR(INDEX(منتجات!$G$3:$G$114,MATCH(B233,منتجات!$A$3:$A$115,0)),"")</f>
        <v/>
      </c>
      <c r="G233" s="49" t="str">
        <f t="shared" si="5"/>
        <v/>
      </c>
      <c r="H233" s="54"/>
    </row>
    <row r="234" spans="1:8" x14ac:dyDescent="0.35">
      <c r="A234" s="51"/>
      <c r="B234" s="51"/>
      <c r="C234" s="51" t="str">
        <f>IFERROR(VLOOKUP(B234,منتجات!$A$3:$C$350,2,0),"")</f>
        <v/>
      </c>
      <c r="D234" s="51" t="str">
        <f>IFERROR(VLOOKUP(B234,منتجات!$A$3:$C$350,3,0),"")</f>
        <v/>
      </c>
      <c r="E234" s="51"/>
      <c r="F234" s="51" t="str">
        <f>IFERROR(INDEX(منتجات!$G$3:$G$114,MATCH(B234,منتجات!$A$3:$A$115,0)),"")</f>
        <v/>
      </c>
      <c r="G234" s="51" t="str">
        <f t="shared" si="5"/>
        <v/>
      </c>
      <c r="H234" s="53"/>
    </row>
    <row r="235" spans="1:8" x14ac:dyDescent="0.35">
      <c r="A235" s="49"/>
      <c r="B235" s="49"/>
      <c r="C235" s="51" t="str">
        <f>IFERROR(VLOOKUP(B235,منتجات!$A$3:$C$350,2,0),"")</f>
        <v/>
      </c>
      <c r="D235" s="49" t="str">
        <f>IFERROR(VLOOKUP(B235,منتجات!$A$3:$C$350,3,0),"")</f>
        <v/>
      </c>
      <c r="E235" s="49"/>
      <c r="F235" s="49" t="str">
        <f>IFERROR(INDEX(منتجات!$G$3:$G$114,MATCH(B235,منتجات!$A$3:$A$115,0)),"")</f>
        <v/>
      </c>
      <c r="G235" s="49" t="str">
        <f t="shared" si="5"/>
        <v/>
      </c>
      <c r="H235" s="54"/>
    </row>
    <row r="236" spans="1:8" x14ac:dyDescent="0.35">
      <c r="A236" s="51"/>
      <c r="B236" s="51"/>
      <c r="C236" s="51" t="str">
        <f>IFERROR(VLOOKUP(B236,منتجات!$A$3:$C$350,2,0),"")</f>
        <v/>
      </c>
      <c r="D236" s="51" t="str">
        <f>IFERROR(VLOOKUP(B236,منتجات!$A$3:$C$350,3,0),"")</f>
        <v/>
      </c>
      <c r="E236" s="51"/>
      <c r="F236" s="51" t="str">
        <f>IFERROR(INDEX(منتجات!$G$3:$G$114,MATCH(B236,منتجات!$A$3:$A$115,0)),"")</f>
        <v/>
      </c>
      <c r="G236" s="51" t="str">
        <f t="shared" si="5"/>
        <v/>
      </c>
      <c r="H236" s="53"/>
    </row>
    <row r="237" spans="1:8" x14ac:dyDescent="0.35">
      <c r="A237" s="49"/>
      <c r="B237" s="49"/>
      <c r="C237" s="51" t="str">
        <f>IFERROR(VLOOKUP(B237,منتجات!$A$3:$C$350,2,0),"")</f>
        <v/>
      </c>
      <c r="D237" s="49" t="str">
        <f>IFERROR(VLOOKUP(B237,منتجات!$A$3:$C$350,3,0),"")</f>
        <v/>
      </c>
      <c r="E237" s="49"/>
      <c r="F237" s="49" t="str">
        <f>IFERROR(INDEX(منتجات!$G$3:$G$114,MATCH(B237,منتجات!$A$3:$A$115,0)),"")</f>
        <v/>
      </c>
      <c r="G237" s="49" t="str">
        <f t="shared" si="5"/>
        <v/>
      </c>
      <c r="H237" s="54"/>
    </row>
    <row r="238" spans="1:8" x14ac:dyDescent="0.35">
      <c r="A238" s="51"/>
      <c r="B238" s="51"/>
      <c r="C238" s="51" t="str">
        <f>IFERROR(VLOOKUP(B238,منتجات!$A$3:$C$350,2,0),"")</f>
        <v/>
      </c>
      <c r="D238" s="51" t="str">
        <f>IFERROR(VLOOKUP(B238,منتجات!$A$3:$C$350,3,0),"")</f>
        <v/>
      </c>
      <c r="E238" s="51"/>
      <c r="F238" s="51" t="str">
        <f>IFERROR(INDEX(منتجات!$G$3:$G$114,MATCH(B238,منتجات!$A$3:$A$115,0)),"")</f>
        <v/>
      </c>
      <c r="G238" s="51" t="str">
        <f t="shared" si="5"/>
        <v/>
      </c>
      <c r="H238" s="53"/>
    </row>
    <row r="239" spans="1:8" x14ac:dyDescent="0.35">
      <c r="A239" s="49"/>
      <c r="B239" s="49"/>
      <c r="C239" s="51" t="str">
        <f>IFERROR(VLOOKUP(B239,منتجات!$A$3:$C$350,2,0),"")</f>
        <v/>
      </c>
      <c r="D239" s="49" t="str">
        <f>IFERROR(VLOOKUP(B239,منتجات!$A$3:$C$350,3,0),"")</f>
        <v/>
      </c>
      <c r="E239" s="49"/>
      <c r="F239" s="49" t="str">
        <f>IFERROR(INDEX(منتجات!$G$3:$G$114,MATCH(B239,منتجات!$A$3:$A$115,0)),"")</f>
        <v/>
      </c>
      <c r="G239" s="49" t="str">
        <f t="shared" si="5"/>
        <v/>
      </c>
      <c r="H239" s="54"/>
    </row>
    <row r="240" spans="1:8" x14ac:dyDescent="0.35">
      <c r="A240" s="51"/>
      <c r="B240" s="51"/>
      <c r="C240" s="51" t="str">
        <f>IFERROR(VLOOKUP(B240,منتجات!$A$3:$C$350,2,0),"")</f>
        <v/>
      </c>
      <c r="D240" s="51" t="str">
        <f>IFERROR(VLOOKUP(B240,منتجات!$A$3:$C$350,3,0),"")</f>
        <v/>
      </c>
      <c r="E240" s="51"/>
      <c r="F240" s="51" t="str">
        <f>IFERROR(INDEX(منتجات!$G$3:$G$114,MATCH(B240,منتجات!$A$3:$A$115,0)),"")</f>
        <v/>
      </c>
      <c r="G240" s="51" t="str">
        <f t="shared" si="5"/>
        <v/>
      </c>
      <c r="H240" s="53"/>
    </row>
    <row r="241" spans="1:8" x14ac:dyDescent="0.35">
      <c r="A241" s="49"/>
      <c r="B241" s="49"/>
      <c r="C241" s="51" t="str">
        <f>IFERROR(VLOOKUP(B241,منتجات!$A$3:$C$350,2,0),"")</f>
        <v/>
      </c>
      <c r="D241" s="49" t="str">
        <f>IFERROR(VLOOKUP(B241,منتجات!$A$3:$C$350,3,0),"")</f>
        <v/>
      </c>
      <c r="E241" s="49"/>
      <c r="F241" s="49" t="str">
        <f>IFERROR(INDEX(منتجات!$G$3:$G$114,MATCH(B241,منتجات!$A$3:$A$115,0)),"")</f>
        <v/>
      </c>
      <c r="G241" s="49" t="str">
        <f t="shared" si="5"/>
        <v/>
      </c>
      <c r="H241" s="54"/>
    </row>
    <row r="242" spans="1:8" x14ac:dyDescent="0.35">
      <c r="A242" s="51"/>
      <c r="B242" s="51"/>
      <c r="C242" s="51" t="str">
        <f>IFERROR(VLOOKUP(B242,منتجات!$A$3:$C$350,2,0),"")</f>
        <v/>
      </c>
      <c r="D242" s="51" t="str">
        <f>IFERROR(VLOOKUP(B242,منتجات!$A$3:$C$350,3,0),"")</f>
        <v/>
      </c>
      <c r="E242" s="51"/>
      <c r="F242" s="51" t="str">
        <f>IFERROR(INDEX(منتجات!$G$3:$G$114,MATCH(B242,منتجات!$A$3:$A$115,0)),"")</f>
        <v/>
      </c>
      <c r="G242" s="51" t="str">
        <f t="shared" si="5"/>
        <v/>
      </c>
      <c r="H242" s="53"/>
    </row>
    <row r="243" spans="1:8" x14ac:dyDescent="0.35">
      <c r="A243" s="49"/>
      <c r="B243" s="49"/>
      <c r="C243" s="51" t="str">
        <f>IFERROR(VLOOKUP(B243,منتجات!$A$3:$C$350,2,0),"")</f>
        <v/>
      </c>
      <c r="D243" s="49" t="str">
        <f>IFERROR(VLOOKUP(B243,منتجات!$A$3:$C$350,3,0),"")</f>
        <v/>
      </c>
      <c r="E243" s="49"/>
      <c r="F243" s="49" t="str">
        <f>IFERROR(INDEX(منتجات!$G$3:$G$114,MATCH(B243,منتجات!$A$3:$A$115,0)),"")</f>
        <v/>
      </c>
      <c r="G243" s="49" t="str">
        <f t="shared" si="5"/>
        <v/>
      </c>
      <c r="H243" s="54"/>
    </row>
    <row r="244" spans="1:8" x14ac:dyDescent="0.35">
      <c r="A244" s="51"/>
      <c r="B244" s="51"/>
      <c r="C244" s="51" t="str">
        <f>IFERROR(VLOOKUP(B244,منتجات!$A$3:$C$350,2,0),"")</f>
        <v/>
      </c>
      <c r="D244" s="51" t="str">
        <f>IFERROR(VLOOKUP(B244,منتجات!$A$3:$C$350,3,0),"")</f>
        <v/>
      </c>
      <c r="E244" s="51"/>
      <c r="F244" s="51" t="str">
        <f>IFERROR(INDEX(منتجات!$G$3:$G$114,MATCH(B244,منتجات!$A$3:$A$115,0)),"")</f>
        <v/>
      </c>
      <c r="G244" s="51" t="str">
        <f t="shared" si="5"/>
        <v/>
      </c>
      <c r="H244" s="53"/>
    </row>
    <row r="245" spans="1:8" x14ac:dyDescent="0.35">
      <c r="A245" s="49"/>
      <c r="B245" s="49"/>
      <c r="C245" s="51" t="str">
        <f>IFERROR(VLOOKUP(B245,منتجات!$A$3:$C$350,2,0),"")</f>
        <v/>
      </c>
      <c r="D245" s="49" t="str">
        <f>IFERROR(VLOOKUP(B245,منتجات!$A$3:$C$350,3,0),"")</f>
        <v/>
      </c>
      <c r="E245" s="49"/>
      <c r="F245" s="49" t="str">
        <f>IFERROR(INDEX(منتجات!$G$3:$G$114,MATCH(B245,منتجات!$A$3:$A$115,0)),"")</f>
        <v/>
      </c>
      <c r="G245" s="49" t="str">
        <f t="shared" si="5"/>
        <v/>
      </c>
      <c r="H245" s="54"/>
    </row>
    <row r="246" spans="1:8" x14ac:dyDescent="0.35">
      <c r="A246" s="51"/>
      <c r="B246" s="51"/>
      <c r="C246" s="51" t="str">
        <f>IFERROR(VLOOKUP(B246,منتجات!$A$3:$C$350,2,0),"")</f>
        <v/>
      </c>
      <c r="D246" s="51" t="str">
        <f>IFERROR(VLOOKUP(B246,منتجات!$A$3:$C$350,3,0),"")</f>
        <v/>
      </c>
      <c r="E246" s="51"/>
      <c r="F246" s="51" t="str">
        <f>IFERROR(INDEX(منتجات!$G$3:$G$114,MATCH(B246,منتجات!$A$3:$A$115,0)),"")</f>
        <v/>
      </c>
      <c r="G246" s="51" t="str">
        <f t="shared" si="5"/>
        <v/>
      </c>
      <c r="H246" s="53"/>
    </row>
    <row r="247" spans="1:8" x14ac:dyDescent="0.35">
      <c r="A247" s="49"/>
      <c r="B247" s="49"/>
      <c r="C247" s="51" t="str">
        <f>IFERROR(VLOOKUP(B247,منتجات!$A$3:$C$350,2,0),"")</f>
        <v/>
      </c>
      <c r="D247" s="49" t="str">
        <f>IFERROR(VLOOKUP(B247,منتجات!$A$3:$C$350,3,0),"")</f>
        <v/>
      </c>
      <c r="E247" s="49"/>
      <c r="F247" s="49" t="str">
        <f>IFERROR(INDEX(منتجات!$G$3:$G$114,MATCH(B247,منتجات!$A$3:$A$115,0)),"")</f>
        <v/>
      </c>
      <c r="G247" s="49" t="str">
        <f t="shared" si="5"/>
        <v/>
      </c>
      <c r="H247" s="54"/>
    </row>
    <row r="248" spans="1:8" x14ac:dyDescent="0.35">
      <c r="A248" s="51"/>
      <c r="B248" s="51"/>
      <c r="C248" s="51" t="str">
        <f>IFERROR(VLOOKUP(B248,منتجات!$A$3:$C$350,2,0),"")</f>
        <v/>
      </c>
      <c r="D248" s="51" t="str">
        <f>IFERROR(VLOOKUP(B248,منتجات!$A$3:$C$350,3,0),"")</f>
        <v/>
      </c>
      <c r="E248" s="51"/>
      <c r="F248" s="51" t="str">
        <f>IFERROR(INDEX(منتجات!$G$3:$G$114,MATCH(B248,منتجات!$A$3:$A$115,0)),"")</f>
        <v/>
      </c>
      <c r="G248" s="51" t="str">
        <f t="shared" si="5"/>
        <v/>
      </c>
      <c r="H248" s="53"/>
    </row>
    <row r="249" spans="1:8" x14ac:dyDescent="0.35">
      <c r="A249" s="49"/>
      <c r="B249" s="49"/>
      <c r="C249" s="51" t="str">
        <f>IFERROR(VLOOKUP(B249,منتجات!$A$3:$C$350,2,0),"")</f>
        <v/>
      </c>
      <c r="D249" s="49" t="str">
        <f>IFERROR(VLOOKUP(B249,منتجات!$A$3:$C$350,3,0),"")</f>
        <v/>
      </c>
      <c r="E249" s="49"/>
      <c r="F249" s="49" t="str">
        <f>IFERROR(INDEX(منتجات!$G$3:$G$114,MATCH(B249,منتجات!$A$3:$A$115,0)),"")</f>
        <v/>
      </c>
      <c r="G249" s="49" t="str">
        <f t="shared" si="5"/>
        <v/>
      </c>
      <c r="H249" s="54"/>
    </row>
    <row r="250" spans="1:8" x14ac:dyDescent="0.35">
      <c r="A250" s="51"/>
      <c r="B250" s="51"/>
      <c r="C250" s="51" t="str">
        <f>IFERROR(VLOOKUP(B250,منتجات!$A$3:$C$350,2,0),"")</f>
        <v/>
      </c>
      <c r="D250" s="51" t="str">
        <f>IFERROR(VLOOKUP(B250,منتجات!$A$3:$C$350,3,0),"")</f>
        <v/>
      </c>
      <c r="E250" s="51"/>
      <c r="F250" s="51" t="str">
        <f>IFERROR(INDEX(منتجات!$G$3:$G$114,MATCH(B250,منتجات!$A$3:$A$115,0)),"")</f>
        <v/>
      </c>
      <c r="G250" s="51" t="str">
        <f t="shared" si="5"/>
        <v/>
      </c>
      <c r="H250" s="53"/>
    </row>
    <row r="251" spans="1:8" x14ac:dyDescent="0.35">
      <c r="A251" s="49"/>
      <c r="B251" s="49"/>
      <c r="C251" s="51" t="str">
        <f>IFERROR(VLOOKUP(B251,منتجات!$A$3:$C$350,2,0),"")</f>
        <v/>
      </c>
      <c r="D251" s="49" t="str">
        <f>IFERROR(VLOOKUP(B251,منتجات!$A$3:$C$350,3,0),"")</f>
        <v/>
      </c>
      <c r="E251" s="49"/>
      <c r="F251" s="49" t="str">
        <f>IFERROR(INDEX(منتجات!$G$3:$G$114,MATCH(B251,منتجات!$A$3:$A$115,0)),"")</f>
        <v/>
      </c>
      <c r="G251" s="49" t="str">
        <f t="shared" si="5"/>
        <v/>
      </c>
      <c r="H251" s="54"/>
    </row>
    <row r="252" spans="1:8" x14ac:dyDescent="0.35">
      <c r="A252" s="51"/>
      <c r="B252" s="51"/>
      <c r="C252" s="51" t="str">
        <f>IFERROR(VLOOKUP(B252,منتجات!$A$3:$C$350,2,0),"")</f>
        <v/>
      </c>
      <c r="D252" s="51" t="str">
        <f>IFERROR(VLOOKUP(B252,منتجات!$A$3:$C$350,3,0),"")</f>
        <v/>
      </c>
      <c r="E252" s="51"/>
      <c r="F252" s="51" t="str">
        <f>IFERROR(INDEX(منتجات!$G$3:$G$114,MATCH(B252,منتجات!$A$3:$A$115,0)),"")</f>
        <v/>
      </c>
      <c r="G252" s="51" t="str">
        <f t="shared" si="5"/>
        <v/>
      </c>
      <c r="H252" s="53"/>
    </row>
    <row r="253" spans="1:8" x14ac:dyDescent="0.35">
      <c r="A253" s="49"/>
      <c r="B253" s="49"/>
      <c r="C253" s="51" t="str">
        <f>IFERROR(VLOOKUP(B253,منتجات!$A$3:$C$350,2,0),"")</f>
        <v/>
      </c>
      <c r="D253" s="49" t="str">
        <f>IFERROR(VLOOKUP(B253,منتجات!$A$3:$C$350,3,0),"")</f>
        <v/>
      </c>
      <c r="E253" s="49"/>
      <c r="F253" s="49" t="str">
        <f>IFERROR(INDEX(منتجات!$G$3:$G$114,MATCH(B253,منتجات!$A$3:$A$115,0)),"")</f>
        <v/>
      </c>
      <c r="G253" s="49" t="str">
        <f t="shared" si="5"/>
        <v/>
      </c>
      <c r="H253" s="54"/>
    </row>
    <row r="254" spans="1:8" x14ac:dyDescent="0.35">
      <c r="A254" s="51"/>
      <c r="B254" s="51"/>
      <c r="C254" s="51" t="str">
        <f>IFERROR(VLOOKUP(B254,منتجات!$A$3:$C$350,2,0),"")</f>
        <v/>
      </c>
      <c r="D254" s="51" t="str">
        <f>IFERROR(VLOOKUP(B254,منتجات!$A$3:$C$350,3,0),"")</f>
        <v/>
      </c>
      <c r="E254" s="51"/>
      <c r="F254" s="51" t="str">
        <f>IFERROR(INDEX(منتجات!$G$3:$G$114,MATCH(B254,منتجات!$A$3:$A$115,0)),"")</f>
        <v/>
      </c>
      <c r="G254" s="51" t="str">
        <f t="shared" si="5"/>
        <v/>
      </c>
      <c r="H254" s="53"/>
    </row>
    <row r="255" spans="1:8" x14ac:dyDescent="0.35">
      <c r="A255" s="49"/>
      <c r="B255" s="49"/>
      <c r="C255" s="51" t="str">
        <f>IFERROR(VLOOKUP(B255,منتجات!$A$3:$C$350,2,0),"")</f>
        <v/>
      </c>
      <c r="D255" s="49" t="str">
        <f>IFERROR(VLOOKUP(B255,منتجات!$A$3:$C$350,3,0),"")</f>
        <v/>
      </c>
      <c r="E255" s="49"/>
      <c r="F255" s="49" t="str">
        <f>IFERROR(INDEX(منتجات!$G$3:$G$114,MATCH(B255,منتجات!$A$3:$A$115,0)),"")</f>
        <v/>
      </c>
      <c r="G255" s="49" t="str">
        <f t="shared" si="5"/>
        <v/>
      </c>
      <c r="H255" s="54"/>
    </row>
    <row r="256" spans="1:8" x14ac:dyDescent="0.35">
      <c r="A256" s="51"/>
      <c r="B256" s="51"/>
      <c r="C256" s="51" t="str">
        <f>IFERROR(VLOOKUP(B256,منتجات!$A$3:$C$350,2,0),"")</f>
        <v/>
      </c>
      <c r="D256" s="51" t="str">
        <f>IFERROR(VLOOKUP(B256,منتجات!$A$3:$C$350,3,0),"")</f>
        <v/>
      </c>
      <c r="E256" s="51"/>
      <c r="F256" s="51" t="str">
        <f>IFERROR(INDEX(منتجات!$G$3:$G$114,MATCH(B256,منتجات!$A$3:$A$115,0)),"")</f>
        <v/>
      </c>
      <c r="G256" s="51" t="str">
        <f t="shared" si="5"/>
        <v/>
      </c>
      <c r="H256" s="53"/>
    </row>
    <row r="257" spans="1:8" x14ac:dyDescent="0.35">
      <c r="A257" s="49"/>
      <c r="B257" s="49"/>
      <c r="C257" s="51" t="str">
        <f>IFERROR(VLOOKUP(B257,منتجات!$A$3:$C$350,2,0),"")</f>
        <v/>
      </c>
      <c r="D257" s="49" t="str">
        <f>IFERROR(VLOOKUP(B257,منتجات!$A$3:$C$350,3,0),"")</f>
        <v/>
      </c>
      <c r="E257" s="49"/>
      <c r="F257" s="49" t="str">
        <f>IFERROR(INDEX(منتجات!$G$3:$G$114,MATCH(B257,منتجات!$A$3:$A$115,0)),"")</f>
        <v/>
      </c>
      <c r="G257" s="49" t="str">
        <f t="shared" si="5"/>
        <v/>
      </c>
      <c r="H257" s="54"/>
    </row>
    <row r="258" spans="1:8" x14ac:dyDescent="0.35">
      <c r="A258" s="51"/>
      <c r="B258" s="51"/>
      <c r="C258" s="51" t="str">
        <f>IFERROR(VLOOKUP(B258,منتجات!$A$3:$C$350,2,0),"")</f>
        <v/>
      </c>
      <c r="D258" s="51" t="str">
        <f>IFERROR(VLOOKUP(B258,منتجات!$A$3:$C$350,3,0),"")</f>
        <v/>
      </c>
      <c r="E258" s="51"/>
      <c r="F258" s="51" t="str">
        <f>IFERROR(INDEX(منتجات!$G$3:$G$114,MATCH(B258,منتجات!$A$3:$A$115,0)),"")</f>
        <v/>
      </c>
      <c r="G258" s="51" t="str">
        <f t="shared" si="5"/>
        <v/>
      </c>
      <c r="H258" s="53"/>
    </row>
    <row r="259" spans="1:8" x14ac:dyDescent="0.35">
      <c r="A259" s="49"/>
      <c r="B259" s="49"/>
      <c r="C259" s="51" t="str">
        <f>IFERROR(VLOOKUP(B259,منتجات!$A$3:$C$350,2,0),"")</f>
        <v/>
      </c>
      <c r="D259" s="49" t="str">
        <f>IFERROR(VLOOKUP(B259,منتجات!$A$3:$C$350,3,0),"")</f>
        <v/>
      </c>
      <c r="E259" s="49"/>
      <c r="F259" s="49" t="str">
        <f>IFERROR(INDEX(منتجات!$G$3:$G$114,MATCH(B259,منتجات!$A$3:$A$115,0)),"")</f>
        <v/>
      </c>
      <c r="G259" s="49" t="str">
        <f t="shared" si="5"/>
        <v/>
      </c>
      <c r="H259" s="54"/>
    </row>
    <row r="260" spans="1:8" x14ac:dyDescent="0.35">
      <c r="A260" s="51"/>
      <c r="B260" s="51"/>
      <c r="C260" s="51" t="str">
        <f>IFERROR(VLOOKUP(B260,منتجات!$A$3:$C$350,2,0),"")</f>
        <v/>
      </c>
      <c r="D260" s="51" t="str">
        <f>IFERROR(VLOOKUP(B260,منتجات!$A$3:$C$350,3,0),"")</f>
        <v/>
      </c>
      <c r="E260" s="51"/>
      <c r="F260" s="51" t="str">
        <f>IFERROR(INDEX(منتجات!$G$3:$G$114,MATCH(B260,منتجات!$A$3:$A$115,0)),"")</f>
        <v/>
      </c>
      <c r="G260" s="51" t="str">
        <f t="shared" si="5"/>
        <v/>
      </c>
      <c r="H260" s="53"/>
    </row>
    <row r="261" spans="1:8" x14ac:dyDescent="0.35">
      <c r="A261" s="49"/>
      <c r="B261" s="49"/>
      <c r="C261" s="51" t="str">
        <f>IFERROR(VLOOKUP(B261,منتجات!$A$3:$C$350,2,0),"")</f>
        <v/>
      </c>
      <c r="D261" s="49" t="str">
        <f>IFERROR(VLOOKUP(B261,منتجات!$A$3:$C$350,3,0),"")</f>
        <v/>
      </c>
      <c r="E261" s="49"/>
      <c r="F261" s="49" t="str">
        <f>IFERROR(INDEX(منتجات!$G$3:$G$114,MATCH(B261,منتجات!$A$3:$A$115,0)),"")</f>
        <v/>
      </c>
      <c r="G261" s="49" t="str">
        <f t="shared" si="5"/>
        <v/>
      </c>
      <c r="H261" s="54"/>
    </row>
    <row r="262" spans="1:8" x14ac:dyDescent="0.35">
      <c r="A262" s="51"/>
      <c r="B262" s="51"/>
      <c r="C262" s="51" t="str">
        <f>IFERROR(VLOOKUP(B262,منتجات!$A$3:$C$350,2,0),"")</f>
        <v/>
      </c>
      <c r="D262" s="51" t="str">
        <f>IFERROR(VLOOKUP(B262,منتجات!$A$3:$C$350,3,0),"")</f>
        <v/>
      </c>
      <c r="E262" s="51"/>
      <c r="F262" s="51" t="str">
        <f>IFERROR(INDEX(منتجات!$G$3:$G$114,MATCH(B262,منتجات!$A$3:$A$115,0)),"")</f>
        <v/>
      </c>
      <c r="G262" s="51" t="str">
        <f t="shared" si="5"/>
        <v/>
      </c>
      <c r="H262" s="53"/>
    </row>
    <row r="263" spans="1:8" x14ac:dyDescent="0.35">
      <c r="A263" s="49"/>
      <c r="B263" s="49"/>
      <c r="C263" s="51" t="str">
        <f>IFERROR(VLOOKUP(B263,منتجات!$A$3:$C$350,2,0),"")</f>
        <v/>
      </c>
      <c r="D263" s="49" t="str">
        <f>IFERROR(VLOOKUP(B263,منتجات!$A$3:$C$350,3,0),"")</f>
        <v/>
      </c>
      <c r="E263" s="49"/>
      <c r="F263" s="49" t="str">
        <f>IFERROR(INDEX(منتجات!$G$3:$G$114,MATCH(B263,منتجات!$A$3:$A$115,0)),"")</f>
        <v/>
      </c>
      <c r="G263" s="49" t="str">
        <f t="shared" si="5"/>
        <v/>
      </c>
      <c r="H263" s="54"/>
    </row>
    <row r="264" spans="1:8" x14ac:dyDescent="0.35">
      <c r="A264" s="51"/>
      <c r="B264" s="51"/>
      <c r="C264" s="51" t="str">
        <f>IFERROR(VLOOKUP(B264,منتجات!$A$3:$C$350,2,0),"")</f>
        <v/>
      </c>
      <c r="D264" s="51" t="str">
        <f>IFERROR(VLOOKUP(B264,منتجات!$A$3:$C$350,3,0),"")</f>
        <v/>
      </c>
      <c r="E264" s="51"/>
      <c r="F264" s="51" t="str">
        <f>IFERROR(INDEX(منتجات!$G$3:$G$114,MATCH(B264,منتجات!$A$3:$A$115,0)),"")</f>
        <v/>
      </c>
      <c r="G264" s="51" t="str">
        <f t="shared" si="5"/>
        <v/>
      </c>
      <c r="H264" s="53"/>
    </row>
    <row r="265" spans="1:8" x14ac:dyDescent="0.35">
      <c r="A265" s="49"/>
      <c r="B265" s="49"/>
      <c r="C265" s="51" t="str">
        <f>IFERROR(VLOOKUP(B265,منتجات!$A$3:$C$350,2,0),"")</f>
        <v/>
      </c>
      <c r="D265" s="49" t="str">
        <f>IFERROR(VLOOKUP(B265,منتجات!$A$3:$C$350,3,0),"")</f>
        <v/>
      </c>
      <c r="E265" s="49"/>
      <c r="F265" s="49" t="str">
        <f>IFERROR(INDEX(منتجات!$G$3:$G$114,MATCH(B265,منتجات!$A$3:$A$115,0)),"")</f>
        <v/>
      </c>
      <c r="G265" s="49" t="str">
        <f t="shared" si="5"/>
        <v/>
      </c>
      <c r="H265" s="54"/>
    </row>
    <row r="266" spans="1:8" x14ac:dyDescent="0.35">
      <c r="A266" s="51"/>
      <c r="B266" s="51"/>
      <c r="C266" s="51" t="str">
        <f>IFERROR(VLOOKUP(B266,منتجات!$A$3:$C$350,2,0),"")</f>
        <v/>
      </c>
      <c r="D266" s="51" t="str">
        <f>IFERROR(VLOOKUP(B266,منتجات!$A$3:$C$350,3,0),"")</f>
        <v/>
      </c>
      <c r="E266" s="51"/>
      <c r="F266" s="51" t="str">
        <f>IFERROR(INDEX(منتجات!$G$3:$G$114,MATCH(B266,منتجات!$A$3:$A$115,0)),"")</f>
        <v/>
      </c>
      <c r="G266" s="51" t="str">
        <f t="shared" si="5"/>
        <v/>
      </c>
      <c r="H266" s="53"/>
    </row>
    <row r="267" spans="1:8" x14ac:dyDescent="0.35">
      <c r="A267" s="49"/>
      <c r="B267" s="49"/>
      <c r="C267" s="51" t="str">
        <f>IFERROR(VLOOKUP(B267,منتجات!$A$3:$C$350,2,0),"")</f>
        <v/>
      </c>
      <c r="D267" s="49" t="str">
        <f>IFERROR(VLOOKUP(B267,منتجات!$A$3:$C$350,3,0),"")</f>
        <v/>
      </c>
      <c r="E267" s="49"/>
      <c r="F267" s="49" t="str">
        <f>IFERROR(INDEX(منتجات!$G$3:$G$114,MATCH(B267,منتجات!$A$3:$A$115,0)),"")</f>
        <v/>
      </c>
      <c r="G267" s="49" t="str">
        <f t="shared" si="5"/>
        <v/>
      </c>
      <c r="H267" s="54"/>
    </row>
    <row r="268" spans="1:8" x14ac:dyDescent="0.35">
      <c r="A268" s="51"/>
      <c r="B268" s="51"/>
      <c r="C268" s="51" t="str">
        <f>IFERROR(VLOOKUP(B268,منتجات!$A$3:$C$350,2,0),"")</f>
        <v/>
      </c>
      <c r="D268" s="51" t="str">
        <f>IFERROR(VLOOKUP(B268,منتجات!$A$3:$C$350,3,0),"")</f>
        <v/>
      </c>
      <c r="E268" s="51"/>
      <c r="F268" s="51" t="str">
        <f>IFERROR(INDEX(منتجات!$G$3:$G$114,MATCH(B268,منتجات!$A$3:$A$115,0)),"")</f>
        <v/>
      </c>
      <c r="G268" s="51" t="str">
        <f t="shared" si="5"/>
        <v/>
      </c>
      <c r="H268" s="53"/>
    </row>
    <row r="269" spans="1:8" x14ac:dyDescent="0.35">
      <c r="A269" s="49"/>
      <c r="B269" s="49"/>
      <c r="C269" s="51" t="str">
        <f>IFERROR(VLOOKUP(B269,منتجات!$A$3:$C$350,2,0),"")</f>
        <v/>
      </c>
      <c r="D269" s="49" t="str">
        <f>IFERROR(VLOOKUP(B269,منتجات!$A$3:$C$350,3,0),"")</f>
        <v/>
      </c>
      <c r="E269" s="49"/>
      <c r="F269" s="49" t="str">
        <f>IFERROR(INDEX(منتجات!$G$3:$G$114,MATCH(B269,منتجات!$A$3:$A$115,0)),"")</f>
        <v/>
      </c>
      <c r="G269" s="49" t="str">
        <f t="shared" si="5"/>
        <v/>
      </c>
      <c r="H269" s="54"/>
    </row>
    <row r="270" spans="1:8" x14ac:dyDescent="0.35">
      <c r="A270" s="51"/>
      <c r="B270" s="51"/>
      <c r="C270" s="51" t="str">
        <f>IFERROR(VLOOKUP(B270,منتجات!$A$3:$C$350,2,0),"")</f>
        <v/>
      </c>
      <c r="D270" s="51" t="str">
        <f>IFERROR(VLOOKUP(B270,منتجات!$A$3:$C$350,3,0),"")</f>
        <v/>
      </c>
      <c r="E270" s="51"/>
      <c r="F270" s="51" t="str">
        <f>IFERROR(INDEX(منتجات!$G$3:$G$114,MATCH(B270,منتجات!$A$3:$A$115,0)),"")</f>
        <v/>
      </c>
      <c r="G270" s="51" t="str">
        <f t="shared" ref="G270:G333" si="6">IFERROR(E270*F270*D270,"")</f>
        <v/>
      </c>
      <c r="H270" s="53"/>
    </row>
    <row r="271" spans="1:8" x14ac:dyDescent="0.35">
      <c r="A271" s="49"/>
      <c r="B271" s="49"/>
      <c r="C271" s="51" t="str">
        <f>IFERROR(VLOOKUP(B271,منتجات!$A$3:$C$350,2,0),"")</f>
        <v/>
      </c>
      <c r="D271" s="49" t="str">
        <f>IFERROR(VLOOKUP(B271,منتجات!$A$3:$C$350,3,0),"")</f>
        <v/>
      </c>
      <c r="E271" s="49"/>
      <c r="F271" s="49" t="str">
        <f>IFERROR(INDEX(منتجات!$G$3:$G$114,MATCH(B271,منتجات!$A$3:$A$115,0)),"")</f>
        <v/>
      </c>
      <c r="G271" s="49" t="str">
        <f t="shared" si="6"/>
        <v/>
      </c>
      <c r="H271" s="54"/>
    </row>
    <row r="272" spans="1:8" x14ac:dyDescent="0.35">
      <c r="A272" s="51"/>
      <c r="B272" s="51"/>
      <c r="C272" s="51" t="str">
        <f>IFERROR(VLOOKUP(B272,منتجات!$A$3:$C$350,2,0),"")</f>
        <v/>
      </c>
      <c r="D272" s="51" t="str">
        <f>IFERROR(VLOOKUP(B272,منتجات!$A$3:$C$350,3,0),"")</f>
        <v/>
      </c>
      <c r="E272" s="51"/>
      <c r="F272" s="51" t="str">
        <f>IFERROR(INDEX(منتجات!$G$3:$G$114,MATCH(B272,منتجات!$A$3:$A$115,0)),"")</f>
        <v/>
      </c>
      <c r="G272" s="51" t="str">
        <f t="shared" si="6"/>
        <v/>
      </c>
      <c r="H272" s="53"/>
    </row>
    <row r="273" spans="1:8" x14ac:dyDescent="0.35">
      <c r="A273" s="49"/>
      <c r="B273" s="49"/>
      <c r="C273" s="51" t="str">
        <f>IFERROR(VLOOKUP(B273,منتجات!$A$3:$C$350,2,0),"")</f>
        <v/>
      </c>
      <c r="D273" s="49" t="str">
        <f>IFERROR(VLOOKUP(B273,منتجات!$A$3:$C$350,3,0),"")</f>
        <v/>
      </c>
      <c r="E273" s="49"/>
      <c r="F273" s="49" t="str">
        <f>IFERROR(INDEX(منتجات!$G$3:$G$114,MATCH(B273,منتجات!$A$3:$A$115,0)),"")</f>
        <v/>
      </c>
      <c r="G273" s="49" t="str">
        <f t="shared" si="6"/>
        <v/>
      </c>
      <c r="H273" s="54"/>
    </row>
    <row r="274" spans="1:8" x14ac:dyDescent="0.35">
      <c r="A274" s="51"/>
      <c r="B274" s="51"/>
      <c r="C274" s="51" t="str">
        <f>IFERROR(VLOOKUP(B274,منتجات!$A$3:$C$350,2,0),"")</f>
        <v/>
      </c>
      <c r="D274" s="51" t="str">
        <f>IFERROR(VLOOKUP(B274,منتجات!$A$3:$C$350,3,0),"")</f>
        <v/>
      </c>
      <c r="E274" s="51"/>
      <c r="F274" s="51" t="str">
        <f>IFERROR(INDEX(منتجات!$G$3:$G$114,MATCH(B274,منتجات!$A$3:$A$115,0)),"")</f>
        <v/>
      </c>
      <c r="G274" s="51" t="str">
        <f t="shared" si="6"/>
        <v/>
      </c>
      <c r="H274" s="53"/>
    </row>
    <row r="275" spans="1:8" x14ac:dyDescent="0.35">
      <c r="A275" s="49"/>
      <c r="B275" s="49"/>
      <c r="C275" s="51" t="str">
        <f>IFERROR(VLOOKUP(B275,منتجات!$A$3:$C$350,2,0),"")</f>
        <v/>
      </c>
      <c r="D275" s="49" t="str">
        <f>IFERROR(VLOOKUP(B275,منتجات!$A$3:$C$350,3,0),"")</f>
        <v/>
      </c>
      <c r="E275" s="49"/>
      <c r="F275" s="49" t="str">
        <f>IFERROR(INDEX(منتجات!$G$3:$G$114,MATCH(B275,منتجات!$A$3:$A$115,0)),"")</f>
        <v/>
      </c>
      <c r="G275" s="49" t="str">
        <f t="shared" si="6"/>
        <v/>
      </c>
      <c r="H275" s="54"/>
    </row>
    <row r="276" spans="1:8" x14ac:dyDescent="0.35">
      <c r="A276" s="51"/>
      <c r="B276" s="51"/>
      <c r="C276" s="51" t="str">
        <f>IFERROR(VLOOKUP(B276,منتجات!$A$3:$C$350,2,0),"")</f>
        <v/>
      </c>
      <c r="D276" s="51" t="str">
        <f>IFERROR(VLOOKUP(B276,منتجات!$A$3:$C$350,3,0),"")</f>
        <v/>
      </c>
      <c r="E276" s="51"/>
      <c r="F276" s="51" t="str">
        <f>IFERROR(INDEX(منتجات!$G$3:$G$114,MATCH(B276,منتجات!$A$3:$A$115,0)),"")</f>
        <v/>
      </c>
      <c r="G276" s="51" t="str">
        <f t="shared" si="6"/>
        <v/>
      </c>
      <c r="H276" s="53"/>
    </row>
    <row r="277" spans="1:8" x14ac:dyDescent="0.35">
      <c r="A277" s="49"/>
      <c r="B277" s="49"/>
      <c r="C277" s="51" t="str">
        <f>IFERROR(VLOOKUP(B277,منتجات!$A$3:$C$350,2,0),"")</f>
        <v/>
      </c>
      <c r="D277" s="49" t="str">
        <f>IFERROR(VLOOKUP(B277,منتجات!$A$3:$C$350,3,0),"")</f>
        <v/>
      </c>
      <c r="E277" s="49"/>
      <c r="F277" s="49" t="str">
        <f>IFERROR(INDEX(منتجات!$G$3:$G$114,MATCH(B277,منتجات!$A$3:$A$115,0)),"")</f>
        <v/>
      </c>
      <c r="G277" s="49" t="str">
        <f t="shared" si="6"/>
        <v/>
      </c>
      <c r="H277" s="54"/>
    </row>
    <row r="278" spans="1:8" x14ac:dyDescent="0.35">
      <c r="A278" s="51"/>
      <c r="B278" s="51"/>
      <c r="C278" s="51" t="str">
        <f>IFERROR(VLOOKUP(B278,منتجات!$A$3:$C$350,2,0),"")</f>
        <v/>
      </c>
      <c r="D278" s="51" t="str">
        <f>IFERROR(VLOOKUP(B278,منتجات!$A$3:$C$350,3,0),"")</f>
        <v/>
      </c>
      <c r="E278" s="51"/>
      <c r="F278" s="51" t="str">
        <f>IFERROR(INDEX(منتجات!$G$3:$G$114,MATCH(B278,منتجات!$A$3:$A$115,0)),"")</f>
        <v/>
      </c>
      <c r="G278" s="51" t="str">
        <f t="shared" si="6"/>
        <v/>
      </c>
      <c r="H278" s="53"/>
    </row>
    <row r="279" spans="1:8" x14ac:dyDescent="0.35">
      <c r="A279" s="49"/>
      <c r="B279" s="49"/>
      <c r="C279" s="51" t="str">
        <f>IFERROR(VLOOKUP(B279,منتجات!$A$3:$C$350,2,0),"")</f>
        <v/>
      </c>
      <c r="D279" s="49" t="str">
        <f>IFERROR(VLOOKUP(B279,منتجات!$A$3:$C$350,3,0),"")</f>
        <v/>
      </c>
      <c r="E279" s="49"/>
      <c r="F279" s="49" t="str">
        <f>IFERROR(INDEX(منتجات!$G$3:$G$114,MATCH(B279,منتجات!$A$3:$A$115,0)),"")</f>
        <v/>
      </c>
      <c r="G279" s="49" t="str">
        <f t="shared" si="6"/>
        <v/>
      </c>
      <c r="H279" s="54"/>
    </row>
    <row r="280" spans="1:8" x14ac:dyDescent="0.35">
      <c r="A280" s="51"/>
      <c r="B280" s="51"/>
      <c r="C280" s="51" t="str">
        <f>IFERROR(VLOOKUP(B280,منتجات!$A$3:$C$350,2,0),"")</f>
        <v/>
      </c>
      <c r="D280" s="51" t="str">
        <f>IFERROR(VLOOKUP(B280,منتجات!$A$3:$C$350,3,0),"")</f>
        <v/>
      </c>
      <c r="E280" s="51"/>
      <c r="F280" s="51" t="str">
        <f>IFERROR(INDEX(منتجات!$G$3:$G$114,MATCH(B280,منتجات!$A$3:$A$115,0)),"")</f>
        <v/>
      </c>
      <c r="G280" s="51" t="str">
        <f t="shared" si="6"/>
        <v/>
      </c>
      <c r="H280" s="53"/>
    </row>
    <row r="281" spans="1:8" x14ac:dyDescent="0.35">
      <c r="A281" s="49"/>
      <c r="B281" s="49"/>
      <c r="C281" s="51" t="str">
        <f>IFERROR(VLOOKUP(B281,منتجات!$A$3:$C$350,2,0),"")</f>
        <v/>
      </c>
      <c r="D281" s="49" t="str">
        <f>IFERROR(VLOOKUP(B281,منتجات!$A$3:$C$350,3,0),"")</f>
        <v/>
      </c>
      <c r="E281" s="49"/>
      <c r="F281" s="49" t="str">
        <f>IFERROR(INDEX(منتجات!$G$3:$G$114,MATCH(B281,منتجات!$A$3:$A$115,0)),"")</f>
        <v/>
      </c>
      <c r="G281" s="49" t="str">
        <f t="shared" si="6"/>
        <v/>
      </c>
      <c r="H281" s="54"/>
    </row>
    <row r="282" spans="1:8" x14ac:dyDescent="0.35">
      <c r="A282" s="51"/>
      <c r="B282" s="51"/>
      <c r="C282" s="51" t="str">
        <f>IFERROR(VLOOKUP(B282,منتجات!$A$3:$C$350,2,0),"")</f>
        <v/>
      </c>
      <c r="D282" s="51" t="str">
        <f>IFERROR(VLOOKUP(B282,منتجات!$A$3:$C$350,3,0),"")</f>
        <v/>
      </c>
      <c r="E282" s="51"/>
      <c r="F282" s="51" t="str">
        <f>IFERROR(INDEX(منتجات!$G$3:$G$114,MATCH(B282,منتجات!$A$3:$A$115,0)),"")</f>
        <v/>
      </c>
      <c r="G282" s="51" t="str">
        <f t="shared" si="6"/>
        <v/>
      </c>
      <c r="H282" s="53"/>
    </row>
    <row r="283" spans="1:8" x14ac:dyDescent="0.35">
      <c r="A283" s="49"/>
      <c r="B283" s="49"/>
      <c r="C283" s="51" t="str">
        <f>IFERROR(VLOOKUP(B283,منتجات!$A$3:$C$350,2,0),"")</f>
        <v/>
      </c>
      <c r="D283" s="49" t="str">
        <f>IFERROR(VLOOKUP(B283,منتجات!$A$3:$C$350,3,0),"")</f>
        <v/>
      </c>
      <c r="E283" s="49"/>
      <c r="F283" s="49" t="str">
        <f>IFERROR(INDEX(منتجات!$G$3:$G$114,MATCH(B283,منتجات!$A$3:$A$115,0)),"")</f>
        <v/>
      </c>
      <c r="G283" s="49" t="str">
        <f t="shared" si="6"/>
        <v/>
      </c>
      <c r="H283" s="54"/>
    </row>
    <row r="284" spans="1:8" x14ac:dyDescent="0.35">
      <c r="A284" s="51"/>
      <c r="B284" s="51"/>
      <c r="C284" s="51" t="str">
        <f>IFERROR(VLOOKUP(B284,منتجات!$A$3:$C$350,2,0),"")</f>
        <v/>
      </c>
      <c r="D284" s="51" t="str">
        <f>IFERROR(VLOOKUP(B284,منتجات!$A$3:$C$350,3,0),"")</f>
        <v/>
      </c>
      <c r="E284" s="51"/>
      <c r="F284" s="51" t="str">
        <f>IFERROR(INDEX(منتجات!$G$3:$G$114,MATCH(B284,منتجات!$A$3:$A$115,0)),"")</f>
        <v/>
      </c>
      <c r="G284" s="51" t="str">
        <f t="shared" si="6"/>
        <v/>
      </c>
      <c r="H284" s="53"/>
    </row>
    <row r="285" spans="1:8" x14ac:dyDescent="0.35">
      <c r="A285" s="49"/>
      <c r="B285" s="49"/>
      <c r="C285" s="51" t="str">
        <f>IFERROR(VLOOKUP(B285,منتجات!$A$3:$C$350,2,0),"")</f>
        <v/>
      </c>
      <c r="D285" s="49" t="str">
        <f>IFERROR(VLOOKUP(B285,منتجات!$A$3:$C$350,3,0),"")</f>
        <v/>
      </c>
      <c r="E285" s="49"/>
      <c r="F285" s="49" t="str">
        <f>IFERROR(INDEX(منتجات!$G$3:$G$114,MATCH(B285,منتجات!$A$3:$A$115,0)),"")</f>
        <v/>
      </c>
      <c r="G285" s="49" t="str">
        <f t="shared" si="6"/>
        <v/>
      </c>
      <c r="H285" s="54"/>
    </row>
    <row r="286" spans="1:8" x14ac:dyDescent="0.35">
      <c r="A286" s="51"/>
      <c r="B286" s="51"/>
      <c r="C286" s="51" t="str">
        <f>IFERROR(VLOOKUP(B286,منتجات!$A$3:$C$350,2,0),"")</f>
        <v/>
      </c>
      <c r="D286" s="51" t="str">
        <f>IFERROR(VLOOKUP(B286,منتجات!$A$3:$C$350,3,0),"")</f>
        <v/>
      </c>
      <c r="E286" s="51"/>
      <c r="F286" s="51" t="str">
        <f>IFERROR(INDEX(منتجات!$G$3:$G$114,MATCH(B286,منتجات!$A$3:$A$115,0)),"")</f>
        <v/>
      </c>
      <c r="G286" s="51" t="str">
        <f t="shared" si="6"/>
        <v/>
      </c>
      <c r="H286" s="53"/>
    </row>
    <row r="287" spans="1:8" x14ac:dyDescent="0.35">
      <c r="A287" s="49"/>
      <c r="B287" s="49"/>
      <c r="C287" s="51" t="str">
        <f>IFERROR(VLOOKUP(B287,منتجات!$A$3:$C$350,2,0),"")</f>
        <v/>
      </c>
      <c r="D287" s="49" t="str">
        <f>IFERROR(VLOOKUP(B287,منتجات!$A$3:$C$350,3,0),"")</f>
        <v/>
      </c>
      <c r="E287" s="49"/>
      <c r="F287" s="49" t="str">
        <f>IFERROR(INDEX(منتجات!$G$3:$G$114,MATCH(B287,منتجات!$A$3:$A$115,0)),"")</f>
        <v/>
      </c>
      <c r="G287" s="49" t="str">
        <f t="shared" si="6"/>
        <v/>
      </c>
      <c r="H287" s="54"/>
    </row>
    <row r="288" spans="1:8" x14ac:dyDescent="0.35">
      <c r="A288" s="51"/>
      <c r="B288" s="51"/>
      <c r="C288" s="51" t="str">
        <f>IFERROR(VLOOKUP(B288,منتجات!$A$3:$C$350,2,0),"")</f>
        <v/>
      </c>
      <c r="D288" s="51" t="str">
        <f>IFERROR(VLOOKUP(B288,منتجات!$A$3:$C$350,3,0),"")</f>
        <v/>
      </c>
      <c r="E288" s="51"/>
      <c r="F288" s="51" t="str">
        <f>IFERROR(INDEX(منتجات!$G$3:$G$114,MATCH(B288,منتجات!$A$3:$A$115,0)),"")</f>
        <v/>
      </c>
      <c r="G288" s="51" t="str">
        <f t="shared" si="6"/>
        <v/>
      </c>
      <c r="H288" s="53"/>
    </row>
    <row r="289" spans="1:8" x14ac:dyDescent="0.35">
      <c r="A289" s="49"/>
      <c r="B289" s="49"/>
      <c r="C289" s="51" t="str">
        <f>IFERROR(VLOOKUP(B289,منتجات!$A$3:$C$350,2,0),"")</f>
        <v/>
      </c>
      <c r="D289" s="49" t="str">
        <f>IFERROR(VLOOKUP(B289,منتجات!$A$3:$C$350,3,0),"")</f>
        <v/>
      </c>
      <c r="E289" s="49"/>
      <c r="F289" s="49" t="str">
        <f>IFERROR(INDEX(منتجات!$G$3:$G$114,MATCH(B289,منتجات!$A$3:$A$115,0)),"")</f>
        <v/>
      </c>
      <c r="G289" s="49" t="str">
        <f t="shared" si="6"/>
        <v/>
      </c>
      <c r="H289" s="54"/>
    </row>
    <row r="290" spans="1:8" x14ac:dyDescent="0.35">
      <c r="A290" s="51"/>
      <c r="B290" s="51"/>
      <c r="C290" s="51" t="str">
        <f>IFERROR(VLOOKUP(B290,منتجات!$A$3:$C$350,2,0),"")</f>
        <v/>
      </c>
      <c r="D290" s="51" t="str">
        <f>IFERROR(VLOOKUP(B290,منتجات!$A$3:$C$350,3,0),"")</f>
        <v/>
      </c>
      <c r="E290" s="51"/>
      <c r="F290" s="51" t="str">
        <f>IFERROR(INDEX(منتجات!$G$3:$G$114,MATCH(B290,منتجات!$A$3:$A$115,0)),"")</f>
        <v/>
      </c>
      <c r="G290" s="51" t="str">
        <f t="shared" si="6"/>
        <v/>
      </c>
      <c r="H290" s="53"/>
    </row>
    <row r="291" spans="1:8" x14ac:dyDescent="0.35">
      <c r="A291" s="49"/>
      <c r="B291" s="49"/>
      <c r="C291" s="51" t="str">
        <f>IFERROR(VLOOKUP(B291,منتجات!$A$3:$C$350,2,0),"")</f>
        <v/>
      </c>
      <c r="D291" s="49" t="str">
        <f>IFERROR(VLOOKUP(B291,منتجات!$A$3:$C$350,3,0),"")</f>
        <v/>
      </c>
      <c r="E291" s="49"/>
      <c r="F291" s="49" t="str">
        <f>IFERROR(INDEX(منتجات!$G$3:$G$114,MATCH(B291,منتجات!$A$3:$A$115,0)),"")</f>
        <v/>
      </c>
      <c r="G291" s="49" t="str">
        <f t="shared" si="6"/>
        <v/>
      </c>
      <c r="H291" s="54"/>
    </row>
    <row r="292" spans="1:8" x14ac:dyDescent="0.35">
      <c r="A292" s="51"/>
      <c r="B292" s="51"/>
      <c r="C292" s="51" t="str">
        <f>IFERROR(VLOOKUP(B292,منتجات!$A$3:$C$350,2,0),"")</f>
        <v/>
      </c>
      <c r="D292" s="51" t="str">
        <f>IFERROR(VLOOKUP(B292,منتجات!$A$3:$C$350,3,0),"")</f>
        <v/>
      </c>
      <c r="E292" s="51"/>
      <c r="F292" s="51" t="str">
        <f>IFERROR(INDEX(منتجات!$G$3:$G$114,MATCH(B292,منتجات!$A$3:$A$115,0)),"")</f>
        <v/>
      </c>
      <c r="G292" s="51" t="str">
        <f t="shared" si="6"/>
        <v/>
      </c>
      <c r="H292" s="53"/>
    </row>
    <row r="293" spans="1:8" x14ac:dyDescent="0.35">
      <c r="A293" s="49"/>
      <c r="B293" s="49"/>
      <c r="C293" s="51" t="str">
        <f>IFERROR(VLOOKUP(B293,منتجات!$A$3:$C$350,2,0),"")</f>
        <v/>
      </c>
      <c r="D293" s="49" t="str">
        <f>IFERROR(VLOOKUP(B293,منتجات!$A$3:$C$350,3,0),"")</f>
        <v/>
      </c>
      <c r="E293" s="49"/>
      <c r="F293" s="49" t="str">
        <f>IFERROR(INDEX(منتجات!$G$3:$G$114,MATCH(B293,منتجات!$A$3:$A$115,0)),"")</f>
        <v/>
      </c>
      <c r="G293" s="49" t="str">
        <f t="shared" si="6"/>
        <v/>
      </c>
      <c r="H293" s="54"/>
    </row>
    <row r="294" spans="1:8" x14ac:dyDescent="0.35">
      <c r="A294" s="51"/>
      <c r="B294" s="51"/>
      <c r="C294" s="51" t="str">
        <f>IFERROR(VLOOKUP(B294,منتجات!$A$3:$C$350,2,0),"")</f>
        <v/>
      </c>
      <c r="D294" s="51" t="str">
        <f>IFERROR(VLOOKUP(B294,منتجات!$A$3:$C$350,3,0),"")</f>
        <v/>
      </c>
      <c r="E294" s="51"/>
      <c r="F294" s="51" t="str">
        <f>IFERROR(INDEX(منتجات!$G$3:$G$114,MATCH(B294,منتجات!$A$3:$A$115,0)),"")</f>
        <v/>
      </c>
      <c r="G294" s="51" t="str">
        <f t="shared" si="6"/>
        <v/>
      </c>
      <c r="H294" s="53"/>
    </row>
    <row r="295" spans="1:8" x14ac:dyDescent="0.35">
      <c r="A295" s="49"/>
      <c r="B295" s="49"/>
      <c r="C295" s="51" t="str">
        <f>IFERROR(VLOOKUP(B295,منتجات!$A$3:$C$350,2,0),"")</f>
        <v/>
      </c>
      <c r="D295" s="49" t="str">
        <f>IFERROR(VLOOKUP(B295,منتجات!$A$3:$C$350,3,0),"")</f>
        <v/>
      </c>
      <c r="E295" s="49"/>
      <c r="F295" s="49" t="str">
        <f>IFERROR(INDEX(منتجات!$G$3:$G$114,MATCH(B295,منتجات!$A$3:$A$115,0)),"")</f>
        <v/>
      </c>
      <c r="G295" s="49" t="str">
        <f t="shared" si="6"/>
        <v/>
      </c>
      <c r="H295" s="54"/>
    </row>
    <row r="296" spans="1:8" x14ac:dyDescent="0.35">
      <c r="A296" s="51"/>
      <c r="B296" s="51"/>
      <c r="C296" s="51" t="str">
        <f>IFERROR(VLOOKUP(B296,منتجات!$A$3:$C$350,2,0),"")</f>
        <v/>
      </c>
      <c r="D296" s="51" t="str">
        <f>IFERROR(VLOOKUP(B296,منتجات!$A$3:$C$350,3,0),"")</f>
        <v/>
      </c>
      <c r="E296" s="51"/>
      <c r="F296" s="51" t="str">
        <f>IFERROR(INDEX(منتجات!$G$3:$G$114,MATCH(B296,منتجات!$A$3:$A$115,0)),"")</f>
        <v/>
      </c>
      <c r="G296" s="51" t="str">
        <f t="shared" si="6"/>
        <v/>
      </c>
      <c r="H296" s="53"/>
    </row>
    <row r="297" spans="1:8" x14ac:dyDescent="0.35">
      <c r="A297" s="49"/>
      <c r="B297" s="49"/>
      <c r="C297" s="51" t="str">
        <f>IFERROR(VLOOKUP(B297,منتجات!$A$3:$C$350,2,0),"")</f>
        <v/>
      </c>
      <c r="D297" s="49" t="str">
        <f>IFERROR(VLOOKUP(B297,منتجات!$A$3:$C$350,3,0),"")</f>
        <v/>
      </c>
      <c r="E297" s="49"/>
      <c r="F297" s="49" t="str">
        <f>IFERROR(INDEX(منتجات!$G$3:$G$114,MATCH(B297,منتجات!$A$3:$A$115,0)),"")</f>
        <v/>
      </c>
      <c r="G297" s="51" t="str">
        <f t="shared" si="6"/>
        <v/>
      </c>
      <c r="H297" s="54"/>
    </row>
    <row r="298" spans="1:8" x14ac:dyDescent="0.35">
      <c r="A298" s="51"/>
      <c r="B298" s="51"/>
      <c r="C298" s="51" t="str">
        <f>IFERROR(VLOOKUP(B298,منتجات!$A$3:$C$350,2,0),"")</f>
        <v/>
      </c>
      <c r="D298" s="51" t="str">
        <f>IFERROR(VLOOKUP(B298,منتجات!$A$3:$C$350,3,0),"")</f>
        <v/>
      </c>
      <c r="E298" s="51"/>
      <c r="F298" s="51" t="str">
        <f>IFERROR(INDEX(منتجات!$G$3:$G$114,MATCH(B298,منتجات!$A$3:$A$115,0)),"")</f>
        <v/>
      </c>
      <c r="G298" s="51" t="str">
        <f t="shared" si="6"/>
        <v/>
      </c>
      <c r="H298" s="53"/>
    </row>
    <row r="299" spans="1:8" x14ac:dyDescent="0.35">
      <c r="A299" s="49"/>
      <c r="B299" s="49"/>
      <c r="C299" s="51" t="str">
        <f>IFERROR(VLOOKUP(B299,منتجات!$A$3:$C$350,2,0),"")</f>
        <v/>
      </c>
      <c r="D299" s="49" t="str">
        <f>IFERROR(VLOOKUP(B299,منتجات!$A$3:$C$350,3,0),"")</f>
        <v/>
      </c>
      <c r="E299" s="49"/>
      <c r="F299" s="49" t="str">
        <f>IFERROR(INDEX(منتجات!$G$3:$G$114,MATCH(B299,منتجات!$A$3:$A$115,0)),"")</f>
        <v/>
      </c>
      <c r="G299" s="51" t="str">
        <f t="shared" si="6"/>
        <v/>
      </c>
      <c r="H299" s="54"/>
    </row>
    <row r="300" spans="1:8" x14ac:dyDescent="0.35">
      <c r="A300" s="51"/>
      <c r="B300" s="51"/>
      <c r="C300" s="51" t="str">
        <f>IFERROR(VLOOKUP(B300,منتجات!$A$3:$C$350,2,0),"")</f>
        <v/>
      </c>
      <c r="D300" s="51" t="str">
        <f>IFERROR(VLOOKUP(B300,منتجات!$A$3:$C$350,3,0),"")</f>
        <v/>
      </c>
      <c r="E300" s="51"/>
      <c r="F300" s="51" t="str">
        <f>IFERROR(INDEX(منتجات!$G$3:$G$114,MATCH(B300,منتجات!$A$3:$A$115,0)),"")</f>
        <v/>
      </c>
      <c r="G300" s="51" t="str">
        <f t="shared" si="6"/>
        <v/>
      </c>
      <c r="H300" s="53"/>
    </row>
    <row r="301" spans="1:8" x14ac:dyDescent="0.35">
      <c r="A301" s="49"/>
      <c r="B301" s="49"/>
      <c r="C301" s="51" t="str">
        <f>IFERROR(VLOOKUP(B301,منتجات!$A$3:$C$350,2,0),"")</f>
        <v/>
      </c>
      <c r="D301" s="49" t="str">
        <f>IFERROR(VLOOKUP(B301,منتجات!$A$3:$C$350,3,0),"")</f>
        <v/>
      </c>
      <c r="E301" s="49"/>
      <c r="F301" s="49" t="str">
        <f>IFERROR(INDEX(منتجات!$G$3:$G$114,MATCH(B301,منتجات!$A$3:$A$115,0)),"")</f>
        <v/>
      </c>
      <c r="G301" s="51" t="str">
        <f t="shared" si="6"/>
        <v/>
      </c>
      <c r="H301" s="54"/>
    </row>
    <row r="302" spans="1:8" x14ac:dyDescent="0.35">
      <c r="A302" s="51"/>
      <c r="B302" s="51"/>
      <c r="C302" s="51" t="str">
        <f>IFERROR(VLOOKUP(B302,منتجات!$A$3:$C$350,2,0),"")</f>
        <v/>
      </c>
      <c r="D302" s="51" t="str">
        <f>IFERROR(VLOOKUP(B302,منتجات!$A$3:$C$350,3,0),"")</f>
        <v/>
      </c>
      <c r="E302" s="51"/>
      <c r="F302" s="51" t="str">
        <f>IFERROR(INDEX(منتجات!$G$3:$G$114,MATCH(B302,منتجات!$A$3:$A$115,0)),"")</f>
        <v/>
      </c>
      <c r="G302" s="51" t="str">
        <f t="shared" si="6"/>
        <v/>
      </c>
      <c r="H302" s="53"/>
    </row>
    <row r="303" spans="1:8" x14ac:dyDescent="0.35">
      <c r="A303" s="49"/>
      <c r="B303" s="49"/>
      <c r="C303" s="51" t="str">
        <f>IFERROR(VLOOKUP(B303,منتجات!$A$3:$C$350,2,0),"")</f>
        <v/>
      </c>
      <c r="D303" s="49" t="str">
        <f>IFERROR(VLOOKUP(B303,منتجات!$A$3:$C$350,3,0),"")</f>
        <v/>
      </c>
      <c r="E303" s="49"/>
      <c r="F303" s="49" t="str">
        <f>IFERROR(INDEX(منتجات!$G$3:$G$114,MATCH(B303,منتجات!$A$3:$A$115,0)),"")</f>
        <v/>
      </c>
      <c r="G303" s="51" t="str">
        <f t="shared" si="6"/>
        <v/>
      </c>
      <c r="H303" s="54"/>
    </row>
    <row r="304" spans="1:8" x14ac:dyDescent="0.35">
      <c r="A304" s="51"/>
      <c r="B304" s="51"/>
      <c r="C304" s="51" t="str">
        <f>IFERROR(VLOOKUP(B304,منتجات!$A$3:$C$350,2,0),"")</f>
        <v/>
      </c>
      <c r="D304" s="51" t="str">
        <f>IFERROR(VLOOKUP(B304,منتجات!$A$3:$C$350,3,0),"")</f>
        <v/>
      </c>
      <c r="E304" s="51"/>
      <c r="F304" s="51" t="str">
        <f>IFERROR(INDEX(منتجات!$G$3:$G$114,MATCH(B304,منتجات!$A$3:$A$115,0)),"")</f>
        <v/>
      </c>
      <c r="G304" s="51" t="str">
        <f t="shared" si="6"/>
        <v/>
      </c>
      <c r="H304" s="53"/>
    </row>
    <row r="305" spans="1:8" x14ac:dyDescent="0.35">
      <c r="A305" s="49"/>
      <c r="B305" s="49"/>
      <c r="C305" s="51" t="str">
        <f>IFERROR(VLOOKUP(B305,منتجات!$A$3:$C$350,2,0),"")</f>
        <v/>
      </c>
      <c r="D305" s="49" t="str">
        <f>IFERROR(VLOOKUP(B305,منتجات!$A$3:$C$350,3,0),"")</f>
        <v/>
      </c>
      <c r="E305" s="49"/>
      <c r="F305" s="49" t="str">
        <f>IFERROR(INDEX(منتجات!$G$3:$G$114,MATCH(B305,منتجات!$A$3:$A$115,0)),"")</f>
        <v/>
      </c>
      <c r="G305" s="51" t="str">
        <f t="shared" si="6"/>
        <v/>
      </c>
      <c r="H305" s="54"/>
    </row>
    <row r="306" spans="1:8" x14ac:dyDescent="0.35">
      <c r="A306" s="51"/>
      <c r="B306" s="51"/>
      <c r="C306" s="51" t="str">
        <f>IFERROR(VLOOKUP(B306,منتجات!$A$3:$C$350,2,0),"")</f>
        <v/>
      </c>
      <c r="D306" s="51" t="str">
        <f>IFERROR(VLOOKUP(B306,منتجات!$A$3:$C$350,3,0),"")</f>
        <v/>
      </c>
      <c r="E306" s="51"/>
      <c r="F306" s="51" t="str">
        <f>IFERROR(INDEX(منتجات!$G$3:$G$114,MATCH(B306,منتجات!$A$3:$A$115,0)),"")</f>
        <v/>
      </c>
      <c r="G306" s="51" t="str">
        <f t="shared" si="6"/>
        <v/>
      </c>
      <c r="H306" s="53"/>
    </row>
    <row r="307" spans="1:8" x14ac:dyDescent="0.35">
      <c r="A307" s="49"/>
      <c r="B307" s="49"/>
      <c r="C307" s="51" t="str">
        <f>IFERROR(VLOOKUP(B307,منتجات!$A$3:$C$350,2,0),"")</f>
        <v/>
      </c>
      <c r="D307" s="49" t="str">
        <f>IFERROR(VLOOKUP(B307,منتجات!$A$3:$C$350,3,0),"")</f>
        <v/>
      </c>
      <c r="E307" s="49"/>
      <c r="F307" s="49" t="str">
        <f>IFERROR(INDEX(منتجات!$G$3:$G$114,MATCH(B307,منتجات!$A$3:$A$115,0)),"")</f>
        <v/>
      </c>
      <c r="G307" s="51" t="str">
        <f t="shared" si="6"/>
        <v/>
      </c>
      <c r="H307" s="54"/>
    </row>
    <row r="308" spans="1:8" x14ac:dyDescent="0.35">
      <c r="A308" s="51"/>
      <c r="B308" s="51"/>
      <c r="C308" s="51" t="str">
        <f>IFERROR(VLOOKUP(B308,منتجات!$A$3:$C$350,2,0),"")</f>
        <v/>
      </c>
      <c r="D308" s="51" t="str">
        <f>IFERROR(VLOOKUP(B308,منتجات!$A$3:$C$350,3,0),"")</f>
        <v/>
      </c>
      <c r="E308" s="51"/>
      <c r="F308" s="51" t="str">
        <f>IFERROR(INDEX(منتجات!$G$3:$G$114,MATCH(B308,منتجات!$A$3:$A$115,0)),"")</f>
        <v/>
      </c>
      <c r="G308" s="51" t="str">
        <f t="shared" si="6"/>
        <v/>
      </c>
      <c r="H308" s="53"/>
    </row>
    <row r="309" spans="1:8" x14ac:dyDescent="0.35">
      <c r="A309" s="49"/>
      <c r="B309" s="49"/>
      <c r="C309" s="51" t="str">
        <f>IFERROR(VLOOKUP(B309,منتجات!$A$3:$C$350,2,0),"")</f>
        <v/>
      </c>
      <c r="D309" s="49" t="str">
        <f>IFERROR(VLOOKUP(B309,منتجات!$A$3:$C$350,3,0),"")</f>
        <v/>
      </c>
      <c r="E309" s="49"/>
      <c r="F309" s="49" t="str">
        <f>IFERROR(INDEX(منتجات!$G$3:$G$114,MATCH(B309,منتجات!$A$3:$A$115,0)),"")</f>
        <v/>
      </c>
      <c r="G309" s="51" t="str">
        <f t="shared" si="6"/>
        <v/>
      </c>
      <c r="H309" s="54"/>
    </row>
    <row r="310" spans="1:8" x14ac:dyDescent="0.35">
      <c r="A310" s="51"/>
      <c r="B310" s="51"/>
      <c r="C310" s="51" t="str">
        <f>IFERROR(VLOOKUP(B310,منتجات!$A$3:$C$350,2,0),"")</f>
        <v/>
      </c>
      <c r="D310" s="51" t="str">
        <f>IFERROR(VLOOKUP(B310,منتجات!$A$3:$C$350,3,0),"")</f>
        <v/>
      </c>
      <c r="E310" s="51"/>
      <c r="F310" s="51" t="str">
        <f>IFERROR(INDEX(منتجات!$G$3:$G$114,MATCH(B310,منتجات!$A$3:$A$115,0)),"")</f>
        <v/>
      </c>
      <c r="G310" s="51" t="str">
        <f t="shared" si="6"/>
        <v/>
      </c>
      <c r="H310" s="53"/>
    </row>
    <row r="311" spans="1:8" x14ac:dyDescent="0.35">
      <c r="A311" s="49"/>
      <c r="B311" s="49"/>
      <c r="C311" s="51" t="str">
        <f>IFERROR(VLOOKUP(B311,منتجات!$A$3:$C$350,2,0),"")</f>
        <v/>
      </c>
      <c r="D311" s="49" t="str">
        <f>IFERROR(VLOOKUP(B311,منتجات!$A$3:$C$350,3,0),"")</f>
        <v/>
      </c>
      <c r="E311" s="49"/>
      <c r="F311" s="49" t="str">
        <f>IFERROR(INDEX(منتجات!$G$3:$G$114,MATCH(B311,منتجات!$A$3:$A$115,0)),"")</f>
        <v/>
      </c>
      <c r="G311" s="51" t="str">
        <f t="shared" si="6"/>
        <v/>
      </c>
      <c r="H311" s="54"/>
    </row>
    <row r="312" spans="1:8" x14ac:dyDescent="0.35">
      <c r="A312" s="51"/>
      <c r="B312" s="51"/>
      <c r="C312" s="51" t="str">
        <f>IFERROR(VLOOKUP(B312,منتجات!$A$3:$C$350,2,0),"")</f>
        <v/>
      </c>
      <c r="D312" s="51" t="str">
        <f>IFERROR(VLOOKUP(B312,منتجات!$A$3:$C$350,3,0),"")</f>
        <v/>
      </c>
      <c r="E312" s="51"/>
      <c r="F312" s="51" t="str">
        <f>IFERROR(INDEX(منتجات!$G$3:$G$114,MATCH(B312,منتجات!$A$3:$A$115,0)),"")</f>
        <v/>
      </c>
      <c r="G312" s="51" t="str">
        <f t="shared" si="6"/>
        <v/>
      </c>
      <c r="H312" s="53"/>
    </row>
    <row r="313" spans="1:8" x14ac:dyDescent="0.35">
      <c r="A313" s="49"/>
      <c r="B313" s="49"/>
      <c r="C313" s="51" t="str">
        <f>IFERROR(VLOOKUP(B313,منتجات!$A$3:$C$350,2,0),"")</f>
        <v/>
      </c>
      <c r="D313" s="49" t="str">
        <f>IFERROR(VLOOKUP(B313,منتجات!$A$3:$C$350,3,0),"")</f>
        <v/>
      </c>
      <c r="E313" s="49"/>
      <c r="F313" s="49" t="str">
        <f>IFERROR(INDEX(منتجات!$G$3:$G$114,MATCH(B313,منتجات!$A$3:$A$115,0)),"")</f>
        <v/>
      </c>
      <c r="G313" s="51" t="str">
        <f t="shared" si="6"/>
        <v/>
      </c>
      <c r="H313" s="54"/>
    </row>
    <row r="314" spans="1:8" x14ac:dyDescent="0.35">
      <c r="A314" s="51"/>
      <c r="B314" s="51"/>
      <c r="C314" s="51" t="str">
        <f>IFERROR(VLOOKUP(B314,منتجات!$A$3:$C$350,2,0),"")</f>
        <v/>
      </c>
      <c r="D314" s="51" t="str">
        <f>IFERROR(VLOOKUP(B314,منتجات!$A$3:$C$350,3,0),"")</f>
        <v/>
      </c>
      <c r="E314" s="51"/>
      <c r="F314" s="51" t="str">
        <f>IFERROR(INDEX(منتجات!$G$3:$G$114,MATCH(B314,منتجات!$A$3:$A$115,0)),"")</f>
        <v/>
      </c>
      <c r="G314" s="51" t="str">
        <f t="shared" si="6"/>
        <v/>
      </c>
      <c r="H314" s="53"/>
    </row>
    <row r="315" spans="1:8" x14ac:dyDescent="0.35">
      <c r="A315" s="49"/>
      <c r="B315" s="49"/>
      <c r="C315" s="51" t="str">
        <f>IFERROR(VLOOKUP(B315,منتجات!$A$3:$C$350,2,0),"")</f>
        <v/>
      </c>
      <c r="D315" s="49" t="str">
        <f>IFERROR(VLOOKUP(B315,منتجات!$A$3:$C$350,3,0),"")</f>
        <v/>
      </c>
      <c r="E315" s="49"/>
      <c r="F315" s="49" t="str">
        <f>IFERROR(INDEX(منتجات!$G$3:$G$114,MATCH(B315,منتجات!$A$3:$A$115,0)),"")</f>
        <v/>
      </c>
      <c r="G315" s="51" t="str">
        <f t="shared" si="6"/>
        <v/>
      </c>
      <c r="H315" s="54"/>
    </row>
    <row r="316" spans="1:8" x14ac:dyDescent="0.35">
      <c r="A316" s="51"/>
      <c r="B316" s="51"/>
      <c r="C316" s="51" t="str">
        <f>IFERROR(VLOOKUP(B316,منتجات!$A$3:$C$350,2,0),"")</f>
        <v/>
      </c>
      <c r="D316" s="51" t="str">
        <f>IFERROR(VLOOKUP(B316,منتجات!$A$3:$C$350,3,0),"")</f>
        <v/>
      </c>
      <c r="E316" s="51"/>
      <c r="F316" s="51" t="str">
        <f>IFERROR(INDEX(منتجات!$G$3:$G$114,MATCH(B316,منتجات!$A$3:$A$115,0)),"")</f>
        <v/>
      </c>
      <c r="G316" s="51" t="str">
        <f t="shared" si="6"/>
        <v/>
      </c>
      <c r="H316" s="53"/>
    </row>
    <row r="317" spans="1:8" x14ac:dyDescent="0.35">
      <c r="A317" s="49"/>
      <c r="B317" s="49"/>
      <c r="C317" s="51" t="str">
        <f>IFERROR(VLOOKUP(B317,منتجات!$A$3:$C$350,2,0),"")</f>
        <v/>
      </c>
      <c r="D317" s="49" t="str">
        <f>IFERROR(VLOOKUP(B317,منتجات!$A$3:$C$350,3,0),"")</f>
        <v/>
      </c>
      <c r="E317" s="49"/>
      <c r="F317" s="49" t="str">
        <f>IFERROR(INDEX(منتجات!$G$3:$G$114,MATCH(B317,منتجات!$A$3:$A$115,0)),"")</f>
        <v/>
      </c>
      <c r="G317" s="51" t="str">
        <f t="shared" si="6"/>
        <v/>
      </c>
      <c r="H317" s="54"/>
    </row>
    <row r="318" spans="1:8" x14ac:dyDescent="0.35">
      <c r="A318" s="51"/>
      <c r="B318" s="51"/>
      <c r="C318" s="51" t="str">
        <f>IFERROR(VLOOKUP(B318,منتجات!$A$3:$C$350,2,0),"")</f>
        <v/>
      </c>
      <c r="D318" s="51" t="str">
        <f>IFERROR(VLOOKUP(B318,منتجات!$A$3:$C$350,3,0),"")</f>
        <v/>
      </c>
      <c r="E318" s="51"/>
      <c r="F318" s="51" t="str">
        <f>IFERROR(INDEX(منتجات!$G$3:$G$114,MATCH(B318,منتجات!$A$3:$A$115,0)),"")</f>
        <v/>
      </c>
      <c r="G318" s="51" t="str">
        <f t="shared" si="6"/>
        <v/>
      </c>
      <c r="H318" s="53"/>
    </row>
    <row r="319" spans="1:8" x14ac:dyDescent="0.35">
      <c r="A319" s="49"/>
      <c r="B319" s="49"/>
      <c r="C319" s="51" t="str">
        <f>IFERROR(VLOOKUP(B319,منتجات!$A$3:$C$350,2,0),"")</f>
        <v/>
      </c>
      <c r="D319" s="49" t="str">
        <f>IFERROR(VLOOKUP(B319,منتجات!$A$3:$C$350,3,0),"")</f>
        <v/>
      </c>
      <c r="E319" s="49"/>
      <c r="F319" s="49" t="str">
        <f>IFERROR(INDEX(منتجات!$G$3:$G$114,MATCH(B319,منتجات!$A$3:$A$115,0)),"")</f>
        <v/>
      </c>
      <c r="G319" s="51" t="str">
        <f t="shared" si="6"/>
        <v/>
      </c>
      <c r="H319" s="54"/>
    </row>
    <row r="320" spans="1:8" x14ac:dyDescent="0.35">
      <c r="A320" s="51"/>
      <c r="B320" s="51"/>
      <c r="C320" s="51" t="str">
        <f>IFERROR(VLOOKUP(B320,منتجات!$A$3:$C$350,2,0),"")</f>
        <v/>
      </c>
      <c r="D320" s="51" t="str">
        <f>IFERROR(VLOOKUP(B320,منتجات!$A$3:$C$350,3,0),"")</f>
        <v/>
      </c>
      <c r="E320" s="51"/>
      <c r="F320" s="51" t="str">
        <f>IFERROR(INDEX(منتجات!$G$3:$G$114,MATCH(B320,منتجات!$A$3:$A$115,0)),"")</f>
        <v/>
      </c>
      <c r="G320" s="51" t="str">
        <f t="shared" si="6"/>
        <v/>
      </c>
      <c r="H320" s="53"/>
    </row>
    <row r="321" spans="1:8" x14ac:dyDescent="0.35">
      <c r="A321" s="49"/>
      <c r="B321" s="49"/>
      <c r="C321" s="51" t="str">
        <f>IFERROR(VLOOKUP(B321,منتجات!$A$3:$C$350,2,0),"")</f>
        <v/>
      </c>
      <c r="D321" s="49" t="str">
        <f>IFERROR(VLOOKUP(B321,منتجات!$A$3:$C$350,3,0),"")</f>
        <v/>
      </c>
      <c r="E321" s="49"/>
      <c r="F321" s="49" t="str">
        <f>IFERROR(INDEX(منتجات!$G$3:$G$114,MATCH(B321,منتجات!$A$3:$A$115,0)),"")</f>
        <v/>
      </c>
      <c r="G321" s="51" t="str">
        <f t="shared" si="6"/>
        <v/>
      </c>
      <c r="H321" s="54"/>
    </row>
    <row r="322" spans="1:8" x14ac:dyDescent="0.35">
      <c r="A322" s="51"/>
      <c r="B322" s="51"/>
      <c r="C322" s="51" t="str">
        <f>IFERROR(VLOOKUP(B322,منتجات!$A$3:$C$350,2,0),"")</f>
        <v/>
      </c>
      <c r="D322" s="51" t="str">
        <f>IFERROR(VLOOKUP(B322,منتجات!$A$3:$C$350,3,0),"")</f>
        <v/>
      </c>
      <c r="E322" s="51"/>
      <c r="F322" s="51" t="str">
        <f>IFERROR(INDEX(منتجات!$G$3:$G$114,MATCH(B322,منتجات!$A$3:$A$115,0)),"")</f>
        <v/>
      </c>
      <c r="G322" s="51" t="str">
        <f t="shared" si="6"/>
        <v/>
      </c>
      <c r="H322" s="53"/>
    </row>
    <row r="323" spans="1:8" x14ac:dyDescent="0.35">
      <c r="A323" s="49"/>
      <c r="B323" s="49"/>
      <c r="C323" s="51" t="str">
        <f>IFERROR(VLOOKUP(B323,منتجات!$A$3:$C$350,2,0),"")</f>
        <v/>
      </c>
      <c r="D323" s="49" t="str">
        <f>IFERROR(VLOOKUP(B323,منتجات!$A$3:$C$350,3,0),"")</f>
        <v/>
      </c>
      <c r="E323" s="49"/>
      <c r="F323" s="49" t="str">
        <f>IFERROR(INDEX(منتجات!$G$3:$G$114,MATCH(B323,منتجات!$A$3:$A$115,0)),"")</f>
        <v/>
      </c>
      <c r="G323" s="51" t="str">
        <f t="shared" si="6"/>
        <v/>
      </c>
      <c r="H323" s="54"/>
    </row>
    <row r="324" spans="1:8" x14ac:dyDescent="0.35">
      <c r="A324" s="51"/>
      <c r="B324" s="51"/>
      <c r="C324" s="51" t="str">
        <f>IFERROR(VLOOKUP(B324,منتجات!$A$3:$C$350,2,0),"")</f>
        <v/>
      </c>
      <c r="D324" s="51" t="str">
        <f>IFERROR(VLOOKUP(B324,منتجات!$A$3:$C$350,3,0),"")</f>
        <v/>
      </c>
      <c r="E324" s="51"/>
      <c r="F324" s="51" t="str">
        <f>IFERROR(INDEX(منتجات!$G$3:$G$114,MATCH(B324,منتجات!$A$3:$A$115,0)),"")</f>
        <v/>
      </c>
      <c r="G324" s="51" t="str">
        <f t="shared" si="6"/>
        <v/>
      </c>
      <c r="H324" s="53"/>
    </row>
    <row r="325" spans="1:8" x14ac:dyDescent="0.35">
      <c r="A325" s="49"/>
      <c r="B325" s="49"/>
      <c r="C325" s="51" t="str">
        <f>IFERROR(VLOOKUP(B325,منتجات!$A$3:$C$350,2,0),"")</f>
        <v/>
      </c>
      <c r="D325" s="49" t="str">
        <f>IFERROR(VLOOKUP(B325,منتجات!$A$3:$C$350,3,0),"")</f>
        <v/>
      </c>
      <c r="E325" s="49"/>
      <c r="F325" s="49" t="str">
        <f>IFERROR(INDEX(منتجات!$G$3:$G$114,MATCH(B325,منتجات!$A$3:$A$115,0)),"")</f>
        <v/>
      </c>
      <c r="G325" s="51" t="str">
        <f t="shared" si="6"/>
        <v/>
      </c>
      <c r="H325" s="54"/>
    </row>
    <row r="326" spans="1:8" x14ac:dyDescent="0.35">
      <c r="A326" s="51"/>
      <c r="B326" s="51"/>
      <c r="C326" s="51" t="str">
        <f>IFERROR(VLOOKUP(B326,منتجات!$A$3:$C$350,2,0),"")</f>
        <v/>
      </c>
      <c r="D326" s="51" t="str">
        <f>IFERROR(VLOOKUP(B326,منتجات!$A$3:$C$350,3,0),"")</f>
        <v/>
      </c>
      <c r="E326" s="51"/>
      <c r="F326" s="51" t="str">
        <f>IFERROR(INDEX(منتجات!$G$3:$G$114,MATCH(B326,منتجات!$A$3:$A$115,0)),"")</f>
        <v/>
      </c>
      <c r="G326" s="51" t="str">
        <f t="shared" si="6"/>
        <v/>
      </c>
      <c r="H326" s="53"/>
    </row>
    <row r="327" spans="1:8" x14ac:dyDescent="0.35">
      <c r="A327" s="49"/>
      <c r="B327" s="49"/>
      <c r="C327" s="51" t="str">
        <f>IFERROR(VLOOKUP(B327,منتجات!$A$3:$C$350,2,0),"")</f>
        <v/>
      </c>
      <c r="D327" s="49" t="str">
        <f>IFERROR(VLOOKUP(B327,منتجات!$A$3:$C$350,3,0),"")</f>
        <v/>
      </c>
      <c r="E327" s="49"/>
      <c r="F327" s="49" t="str">
        <f>IFERROR(INDEX(منتجات!$G$3:$G$114,MATCH(B327,منتجات!$A$3:$A$115,0)),"")</f>
        <v/>
      </c>
      <c r="G327" s="51" t="str">
        <f t="shared" si="6"/>
        <v/>
      </c>
      <c r="H327" s="54"/>
    </row>
    <row r="328" spans="1:8" x14ac:dyDescent="0.35">
      <c r="A328" s="51"/>
      <c r="B328" s="51"/>
      <c r="C328" s="51" t="str">
        <f>IFERROR(VLOOKUP(B328,منتجات!$A$3:$C$350,2,0),"")</f>
        <v/>
      </c>
      <c r="D328" s="51" t="str">
        <f>IFERROR(VLOOKUP(B328,منتجات!$A$3:$C$350,3,0),"")</f>
        <v/>
      </c>
      <c r="E328" s="51"/>
      <c r="F328" s="51" t="str">
        <f>IFERROR(INDEX(منتجات!$G$3:$G$114,MATCH(B328,منتجات!$A$3:$A$115,0)),"")</f>
        <v/>
      </c>
      <c r="G328" s="51" t="str">
        <f t="shared" si="6"/>
        <v/>
      </c>
      <c r="H328" s="53"/>
    </row>
    <row r="329" spans="1:8" x14ac:dyDescent="0.35">
      <c r="A329" s="49"/>
      <c r="B329" s="49"/>
      <c r="C329" s="51" t="str">
        <f>IFERROR(VLOOKUP(B329,منتجات!$A$3:$C$350,2,0),"")</f>
        <v/>
      </c>
      <c r="D329" s="49" t="str">
        <f>IFERROR(VLOOKUP(B329,منتجات!$A$3:$C$350,3,0),"")</f>
        <v/>
      </c>
      <c r="E329" s="49"/>
      <c r="F329" s="49" t="str">
        <f>IFERROR(INDEX(منتجات!$G$3:$G$114,MATCH(B329,منتجات!$A$3:$A$115,0)),"")</f>
        <v/>
      </c>
      <c r="G329" s="51" t="str">
        <f t="shared" si="6"/>
        <v/>
      </c>
      <c r="H329" s="54"/>
    </row>
    <row r="330" spans="1:8" x14ac:dyDescent="0.35">
      <c r="A330" s="51"/>
      <c r="B330" s="51"/>
      <c r="C330" s="51" t="str">
        <f>IFERROR(VLOOKUP(B330,منتجات!$A$3:$C$350,2,0),"")</f>
        <v/>
      </c>
      <c r="D330" s="51" t="str">
        <f>IFERROR(VLOOKUP(B330,منتجات!$A$3:$C$350,3,0),"")</f>
        <v/>
      </c>
      <c r="E330" s="51"/>
      <c r="F330" s="51" t="str">
        <f>IFERROR(INDEX(منتجات!$G$3:$G$114,MATCH(B330,منتجات!$A$3:$A$115,0)),"")</f>
        <v/>
      </c>
      <c r="G330" s="51" t="str">
        <f t="shared" si="6"/>
        <v/>
      </c>
      <c r="H330" s="53"/>
    </row>
    <row r="331" spans="1:8" x14ac:dyDescent="0.35">
      <c r="A331" s="49"/>
      <c r="B331" s="49"/>
      <c r="C331" s="51" t="str">
        <f>IFERROR(VLOOKUP(B331,منتجات!$A$3:$C$350,2,0),"")</f>
        <v/>
      </c>
      <c r="D331" s="49" t="str">
        <f>IFERROR(VLOOKUP(B331,منتجات!$A$3:$C$350,3,0),"")</f>
        <v/>
      </c>
      <c r="E331" s="49"/>
      <c r="F331" s="49" t="str">
        <f>IFERROR(INDEX(منتجات!$G$3:$G$114,MATCH(B331,منتجات!$A$3:$A$115,0)),"")</f>
        <v/>
      </c>
      <c r="G331" s="51" t="str">
        <f t="shared" si="6"/>
        <v/>
      </c>
      <c r="H331" s="54"/>
    </row>
    <row r="332" spans="1:8" x14ac:dyDescent="0.35">
      <c r="A332" s="51"/>
      <c r="B332" s="51"/>
      <c r="C332" s="51" t="str">
        <f>IFERROR(VLOOKUP(B332,منتجات!$A$3:$C$350,2,0),"")</f>
        <v/>
      </c>
      <c r="D332" s="51" t="str">
        <f>IFERROR(VLOOKUP(B332,منتجات!$A$3:$C$350,3,0),"")</f>
        <v/>
      </c>
      <c r="E332" s="51"/>
      <c r="F332" s="51" t="str">
        <f>IFERROR(INDEX(منتجات!$G$3:$G$114,MATCH(B332,منتجات!$A$3:$A$115,0)),"")</f>
        <v/>
      </c>
      <c r="G332" s="51" t="str">
        <f t="shared" si="6"/>
        <v/>
      </c>
      <c r="H332" s="53"/>
    </row>
    <row r="333" spans="1:8" x14ac:dyDescent="0.35">
      <c r="A333" s="49"/>
      <c r="B333" s="49"/>
      <c r="C333" s="51" t="str">
        <f>IFERROR(VLOOKUP(B333,منتجات!$A$3:$C$350,2,0),"")</f>
        <v/>
      </c>
      <c r="D333" s="49" t="str">
        <f>IFERROR(VLOOKUP(B333,منتجات!$A$3:$C$350,3,0),"")</f>
        <v/>
      </c>
      <c r="E333" s="49"/>
      <c r="F333" s="49" t="str">
        <f>IFERROR(INDEX(منتجات!$G$3:$G$114,MATCH(B333,منتجات!$A$3:$A$115,0)),"")</f>
        <v/>
      </c>
      <c r="G333" s="51" t="str">
        <f t="shared" si="6"/>
        <v/>
      </c>
      <c r="H333" s="54"/>
    </row>
    <row r="334" spans="1:8" x14ac:dyDescent="0.35">
      <c r="A334" s="51"/>
      <c r="B334" s="51"/>
      <c r="C334" s="51" t="str">
        <f>IFERROR(VLOOKUP(B334,منتجات!$A$3:$C$350,2,0),"")</f>
        <v/>
      </c>
      <c r="D334" s="51" t="str">
        <f>IFERROR(VLOOKUP(B334,منتجات!$A$3:$C$350,3,0),"")</f>
        <v/>
      </c>
      <c r="E334" s="51"/>
      <c r="F334" s="51" t="str">
        <f>IFERROR(INDEX(منتجات!$G$3:$G$114,MATCH(B334,منتجات!$A$3:$A$115,0)),"")</f>
        <v/>
      </c>
      <c r="G334" s="51" t="str">
        <f t="shared" ref="G334:G397" si="7">IFERROR(E334*F334*D334,"")</f>
        <v/>
      </c>
      <c r="H334" s="53"/>
    </row>
    <row r="335" spans="1:8" x14ac:dyDescent="0.35">
      <c r="A335" s="49"/>
      <c r="B335" s="49"/>
      <c r="C335" s="51" t="str">
        <f>IFERROR(VLOOKUP(B335,منتجات!$A$3:$C$350,2,0),"")</f>
        <v/>
      </c>
      <c r="D335" s="49" t="str">
        <f>IFERROR(VLOOKUP(B335,منتجات!$A$3:$C$350,3,0),"")</f>
        <v/>
      </c>
      <c r="E335" s="49"/>
      <c r="F335" s="49" t="str">
        <f>IFERROR(INDEX(منتجات!$G$3:$G$114,MATCH(B335,منتجات!$A$3:$A$115,0)),"")</f>
        <v/>
      </c>
      <c r="G335" s="51" t="str">
        <f t="shared" si="7"/>
        <v/>
      </c>
      <c r="H335" s="54"/>
    </row>
    <row r="336" spans="1:8" x14ac:dyDescent="0.35">
      <c r="A336" s="51"/>
      <c r="B336" s="51"/>
      <c r="C336" s="51" t="str">
        <f>IFERROR(VLOOKUP(B336,منتجات!$A$3:$C$350,2,0),"")</f>
        <v/>
      </c>
      <c r="D336" s="51" t="str">
        <f>IFERROR(VLOOKUP(B336,منتجات!$A$3:$C$350,3,0),"")</f>
        <v/>
      </c>
      <c r="E336" s="51"/>
      <c r="F336" s="51" t="str">
        <f>IFERROR(INDEX(منتجات!$G$3:$G$114,MATCH(B336,منتجات!$A$3:$A$115,0)),"")</f>
        <v/>
      </c>
      <c r="G336" s="51" t="str">
        <f t="shared" si="7"/>
        <v/>
      </c>
      <c r="H336" s="53"/>
    </row>
    <row r="337" spans="1:8" x14ac:dyDescent="0.35">
      <c r="A337" s="49"/>
      <c r="B337" s="49"/>
      <c r="C337" s="51" t="str">
        <f>IFERROR(VLOOKUP(B337,منتجات!$A$3:$C$350,2,0),"")</f>
        <v/>
      </c>
      <c r="D337" s="49" t="str">
        <f>IFERROR(VLOOKUP(B337,منتجات!$A$3:$C$350,3,0),"")</f>
        <v/>
      </c>
      <c r="E337" s="49"/>
      <c r="F337" s="49" t="str">
        <f>IFERROR(INDEX(منتجات!$G$3:$G$114,MATCH(B337,منتجات!$A$3:$A$115,0)),"")</f>
        <v/>
      </c>
      <c r="G337" s="51" t="str">
        <f t="shared" si="7"/>
        <v/>
      </c>
      <c r="H337" s="54"/>
    </row>
    <row r="338" spans="1:8" x14ac:dyDescent="0.35">
      <c r="A338" s="51"/>
      <c r="B338" s="51"/>
      <c r="C338" s="51" t="str">
        <f>IFERROR(VLOOKUP(B338,منتجات!$A$3:$C$350,2,0),"")</f>
        <v/>
      </c>
      <c r="D338" s="51" t="str">
        <f>IFERROR(VLOOKUP(B338,منتجات!$A$3:$C$350,3,0),"")</f>
        <v/>
      </c>
      <c r="E338" s="51"/>
      <c r="F338" s="51" t="str">
        <f>IFERROR(INDEX(منتجات!$G$3:$G$114,MATCH(B338,منتجات!$A$3:$A$115,0)),"")</f>
        <v/>
      </c>
      <c r="G338" s="51" t="str">
        <f t="shared" si="7"/>
        <v/>
      </c>
      <c r="H338" s="53"/>
    </row>
    <row r="339" spans="1:8" x14ac:dyDescent="0.35">
      <c r="A339" s="49"/>
      <c r="B339" s="49"/>
      <c r="C339" s="51" t="str">
        <f>IFERROR(VLOOKUP(B339,منتجات!$A$3:$C$350,2,0),"")</f>
        <v/>
      </c>
      <c r="D339" s="49" t="str">
        <f>IFERROR(VLOOKUP(B339,منتجات!$A$3:$C$350,3,0),"")</f>
        <v/>
      </c>
      <c r="E339" s="49"/>
      <c r="F339" s="49" t="str">
        <f>IFERROR(INDEX(منتجات!$G$3:$G$114,MATCH(B339,منتجات!$A$3:$A$115,0)),"")</f>
        <v/>
      </c>
      <c r="G339" s="51" t="str">
        <f t="shared" si="7"/>
        <v/>
      </c>
      <c r="H339" s="54"/>
    </row>
    <row r="340" spans="1:8" x14ac:dyDescent="0.35">
      <c r="A340" s="51"/>
      <c r="B340" s="51"/>
      <c r="C340" s="51" t="str">
        <f>IFERROR(VLOOKUP(B340,منتجات!$A$3:$C$350,2,0),"")</f>
        <v/>
      </c>
      <c r="D340" s="51" t="str">
        <f>IFERROR(VLOOKUP(B340,منتجات!$A$3:$C$350,3,0),"")</f>
        <v/>
      </c>
      <c r="E340" s="51"/>
      <c r="F340" s="51" t="str">
        <f>IFERROR(INDEX(منتجات!$G$3:$G$114,MATCH(B340,منتجات!$A$3:$A$115,0)),"")</f>
        <v/>
      </c>
      <c r="G340" s="51" t="str">
        <f t="shared" si="7"/>
        <v/>
      </c>
      <c r="H340" s="53"/>
    </row>
    <row r="341" spans="1:8" x14ac:dyDescent="0.35">
      <c r="A341" s="49"/>
      <c r="B341" s="49"/>
      <c r="C341" s="51" t="str">
        <f>IFERROR(VLOOKUP(B341,منتجات!$A$3:$C$350,2,0),"")</f>
        <v/>
      </c>
      <c r="D341" s="49" t="str">
        <f>IFERROR(VLOOKUP(B341,منتجات!$A$3:$C$350,3,0),"")</f>
        <v/>
      </c>
      <c r="E341" s="49"/>
      <c r="F341" s="49" t="str">
        <f>IFERROR(INDEX(منتجات!$G$3:$G$114,MATCH(B341,منتجات!$A$3:$A$115,0)),"")</f>
        <v/>
      </c>
      <c r="G341" s="51" t="str">
        <f t="shared" si="7"/>
        <v/>
      </c>
      <c r="H341" s="54"/>
    </row>
    <row r="342" spans="1:8" x14ac:dyDescent="0.35">
      <c r="A342" s="51"/>
      <c r="B342" s="51"/>
      <c r="C342" s="51" t="str">
        <f>IFERROR(VLOOKUP(B342,منتجات!$A$3:$C$350,2,0),"")</f>
        <v/>
      </c>
      <c r="D342" s="51" t="str">
        <f>IFERROR(VLOOKUP(B342,منتجات!$A$3:$C$350,3,0),"")</f>
        <v/>
      </c>
      <c r="E342" s="51"/>
      <c r="F342" s="51" t="str">
        <f>IFERROR(INDEX(منتجات!$G$3:$G$114,MATCH(B342,منتجات!$A$3:$A$115,0)),"")</f>
        <v/>
      </c>
      <c r="G342" s="51" t="str">
        <f t="shared" si="7"/>
        <v/>
      </c>
      <c r="H342" s="53"/>
    </row>
    <row r="343" spans="1:8" x14ac:dyDescent="0.35">
      <c r="A343" s="49"/>
      <c r="B343" s="49"/>
      <c r="C343" s="51" t="str">
        <f>IFERROR(VLOOKUP(B343,منتجات!$A$3:$C$350,2,0),"")</f>
        <v/>
      </c>
      <c r="D343" s="49" t="str">
        <f>IFERROR(VLOOKUP(B343,منتجات!$A$3:$C$350,3,0),"")</f>
        <v/>
      </c>
      <c r="E343" s="49"/>
      <c r="F343" s="49" t="str">
        <f>IFERROR(INDEX(منتجات!$G$3:$G$114,MATCH(B343,منتجات!$A$3:$A$115,0)),"")</f>
        <v/>
      </c>
      <c r="G343" s="51" t="str">
        <f t="shared" si="7"/>
        <v/>
      </c>
      <c r="H343" s="54"/>
    </row>
    <row r="344" spans="1:8" x14ac:dyDescent="0.35">
      <c r="A344" s="51"/>
      <c r="B344" s="51"/>
      <c r="C344" s="51" t="str">
        <f>IFERROR(VLOOKUP(B344,منتجات!$A$3:$C$350,2,0),"")</f>
        <v/>
      </c>
      <c r="D344" s="51" t="str">
        <f>IFERROR(VLOOKUP(B344,منتجات!$A$3:$C$350,3,0),"")</f>
        <v/>
      </c>
      <c r="E344" s="51"/>
      <c r="F344" s="51" t="str">
        <f>IFERROR(INDEX(منتجات!$G$3:$G$114,MATCH(B344,منتجات!$A$3:$A$115,0)),"")</f>
        <v/>
      </c>
      <c r="G344" s="51" t="str">
        <f t="shared" si="7"/>
        <v/>
      </c>
      <c r="H344" s="53"/>
    </row>
    <row r="345" spans="1:8" x14ac:dyDescent="0.35">
      <c r="A345" s="49"/>
      <c r="B345" s="49"/>
      <c r="C345" s="51" t="str">
        <f>IFERROR(VLOOKUP(B345,منتجات!$A$3:$C$350,2,0),"")</f>
        <v/>
      </c>
      <c r="D345" s="49" t="str">
        <f>IFERROR(VLOOKUP(B345,منتجات!$A$3:$C$350,3,0),"")</f>
        <v/>
      </c>
      <c r="E345" s="49"/>
      <c r="F345" s="49" t="str">
        <f>IFERROR(INDEX(منتجات!$G$3:$G$114,MATCH(B345,منتجات!$A$3:$A$115,0)),"")</f>
        <v/>
      </c>
      <c r="G345" s="51" t="str">
        <f t="shared" si="7"/>
        <v/>
      </c>
      <c r="H345" s="54"/>
    </row>
    <row r="346" spans="1:8" x14ac:dyDescent="0.35">
      <c r="A346" s="51"/>
      <c r="B346" s="51"/>
      <c r="C346" s="51" t="str">
        <f>IFERROR(VLOOKUP(B346,منتجات!$A$3:$C$350,2,0),"")</f>
        <v/>
      </c>
      <c r="D346" s="51" t="str">
        <f>IFERROR(VLOOKUP(B346,منتجات!$A$3:$C$350,3,0),"")</f>
        <v/>
      </c>
      <c r="E346" s="51"/>
      <c r="F346" s="51" t="str">
        <f>IFERROR(INDEX(منتجات!$G$3:$G$114,MATCH(B346,منتجات!$A$3:$A$115,0)),"")</f>
        <v/>
      </c>
      <c r="G346" s="51" t="str">
        <f t="shared" si="7"/>
        <v/>
      </c>
      <c r="H346" s="53"/>
    </row>
    <row r="347" spans="1:8" x14ac:dyDescent="0.35">
      <c r="A347" s="49"/>
      <c r="B347" s="49"/>
      <c r="C347" s="51" t="str">
        <f>IFERROR(VLOOKUP(B347,منتجات!$A$3:$C$350,2,0),"")</f>
        <v/>
      </c>
      <c r="D347" s="49" t="str">
        <f>IFERROR(VLOOKUP(B347,منتجات!$A$3:$C$350,3,0),"")</f>
        <v/>
      </c>
      <c r="E347" s="49"/>
      <c r="F347" s="49" t="str">
        <f>IFERROR(INDEX(منتجات!$G$3:$G$114,MATCH(B347,منتجات!$A$3:$A$115,0)),"")</f>
        <v/>
      </c>
      <c r="G347" s="51" t="str">
        <f t="shared" si="7"/>
        <v/>
      </c>
      <c r="H347" s="54"/>
    </row>
    <row r="348" spans="1:8" x14ac:dyDescent="0.35">
      <c r="A348" s="51"/>
      <c r="B348" s="51"/>
      <c r="C348" s="51" t="str">
        <f>IFERROR(VLOOKUP(B348,منتجات!$A$3:$C$350,2,0),"")</f>
        <v/>
      </c>
      <c r="D348" s="51" t="str">
        <f>IFERROR(VLOOKUP(B348,منتجات!$A$3:$C$350,3,0),"")</f>
        <v/>
      </c>
      <c r="E348" s="51"/>
      <c r="F348" s="51" t="str">
        <f>IFERROR(INDEX(منتجات!$G$3:$G$114,MATCH(B348,منتجات!$A$3:$A$115,0)),"")</f>
        <v/>
      </c>
      <c r="G348" s="51" t="str">
        <f t="shared" si="7"/>
        <v/>
      </c>
      <c r="H348" s="53"/>
    </row>
    <row r="349" spans="1:8" x14ac:dyDescent="0.35">
      <c r="A349" s="49"/>
      <c r="B349" s="49"/>
      <c r="C349" s="51" t="str">
        <f>IFERROR(VLOOKUP(B349,منتجات!$A$3:$C$350,2,0),"")</f>
        <v/>
      </c>
      <c r="D349" s="49" t="str">
        <f>IFERROR(VLOOKUP(B349,منتجات!$A$3:$C$350,3,0),"")</f>
        <v/>
      </c>
      <c r="E349" s="49"/>
      <c r="F349" s="49" t="str">
        <f>IFERROR(INDEX(منتجات!$G$3:$G$114,MATCH(B349,منتجات!$A$3:$A$115,0)),"")</f>
        <v/>
      </c>
      <c r="G349" s="51" t="str">
        <f t="shared" si="7"/>
        <v/>
      </c>
      <c r="H349" s="54"/>
    </row>
    <row r="350" spans="1:8" x14ac:dyDescent="0.35">
      <c r="A350" s="51"/>
      <c r="B350" s="51"/>
      <c r="C350" s="51" t="str">
        <f>IFERROR(VLOOKUP(B350,منتجات!$A$3:$C$350,2,0),"")</f>
        <v/>
      </c>
      <c r="D350" s="51" t="str">
        <f>IFERROR(VLOOKUP(B350,منتجات!$A$3:$C$350,3,0),"")</f>
        <v/>
      </c>
      <c r="E350" s="51"/>
      <c r="F350" s="51" t="str">
        <f>IFERROR(INDEX(منتجات!$G$3:$G$114,MATCH(B350,منتجات!$A$3:$A$115,0)),"")</f>
        <v/>
      </c>
      <c r="G350" s="51" t="str">
        <f t="shared" si="7"/>
        <v/>
      </c>
      <c r="H350" s="53"/>
    </row>
    <row r="351" spans="1:8" x14ac:dyDescent="0.35">
      <c r="A351" s="49"/>
      <c r="B351" s="49"/>
      <c r="C351" s="51" t="str">
        <f>IFERROR(VLOOKUP(B351,منتجات!$A$3:$C$350,2,0),"")</f>
        <v/>
      </c>
      <c r="D351" s="49" t="str">
        <f>IFERROR(VLOOKUP(B351,منتجات!$A$3:$C$350,3,0),"")</f>
        <v/>
      </c>
      <c r="E351" s="49"/>
      <c r="F351" s="49" t="str">
        <f>IFERROR(INDEX(منتجات!$G$3:$G$114,MATCH(B351,منتجات!$A$3:$A$115,0)),"")</f>
        <v/>
      </c>
      <c r="G351" s="51" t="str">
        <f t="shared" si="7"/>
        <v/>
      </c>
      <c r="H351" s="54"/>
    </row>
    <row r="352" spans="1:8" x14ac:dyDescent="0.35">
      <c r="A352" s="51"/>
      <c r="B352" s="51"/>
      <c r="C352" s="51" t="str">
        <f>IFERROR(VLOOKUP(B352,منتجات!$A$3:$C$350,2,0),"")</f>
        <v/>
      </c>
      <c r="D352" s="51" t="str">
        <f>IFERROR(VLOOKUP(B352,منتجات!$A$3:$C$350,3,0),"")</f>
        <v/>
      </c>
      <c r="E352" s="51"/>
      <c r="F352" s="51" t="str">
        <f>IFERROR(INDEX(منتجات!$G$3:$G$114,MATCH(B352,منتجات!$A$3:$A$115,0)),"")</f>
        <v/>
      </c>
      <c r="G352" s="51" t="str">
        <f t="shared" si="7"/>
        <v/>
      </c>
      <c r="H352" s="53"/>
    </row>
    <row r="353" spans="1:8" x14ac:dyDescent="0.35">
      <c r="A353" s="49"/>
      <c r="B353" s="49"/>
      <c r="C353" s="51" t="str">
        <f>IFERROR(VLOOKUP(B353,منتجات!$A$3:$C$350,2,0),"")</f>
        <v/>
      </c>
      <c r="D353" s="49" t="str">
        <f>IFERROR(VLOOKUP(B353,منتجات!$A$3:$C$350,3,0),"")</f>
        <v/>
      </c>
      <c r="E353" s="49"/>
      <c r="F353" s="49" t="str">
        <f>IFERROR(INDEX(منتجات!$G$3:$G$114,MATCH(B353,منتجات!$A$3:$A$115,0)),"")</f>
        <v/>
      </c>
      <c r="G353" s="51" t="str">
        <f t="shared" si="7"/>
        <v/>
      </c>
      <c r="H353" s="54"/>
    </row>
    <row r="354" spans="1:8" x14ac:dyDescent="0.35">
      <c r="A354" s="51"/>
      <c r="B354" s="51"/>
      <c r="C354" s="51" t="str">
        <f>IFERROR(VLOOKUP(B354,منتجات!$A$3:$C$350,2,0),"")</f>
        <v/>
      </c>
      <c r="D354" s="51" t="str">
        <f>IFERROR(VLOOKUP(B354,منتجات!$A$3:$C$350,3,0),"")</f>
        <v/>
      </c>
      <c r="E354" s="51"/>
      <c r="F354" s="51" t="str">
        <f>IFERROR(INDEX(منتجات!$G$3:$G$114,MATCH(B354,منتجات!$A$3:$A$115,0)),"")</f>
        <v/>
      </c>
      <c r="G354" s="51" t="str">
        <f t="shared" si="7"/>
        <v/>
      </c>
      <c r="H354" s="53"/>
    </row>
    <row r="355" spans="1:8" x14ac:dyDescent="0.35">
      <c r="A355" s="49"/>
      <c r="B355" s="49"/>
      <c r="C355" s="51" t="str">
        <f>IFERROR(VLOOKUP(B355,منتجات!$A$3:$C$350,2,0),"")</f>
        <v/>
      </c>
      <c r="D355" s="49" t="str">
        <f>IFERROR(VLOOKUP(B355,منتجات!$A$3:$C$350,3,0),"")</f>
        <v/>
      </c>
      <c r="E355" s="49"/>
      <c r="F355" s="49" t="str">
        <f>IFERROR(INDEX(منتجات!$G$3:$G$114,MATCH(B355,منتجات!$A$3:$A$115,0)),"")</f>
        <v/>
      </c>
      <c r="G355" s="51" t="str">
        <f t="shared" si="7"/>
        <v/>
      </c>
      <c r="H355" s="54"/>
    </row>
    <row r="356" spans="1:8" x14ac:dyDescent="0.35">
      <c r="A356" s="51"/>
      <c r="B356" s="51"/>
      <c r="C356" s="51" t="str">
        <f>IFERROR(VLOOKUP(B356,منتجات!$A$3:$C$350,2,0),"")</f>
        <v/>
      </c>
      <c r="D356" s="51" t="str">
        <f>IFERROR(VLOOKUP(B356,منتجات!$A$3:$C$350,3,0),"")</f>
        <v/>
      </c>
      <c r="E356" s="51"/>
      <c r="F356" s="51" t="str">
        <f>IFERROR(INDEX(منتجات!$G$3:$G$114,MATCH(B356,منتجات!$A$3:$A$115,0)),"")</f>
        <v/>
      </c>
      <c r="G356" s="51" t="str">
        <f t="shared" si="7"/>
        <v/>
      </c>
      <c r="H356" s="53"/>
    </row>
    <row r="357" spans="1:8" x14ac:dyDescent="0.35">
      <c r="A357" s="49"/>
      <c r="B357" s="49"/>
      <c r="C357" s="51" t="str">
        <f>IFERROR(VLOOKUP(B357,منتجات!$A$3:$C$350,2,0),"")</f>
        <v/>
      </c>
      <c r="D357" s="49" t="str">
        <f>IFERROR(VLOOKUP(B357,منتجات!$A$3:$C$350,3,0),"")</f>
        <v/>
      </c>
      <c r="E357" s="49"/>
      <c r="F357" s="49" t="str">
        <f>IFERROR(INDEX(منتجات!$G$3:$G$114,MATCH(B357,منتجات!$A$3:$A$115,0)),"")</f>
        <v/>
      </c>
      <c r="G357" s="51" t="str">
        <f t="shared" si="7"/>
        <v/>
      </c>
      <c r="H357" s="54"/>
    </row>
    <row r="358" spans="1:8" x14ac:dyDescent="0.35">
      <c r="A358" s="51"/>
      <c r="B358" s="51"/>
      <c r="C358" s="51" t="str">
        <f>IFERROR(VLOOKUP(B358,منتجات!$A$3:$C$350,2,0),"")</f>
        <v/>
      </c>
      <c r="D358" s="51" t="str">
        <f>IFERROR(VLOOKUP(B358,منتجات!$A$3:$C$350,3,0),"")</f>
        <v/>
      </c>
      <c r="E358" s="51"/>
      <c r="F358" s="51" t="str">
        <f>IFERROR(INDEX(منتجات!$G$3:$G$114,MATCH(B358,منتجات!$A$3:$A$115,0)),"")</f>
        <v/>
      </c>
      <c r="G358" s="51" t="str">
        <f t="shared" si="7"/>
        <v/>
      </c>
      <c r="H358" s="53"/>
    </row>
    <row r="359" spans="1:8" x14ac:dyDescent="0.35">
      <c r="A359" s="49"/>
      <c r="B359" s="49"/>
      <c r="C359" s="51" t="str">
        <f>IFERROR(VLOOKUP(B359,منتجات!$A$3:$C$350,2,0),"")</f>
        <v/>
      </c>
      <c r="D359" s="49" t="str">
        <f>IFERROR(VLOOKUP(B359,منتجات!$A$3:$C$350,3,0),"")</f>
        <v/>
      </c>
      <c r="E359" s="49"/>
      <c r="F359" s="49" t="str">
        <f>IFERROR(INDEX(منتجات!$G$3:$G$114,MATCH(B359,منتجات!$A$3:$A$115,0)),"")</f>
        <v/>
      </c>
      <c r="G359" s="51" t="str">
        <f t="shared" si="7"/>
        <v/>
      </c>
      <c r="H359" s="54"/>
    </row>
    <row r="360" spans="1:8" x14ac:dyDescent="0.35">
      <c r="A360" s="51"/>
      <c r="B360" s="51"/>
      <c r="C360" s="51" t="str">
        <f>IFERROR(VLOOKUP(B360,منتجات!$A$3:$C$350,2,0),"")</f>
        <v/>
      </c>
      <c r="D360" s="51" t="str">
        <f>IFERROR(VLOOKUP(B360,منتجات!$A$3:$C$350,3,0),"")</f>
        <v/>
      </c>
      <c r="E360" s="51"/>
      <c r="F360" s="51" t="str">
        <f>IFERROR(INDEX(منتجات!$G$3:$G$114,MATCH(B360,منتجات!$A$3:$A$115,0)),"")</f>
        <v/>
      </c>
      <c r="G360" s="51" t="str">
        <f t="shared" si="7"/>
        <v/>
      </c>
      <c r="H360" s="53"/>
    </row>
    <row r="361" spans="1:8" x14ac:dyDescent="0.35">
      <c r="A361" s="49"/>
      <c r="B361" s="49"/>
      <c r="C361" s="51" t="str">
        <f>IFERROR(VLOOKUP(B361,منتجات!$A$3:$C$350,2,0),"")</f>
        <v/>
      </c>
      <c r="D361" s="49" t="str">
        <f>IFERROR(VLOOKUP(B361,منتجات!$A$3:$C$350,3,0),"")</f>
        <v/>
      </c>
      <c r="E361" s="49"/>
      <c r="F361" s="49" t="str">
        <f>IFERROR(INDEX(منتجات!$G$3:$G$114,MATCH(B361,منتجات!$A$3:$A$115,0)),"")</f>
        <v/>
      </c>
      <c r="G361" s="51" t="str">
        <f t="shared" si="7"/>
        <v/>
      </c>
      <c r="H361" s="54"/>
    </row>
    <row r="362" spans="1:8" x14ac:dyDescent="0.35">
      <c r="A362" s="51"/>
      <c r="B362" s="51"/>
      <c r="C362" s="51" t="str">
        <f>IFERROR(VLOOKUP(B362,منتجات!$A$3:$C$350,2,0),"")</f>
        <v/>
      </c>
      <c r="D362" s="51" t="str">
        <f>IFERROR(VLOOKUP(B362,منتجات!$A$3:$C$350,3,0),"")</f>
        <v/>
      </c>
      <c r="E362" s="51"/>
      <c r="F362" s="51" t="str">
        <f>IFERROR(INDEX(منتجات!$G$3:$G$114,MATCH(B362,منتجات!$A$3:$A$115,0)),"")</f>
        <v/>
      </c>
      <c r="G362" s="51" t="str">
        <f t="shared" si="7"/>
        <v/>
      </c>
      <c r="H362" s="53"/>
    </row>
    <row r="363" spans="1:8" x14ac:dyDescent="0.35">
      <c r="A363" s="49"/>
      <c r="B363" s="49"/>
      <c r="C363" s="51" t="str">
        <f>IFERROR(VLOOKUP(B363,منتجات!$A$3:$C$350,2,0),"")</f>
        <v/>
      </c>
      <c r="D363" s="49" t="str">
        <f>IFERROR(VLOOKUP(B363,منتجات!$A$3:$C$350,3,0),"")</f>
        <v/>
      </c>
      <c r="E363" s="49"/>
      <c r="F363" s="49" t="str">
        <f>IFERROR(INDEX(منتجات!$G$3:$G$114,MATCH(B363,منتجات!$A$3:$A$115,0)),"")</f>
        <v/>
      </c>
      <c r="G363" s="51" t="str">
        <f t="shared" si="7"/>
        <v/>
      </c>
      <c r="H363" s="54"/>
    </row>
    <row r="364" spans="1:8" x14ac:dyDescent="0.35">
      <c r="A364" s="51"/>
      <c r="B364" s="51"/>
      <c r="C364" s="51" t="str">
        <f>IFERROR(VLOOKUP(B364,منتجات!$A$3:$C$350,2,0),"")</f>
        <v/>
      </c>
      <c r="D364" s="51" t="str">
        <f>IFERROR(VLOOKUP(B364,منتجات!$A$3:$C$350,3,0),"")</f>
        <v/>
      </c>
      <c r="E364" s="51"/>
      <c r="F364" s="51" t="str">
        <f>IFERROR(INDEX(منتجات!$G$3:$G$114,MATCH(B364,منتجات!$A$3:$A$115,0)),"")</f>
        <v/>
      </c>
      <c r="G364" s="51" t="str">
        <f t="shared" si="7"/>
        <v/>
      </c>
      <c r="H364" s="53"/>
    </row>
    <row r="365" spans="1:8" x14ac:dyDescent="0.35">
      <c r="A365" s="49"/>
      <c r="B365" s="49"/>
      <c r="C365" s="51" t="str">
        <f>IFERROR(VLOOKUP(B365,منتجات!$A$3:$C$350,2,0),"")</f>
        <v/>
      </c>
      <c r="D365" s="49" t="str">
        <f>IFERROR(VLOOKUP(B365,منتجات!$A$3:$C$350,3,0),"")</f>
        <v/>
      </c>
      <c r="E365" s="49"/>
      <c r="F365" s="49" t="str">
        <f>IFERROR(INDEX(منتجات!$G$3:$G$114,MATCH(B365,منتجات!$A$3:$A$115,0)),"")</f>
        <v/>
      </c>
      <c r="G365" s="51" t="str">
        <f t="shared" si="7"/>
        <v/>
      </c>
      <c r="H365" s="54"/>
    </row>
    <row r="366" spans="1:8" x14ac:dyDescent="0.35">
      <c r="A366" s="51"/>
      <c r="B366" s="51"/>
      <c r="C366" s="51" t="str">
        <f>IFERROR(VLOOKUP(B366,منتجات!$A$3:$C$350,2,0),"")</f>
        <v/>
      </c>
      <c r="D366" s="51" t="str">
        <f>IFERROR(VLOOKUP(B366,منتجات!$A$3:$C$350,3,0),"")</f>
        <v/>
      </c>
      <c r="E366" s="51"/>
      <c r="F366" s="51" t="str">
        <f>IFERROR(INDEX(منتجات!$G$3:$G$114,MATCH(B366,منتجات!$A$3:$A$115,0)),"")</f>
        <v/>
      </c>
      <c r="G366" s="51" t="str">
        <f t="shared" si="7"/>
        <v/>
      </c>
      <c r="H366" s="53"/>
    </row>
    <row r="367" spans="1:8" x14ac:dyDescent="0.35">
      <c r="A367" s="49"/>
      <c r="B367" s="49"/>
      <c r="C367" s="51" t="str">
        <f>IFERROR(VLOOKUP(B367,منتجات!$A$3:$C$350,2,0),"")</f>
        <v/>
      </c>
      <c r="D367" s="49" t="str">
        <f>IFERROR(VLOOKUP(B367,منتجات!$A$3:$C$350,3,0),"")</f>
        <v/>
      </c>
      <c r="E367" s="49"/>
      <c r="F367" s="49" t="str">
        <f>IFERROR(INDEX(منتجات!$G$3:$G$114,MATCH(B367,منتجات!$A$3:$A$115,0)),"")</f>
        <v/>
      </c>
      <c r="G367" s="51" t="str">
        <f t="shared" si="7"/>
        <v/>
      </c>
      <c r="H367" s="54"/>
    </row>
    <row r="368" spans="1:8" x14ac:dyDescent="0.35">
      <c r="A368" s="51"/>
      <c r="B368" s="51"/>
      <c r="C368" s="51" t="str">
        <f>IFERROR(VLOOKUP(B368,منتجات!$A$3:$C$350,2,0),"")</f>
        <v/>
      </c>
      <c r="D368" s="51" t="str">
        <f>IFERROR(VLOOKUP(B368,منتجات!$A$3:$C$350,3,0),"")</f>
        <v/>
      </c>
      <c r="E368" s="51"/>
      <c r="F368" s="51" t="str">
        <f>IFERROR(INDEX(منتجات!$G$3:$G$114,MATCH(B368,منتجات!$A$3:$A$115,0)),"")</f>
        <v/>
      </c>
      <c r="G368" s="51" t="str">
        <f t="shared" si="7"/>
        <v/>
      </c>
      <c r="H368" s="53"/>
    </row>
    <row r="369" spans="1:8" x14ac:dyDescent="0.35">
      <c r="A369" s="49"/>
      <c r="B369" s="49"/>
      <c r="C369" s="51" t="str">
        <f>IFERROR(VLOOKUP(B369,منتجات!$A$3:$C$350,2,0),"")</f>
        <v/>
      </c>
      <c r="D369" s="49" t="str">
        <f>IFERROR(VLOOKUP(B369,منتجات!$A$3:$C$350,3,0),"")</f>
        <v/>
      </c>
      <c r="E369" s="49"/>
      <c r="F369" s="49" t="str">
        <f>IFERROR(INDEX(منتجات!$G$3:$G$114,MATCH(B369,منتجات!$A$3:$A$115,0)),"")</f>
        <v/>
      </c>
      <c r="G369" s="51" t="str">
        <f t="shared" si="7"/>
        <v/>
      </c>
      <c r="H369" s="54"/>
    </row>
    <row r="370" spans="1:8" x14ac:dyDescent="0.35">
      <c r="A370" s="51"/>
      <c r="B370" s="51"/>
      <c r="C370" s="51" t="str">
        <f>IFERROR(VLOOKUP(B370,منتجات!$A$3:$C$350,2,0),"")</f>
        <v/>
      </c>
      <c r="D370" s="51" t="str">
        <f>IFERROR(VLOOKUP(B370,منتجات!$A$3:$C$350,3,0),"")</f>
        <v/>
      </c>
      <c r="E370" s="51"/>
      <c r="F370" s="51" t="str">
        <f>IFERROR(INDEX(منتجات!$G$3:$G$114,MATCH(B370,منتجات!$A$3:$A$115,0)),"")</f>
        <v/>
      </c>
      <c r="G370" s="51" t="str">
        <f t="shared" si="7"/>
        <v/>
      </c>
      <c r="H370" s="53"/>
    </row>
    <row r="371" spans="1:8" x14ac:dyDescent="0.35">
      <c r="A371" s="49"/>
      <c r="B371" s="49"/>
      <c r="C371" s="51" t="str">
        <f>IFERROR(VLOOKUP(B371,منتجات!$A$3:$C$350,2,0),"")</f>
        <v/>
      </c>
      <c r="D371" s="49" t="str">
        <f>IFERROR(VLOOKUP(B371,منتجات!$A$3:$C$350,3,0),"")</f>
        <v/>
      </c>
      <c r="E371" s="49"/>
      <c r="F371" s="49" t="str">
        <f>IFERROR(INDEX(منتجات!$G$3:$G$114,MATCH(B371,منتجات!$A$3:$A$115,0)),"")</f>
        <v/>
      </c>
      <c r="G371" s="51" t="str">
        <f t="shared" si="7"/>
        <v/>
      </c>
      <c r="H371" s="54"/>
    </row>
    <row r="372" spans="1:8" x14ac:dyDescent="0.35">
      <c r="A372" s="51"/>
      <c r="B372" s="51"/>
      <c r="C372" s="51" t="str">
        <f>IFERROR(VLOOKUP(B372,منتجات!$A$3:$C$350,2,0),"")</f>
        <v/>
      </c>
      <c r="D372" s="51" t="str">
        <f>IFERROR(VLOOKUP(B372,منتجات!$A$3:$C$350,3,0),"")</f>
        <v/>
      </c>
      <c r="E372" s="51"/>
      <c r="F372" s="51" t="str">
        <f>IFERROR(INDEX(منتجات!$G$3:$G$114,MATCH(B372,منتجات!$A$3:$A$115,0)),"")</f>
        <v/>
      </c>
      <c r="G372" s="51" t="str">
        <f t="shared" si="7"/>
        <v/>
      </c>
      <c r="H372" s="53"/>
    </row>
    <row r="373" spans="1:8" x14ac:dyDescent="0.35">
      <c r="A373" s="49"/>
      <c r="B373" s="49"/>
      <c r="C373" s="51" t="str">
        <f>IFERROR(VLOOKUP(B373,منتجات!$A$3:$C$350,2,0),"")</f>
        <v/>
      </c>
      <c r="D373" s="49" t="str">
        <f>IFERROR(VLOOKUP(B373,منتجات!$A$3:$C$350,3,0),"")</f>
        <v/>
      </c>
      <c r="E373" s="49"/>
      <c r="F373" s="49" t="str">
        <f>IFERROR(INDEX(منتجات!$G$3:$G$114,MATCH(B373,منتجات!$A$3:$A$115,0)),"")</f>
        <v/>
      </c>
      <c r="G373" s="51" t="str">
        <f t="shared" si="7"/>
        <v/>
      </c>
      <c r="H373" s="54"/>
    </row>
    <row r="374" spans="1:8" x14ac:dyDescent="0.35">
      <c r="A374" s="51"/>
      <c r="B374" s="51"/>
      <c r="C374" s="51" t="str">
        <f>IFERROR(VLOOKUP(B374,منتجات!$A$3:$C$350,2,0),"")</f>
        <v/>
      </c>
      <c r="D374" s="51" t="str">
        <f>IFERROR(VLOOKUP(B374,منتجات!$A$3:$C$350,3,0),"")</f>
        <v/>
      </c>
      <c r="E374" s="51"/>
      <c r="F374" s="51" t="str">
        <f>IFERROR(INDEX(منتجات!$G$3:$G$114,MATCH(B374,منتجات!$A$3:$A$115,0)),"")</f>
        <v/>
      </c>
      <c r="G374" s="51" t="str">
        <f t="shared" si="7"/>
        <v/>
      </c>
      <c r="H374" s="53"/>
    </row>
    <row r="375" spans="1:8" x14ac:dyDescent="0.35">
      <c r="A375" s="49"/>
      <c r="B375" s="49"/>
      <c r="C375" s="51" t="str">
        <f>IFERROR(VLOOKUP(B375,منتجات!$A$3:$C$350,2,0),"")</f>
        <v/>
      </c>
      <c r="D375" s="49" t="str">
        <f>IFERROR(VLOOKUP(B375,منتجات!$A$3:$C$350,3,0),"")</f>
        <v/>
      </c>
      <c r="E375" s="49"/>
      <c r="F375" s="49" t="str">
        <f>IFERROR(INDEX(منتجات!$G$3:$G$114,MATCH(B375,منتجات!$A$3:$A$115,0)),"")</f>
        <v/>
      </c>
      <c r="G375" s="51" t="str">
        <f t="shared" si="7"/>
        <v/>
      </c>
      <c r="H375" s="54"/>
    </row>
    <row r="376" spans="1:8" x14ac:dyDescent="0.35">
      <c r="A376" s="51"/>
      <c r="B376" s="51"/>
      <c r="C376" s="51" t="str">
        <f>IFERROR(VLOOKUP(B376,منتجات!$A$3:$C$350,2,0),"")</f>
        <v/>
      </c>
      <c r="D376" s="51" t="str">
        <f>IFERROR(VLOOKUP(B376,منتجات!$A$3:$C$350,3,0),"")</f>
        <v/>
      </c>
      <c r="E376" s="51"/>
      <c r="F376" s="51" t="str">
        <f>IFERROR(INDEX(منتجات!$G$3:$G$114,MATCH(B376,منتجات!$A$3:$A$115,0)),"")</f>
        <v/>
      </c>
      <c r="G376" s="51" t="str">
        <f t="shared" si="7"/>
        <v/>
      </c>
      <c r="H376" s="53"/>
    </row>
    <row r="377" spans="1:8" x14ac:dyDescent="0.35">
      <c r="A377" s="49"/>
      <c r="B377" s="49"/>
      <c r="C377" s="51" t="str">
        <f>IFERROR(VLOOKUP(B377,منتجات!$A$3:$C$350,2,0),"")</f>
        <v/>
      </c>
      <c r="D377" s="49" t="str">
        <f>IFERROR(VLOOKUP(B377,منتجات!$A$3:$C$350,3,0),"")</f>
        <v/>
      </c>
      <c r="E377" s="49"/>
      <c r="F377" s="49" t="str">
        <f>IFERROR(INDEX(منتجات!$G$3:$G$114,MATCH(B377,منتجات!$A$3:$A$115,0)),"")</f>
        <v/>
      </c>
      <c r="G377" s="51" t="str">
        <f t="shared" si="7"/>
        <v/>
      </c>
      <c r="H377" s="54"/>
    </row>
    <row r="378" spans="1:8" x14ac:dyDescent="0.35">
      <c r="A378" s="51"/>
      <c r="B378" s="51"/>
      <c r="C378" s="51" t="str">
        <f>IFERROR(VLOOKUP(B378,منتجات!$A$3:$C$350,2,0),"")</f>
        <v/>
      </c>
      <c r="D378" s="51" t="str">
        <f>IFERROR(VLOOKUP(B378,منتجات!$A$3:$C$350,3,0),"")</f>
        <v/>
      </c>
      <c r="E378" s="51"/>
      <c r="F378" s="51" t="str">
        <f>IFERROR(INDEX(منتجات!$G$3:$G$114,MATCH(B378,منتجات!$A$3:$A$115,0)),"")</f>
        <v/>
      </c>
      <c r="G378" s="51" t="str">
        <f t="shared" si="7"/>
        <v/>
      </c>
      <c r="H378" s="53"/>
    </row>
    <row r="379" spans="1:8" x14ac:dyDescent="0.35">
      <c r="A379" s="49"/>
      <c r="B379" s="49"/>
      <c r="C379" s="51" t="str">
        <f>IFERROR(VLOOKUP(B379,منتجات!$A$3:$C$350,2,0),"")</f>
        <v/>
      </c>
      <c r="D379" s="49" t="str">
        <f>IFERROR(VLOOKUP(B379,منتجات!$A$3:$C$350,3,0),"")</f>
        <v/>
      </c>
      <c r="E379" s="49"/>
      <c r="F379" s="49" t="str">
        <f>IFERROR(INDEX(منتجات!$G$3:$G$114,MATCH(B379,منتجات!$A$3:$A$115,0)),"")</f>
        <v/>
      </c>
      <c r="G379" s="51" t="str">
        <f t="shared" si="7"/>
        <v/>
      </c>
      <c r="H379" s="54"/>
    </row>
    <row r="380" spans="1:8" x14ac:dyDescent="0.35">
      <c r="A380" s="51"/>
      <c r="B380" s="51"/>
      <c r="C380" s="51" t="str">
        <f>IFERROR(VLOOKUP(B380,منتجات!$A$3:$C$350,2,0),"")</f>
        <v/>
      </c>
      <c r="D380" s="51" t="str">
        <f>IFERROR(VLOOKUP(B380,منتجات!$A$3:$C$350,3,0),"")</f>
        <v/>
      </c>
      <c r="E380" s="51"/>
      <c r="F380" s="51" t="str">
        <f>IFERROR(INDEX(منتجات!$G$3:$G$114,MATCH(B380,منتجات!$A$3:$A$115,0)),"")</f>
        <v/>
      </c>
      <c r="G380" s="51" t="str">
        <f t="shared" si="7"/>
        <v/>
      </c>
      <c r="H380" s="53"/>
    </row>
    <row r="381" spans="1:8" x14ac:dyDescent="0.35">
      <c r="A381" s="49"/>
      <c r="B381" s="49"/>
      <c r="C381" s="51" t="str">
        <f>IFERROR(VLOOKUP(B381,منتجات!$A$3:$C$350,2,0),"")</f>
        <v/>
      </c>
      <c r="D381" s="49" t="str">
        <f>IFERROR(VLOOKUP(B381,منتجات!$A$3:$C$350,3,0),"")</f>
        <v/>
      </c>
      <c r="E381" s="49"/>
      <c r="F381" s="49" t="str">
        <f>IFERROR(INDEX(منتجات!$G$3:$G$114,MATCH(B381,منتجات!$A$3:$A$115,0)),"")</f>
        <v/>
      </c>
      <c r="G381" s="51" t="str">
        <f t="shared" si="7"/>
        <v/>
      </c>
      <c r="H381" s="54"/>
    </row>
    <row r="382" spans="1:8" x14ac:dyDescent="0.35">
      <c r="A382" s="51"/>
      <c r="B382" s="51"/>
      <c r="C382" s="51" t="str">
        <f>IFERROR(VLOOKUP(B382,منتجات!$A$3:$C$350,2,0),"")</f>
        <v/>
      </c>
      <c r="D382" s="51" t="str">
        <f>IFERROR(VLOOKUP(B382,منتجات!$A$3:$C$350,3,0),"")</f>
        <v/>
      </c>
      <c r="E382" s="51"/>
      <c r="F382" s="51" t="str">
        <f>IFERROR(INDEX(منتجات!$G$3:$G$114,MATCH(B382,منتجات!$A$3:$A$115,0)),"")</f>
        <v/>
      </c>
      <c r="G382" s="51" t="str">
        <f t="shared" si="7"/>
        <v/>
      </c>
      <c r="H382" s="53"/>
    </row>
    <row r="383" spans="1:8" x14ac:dyDescent="0.35">
      <c r="A383" s="49"/>
      <c r="B383" s="49"/>
      <c r="C383" s="51" t="str">
        <f>IFERROR(VLOOKUP(B383,منتجات!$A$3:$C$350,2,0),"")</f>
        <v/>
      </c>
      <c r="D383" s="49" t="str">
        <f>IFERROR(VLOOKUP(B383,منتجات!$A$3:$C$350,3,0),"")</f>
        <v/>
      </c>
      <c r="E383" s="49"/>
      <c r="F383" s="49" t="str">
        <f>IFERROR(INDEX(منتجات!$G$3:$G$114,MATCH(B383,منتجات!$A$3:$A$115,0)),"")</f>
        <v/>
      </c>
      <c r="G383" s="51" t="str">
        <f t="shared" si="7"/>
        <v/>
      </c>
      <c r="H383" s="54"/>
    </row>
    <row r="384" spans="1:8" x14ac:dyDescent="0.35">
      <c r="A384" s="51"/>
      <c r="B384" s="51"/>
      <c r="C384" s="51" t="str">
        <f>IFERROR(VLOOKUP(B384,منتجات!$A$3:$C$350,2,0),"")</f>
        <v/>
      </c>
      <c r="D384" s="51" t="str">
        <f>IFERROR(VLOOKUP(B384,منتجات!$A$3:$C$350,3,0),"")</f>
        <v/>
      </c>
      <c r="E384" s="51"/>
      <c r="F384" s="51" t="str">
        <f>IFERROR(INDEX(منتجات!$G$3:$G$114,MATCH(B384,منتجات!$A$3:$A$115,0)),"")</f>
        <v/>
      </c>
      <c r="G384" s="51" t="str">
        <f t="shared" si="7"/>
        <v/>
      </c>
      <c r="H384" s="53"/>
    </row>
    <row r="385" spans="1:8" x14ac:dyDescent="0.35">
      <c r="A385" s="49"/>
      <c r="B385" s="49"/>
      <c r="C385" s="51" t="str">
        <f>IFERROR(VLOOKUP(B385,منتجات!$A$3:$C$350,2,0),"")</f>
        <v/>
      </c>
      <c r="D385" s="49" t="str">
        <f>IFERROR(VLOOKUP(B385,منتجات!$A$3:$C$350,3,0),"")</f>
        <v/>
      </c>
      <c r="E385" s="49"/>
      <c r="F385" s="49" t="str">
        <f>IFERROR(INDEX(منتجات!$G$3:$G$114,MATCH(B385,منتجات!$A$3:$A$115,0)),"")</f>
        <v/>
      </c>
      <c r="G385" s="51" t="str">
        <f t="shared" si="7"/>
        <v/>
      </c>
      <c r="H385" s="54"/>
    </row>
    <row r="386" spans="1:8" x14ac:dyDescent="0.35">
      <c r="A386" s="51"/>
      <c r="B386" s="51"/>
      <c r="C386" s="51" t="str">
        <f>IFERROR(VLOOKUP(B386,منتجات!$A$3:$C$350,2,0),"")</f>
        <v/>
      </c>
      <c r="D386" s="51" t="str">
        <f>IFERROR(VLOOKUP(B386,منتجات!$A$3:$C$350,3,0),"")</f>
        <v/>
      </c>
      <c r="E386" s="51"/>
      <c r="F386" s="51" t="str">
        <f>IFERROR(INDEX(منتجات!$G$3:$G$114,MATCH(B386,منتجات!$A$3:$A$115,0)),"")</f>
        <v/>
      </c>
      <c r="G386" s="51" t="str">
        <f t="shared" si="7"/>
        <v/>
      </c>
      <c r="H386" s="53"/>
    </row>
    <row r="387" spans="1:8" x14ac:dyDescent="0.35">
      <c r="A387" s="49"/>
      <c r="B387" s="49"/>
      <c r="C387" s="51" t="str">
        <f>IFERROR(VLOOKUP(B387,منتجات!$A$3:$C$350,2,0),"")</f>
        <v/>
      </c>
      <c r="D387" s="49" t="str">
        <f>IFERROR(VLOOKUP(B387,منتجات!$A$3:$C$350,3,0),"")</f>
        <v/>
      </c>
      <c r="E387" s="49"/>
      <c r="F387" s="49" t="str">
        <f>IFERROR(INDEX(منتجات!$G$3:$G$114,MATCH(B387,منتجات!$A$3:$A$115,0)),"")</f>
        <v/>
      </c>
      <c r="G387" s="51" t="str">
        <f t="shared" si="7"/>
        <v/>
      </c>
      <c r="H387" s="54"/>
    </row>
    <row r="388" spans="1:8" x14ac:dyDescent="0.35">
      <c r="A388" s="51"/>
      <c r="B388" s="51"/>
      <c r="C388" s="51" t="str">
        <f>IFERROR(VLOOKUP(B388,منتجات!$A$3:$C$350,2,0),"")</f>
        <v/>
      </c>
      <c r="D388" s="51" t="str">
        <f>IFERROR(VLOOKUP(B388,منتجات!$A$3:$C$350,3,0),"")</f>
        <v/>
      </c>
      <c r="E388" s="51"/>
      <c r="F388" s="51" t="str">
        <f>IFERROR(INDEX(منتجات!$G$3:$G$114,MATCH(B388,منتجات!$A$3:$A$115,0)),"")</f>
        <v/>
      </c>
      <c r="G388" s="51" t="str">
        <f t="shared" si="7"/>
        <v/>
      </c>
      <c r="H388" s="53"/>
    </row>
    <row r="389" spans="1:8" x14ac:dyDescent="0.35">
      <c r="A389" s="49"/>
      <c r="B389" s="49"/>
      <c r="C389" s="51" t="str">
        <f>IFERROR(VLOOKUP(B389,منتجات!$A$3:$C$350,2,0),"")</f>
        <v/>
      </c>
      <c r="D389" s="49" t="str">
        <f>IFERROR(VLOOKUP(B389,منتجات!$A$3:$C$350,3,0),"")</f>
        <v/>
      </c>
      <c r="E389" s="49"/>
      <c r="F389" s="49" t="str">
        <f>IFERROR(INDEX(منتجات!$G$3:$G$114,MATCH(B389,منتجات!$A$3:$A$115,0)),"")</f>
        <v/>
      </c>
      <c r="G389" s="51" t="str">
        <f t="shared" si="7"/>
        <v/>
      </c>
      <c r="H389" s="54"/>
    </row>
    <row r="390" spans="1:8" x14ac:dyDescent="0.35">
      <c r="A390" s="51"/>
      <c r="B390" s="51"/>
      <c r="C390" s="51" t="str">
        <f>IFERROR(VLOOKUP(B390,منتجات!$A$3:$C$350,2,0),"")</f>
        <v/>
      </c>
      <c r="D390" s="51" t="str">
        <f>IFERROR(VLOOKUP(B390,منتجات!$A$3:$C$350,3,0),"")</f>
        <v/>
      </c>
      <c r="E390" s="51"/>
      <c r="F390" s="51" t="str">
        <f>IFERROR(INDEX(منتجات!$G$3:$G$114,MATCH(B390,منتجات!$A$3:$A$115,0)),"")</f>
        <v/>
      </c>
      <c r="G390" s="51" t="str">
        <f t="shared" si="7"/>
        <v/>
      </c>
      <c r="H390" s="53"/>
    </row>
    <row r="391" spans="1:8" x14ac:dyDescent="0.35">
      <c r="A391" s="49"/>
      <c r="B391" s="49"/>
      <c r="C391" s="51" t="str">
        <f>IFERROR(VLOOKUP(B391,منتجات!$A$3:$C$350,2,0),"")</f>
        <v/>
      </c>
      <c r="D391" s="49" t="str">
        <f>IFERROR(VLOOKUP(B391,منتجات!$A$3:$C$350,3,0),"")</f>
        <v/>
      </c>
      <c r="E391" s="49"/>
      <c r="F391" s="49" t="str">
        <f>IFERROR(INDEX(منتجات!$G$3:$G$114,MATCH(B391,منتجات!$A$3:$A$115,0)),"")</f>
        <v/>
      </c>
      <c r="G391" s="51" t="str">
        <f t="shared" si="7"/>
        <v/>
      </c>
      <c r="H391" s="54"/>
    </row>
    <row r="392" spans="1:8" x14ac:dyDescent="0.35">
      <c r="A392" s="51"/>
      <c r="B392" s="51"/>
      <c r="C392" s="51" t="str">
        <f>IFERROR(VLOOKUP(B392,منتجات!$A$3:$C$350,2,0),"")</f>
        <v/>
      </c>
      <c r="D392" s="51" t="str">
        <f>IFERROR(VLOOKUP(B392,منتجات!$A$3:$C$350,3,0),"")</f>
        <v/>
      </c>
      <c r="E392" s="51"/>
      <c r="F392" s="51" t="str">
        <f>IFERROR(INDEX(منتجات!$G$3:$G$114,MATCH(B392,منتجات!$A$3:$A$115,0)),"")</f>
        <v/>
      </c>
      <c r="G392" s="51" t="str">
        <f t="shared" si="7"/>
        <v/>
      </c>
      <c r="H392" s="53"/>
    </row>
    <row r="393" spans="1:8" x14ac:dyDescent="0.35">
      <c r="A393" s="49"/>
      <c r="B393" s="49"/>
      <c r="C393" s="51" t="str">
        <f>IFERROR(VLOOKUP(B393,منتجات!$A$3:$C$350,2,0),"")</f>
        <v/>
      </c>
      <c r="D393" s="49" t="str">
        <f>IFERROR(VLOOKUP(B393,منتجات!$A$3:$C$350,3,0),"")</f>
        <v/>
      </c>
      <c r="E393" s="49"/>
      <c r="F393" s="49" t="str">
        <f>IFERROR(INDEX(منتجات!$G$3:$G$114,MATCH(B393,منتجات!$A$3:$A$115,0)),"")</f>
        <v/>
      </c>
      <c r="G393" s="51" t="str">
        <f t="shared" si="7"/>
        <v/>
      </c>
      <c r="H393" s="54"/>
    </row>
    <row r="394" spans="1:8" x14ac:dyDescent="0.35">
      <c r="A394" s="51"/>
      <c r="B394" s="51"/>
      <c r="C394" s="51" t="str">
        <f>IFERROR(VLOOKUP(B394,منتجات!$A$3:$C$350,2,0),"")</f>
        <v/>
      </c>
      <c r="D394" s="51" t="str">
        <f>IFERROR(VLOOKUP(B394,منتجات!$A$3:$C$350,3,0),"")</f>
        <v/>
      </c>
      <c r="E394" s="51"/>
      <c r="F394" s="51" t="str">
        <f>IFERROR(INDEX(منتجات!$G$3:$G$114,MATCH(B394,منتجات!$A$3:$A$115,0)),"")</f>
        <v/>
      </c>
      <c r="G394" s="51" t="str">
        <f t="shared" si="7"/>
        <v/>
      </c>
      <c r="H394" s="53"/>
    </row>
    <row r="395" spans="1:8" x14ac:dyDescent="0.35">
      <c r="A395" s="49"/>
      <c r="B395" s="49"/>
      <c r="C395" s="51" t="str">
        <f>IFERROR(VLOOKUP(B395,منتجات!$A$3:$C$350,2,0),"")</f>
        <v/>
      </c>
      <c r="D395" s="49" t="str">
        <f>IFERROR(VLOOKUP(B395,منتجات!$A$3:$C$350,3,0),"")</f>
        <v/>
      </c>
      <c r="E395" s="49"/>
      <c r="F395" s="49" t="str">
        <f>IFERROR(INDEX(منتجات!$G$3:$G$114,MATCH(B395,منتجات!$A$3:$A$115,0)),"")</f>
        <v/>
      </c>
      <c r="G395" s="51" t="str">
        <f t="shared" si="7"/>
        <v/>
      </c>
      <c r="H395" s="54"/>
    </row>
    <row r="396" spans="1:8" x14ac:dyDescent="0.35">
      <c r="A396" s="51"/>
      <c r="B396" s="51"/>
      <c r="C396" s="51" t="str">
        <f>IFERROR(VLOOKUP(B396,منتجات!$A$3:$C$350,2,0),"")</f>
        <v/>
      </c>
      <c r="D396" s="51" t="str">
        <f>IFERROR(VLOOKUP(B396,منتجات!$A$3:$C$350,3,0),"")</f>
        <v/>
      </c>
      <c r="E396" s="51"/>
      <c r="F396" s="51" t="str">
        <f>IFERROR(INDEX(منتجات!$G$3:$G$114,MATCH(B396,منتجات!$A$3:$A$115,0)),"")</f>
        <v/>
      </c>
      <c r="G396" s="51" t="str">
        <f t="shared" si="7"/>
        <v/>
      </c>
      <c r="H396" s="53"/>
    </row>
    <row r="397" spans="1:8" x14ac:dyDescent="0.35">
      <c r="A397" s="49"/>
      <c r="B397" s="49"/>
      <c r="C397" s="51" t="str">
        <f>IFERROR(VLOOKUP(B397,منتجات!$A$3:$C$350,2,0),"")</f>
        <v/>
      </c>
      <c r="D397" s="49" t="str">
        <f>IFERROR(VLOOKUP(B397,منتجات!$A$3:$C$350,3,0),"")</f>
        <v/>
      </c>
      <c r="E397" s="49"/>
      <c r="F397" s="49" t="str">
        <f>IFERROR(INDEX(منتجات!$G$3:$G$114,MATCH(B397,منتجات!$A$3:$A$115,0)),"")</f>
        <v/>
      </c>
      <c r="G397" s="51" t="str">
        <f t="shared" si="7"/>
        <v/>
      </c>
      <c r="H397" s="54"/>
    </row>
    <row r="398" spans="1:8" x14ac:dyDescent="0.35">
      <c r="A398" s="51"/>
      <c r="B398" s="51"/>
      <c r="C398" s="51" t="str">
        <f>IFERROR(VLOOKUP(B398,منتجات!$A$3:$C$350,2,0),"")</f>
        <v/>
      </c>
      <c r="D398" s="51" t="str">
        <f>IFERROR(VLOOKUP(B398,منتجات!$A$3:$C$350,3,0),"")</f>
        <v/>
      </c>
      <c r="E398" s="51"/>
      <c r="F398" s="51" t="str">
        <f>IFERROR(INDEX(منتجات!$G$3:$G$114,MATCH(B398,منتجات!$A$3:$A$115,0)),"")</f>
        <v/>
      </c>
      <c r="G398" s="51" t="str">
        <f t="shared" ref="G398:G461" si="8">IFERROR(E398*F398*D398,"")</f>
        <v/>
      </c>
      <c r="H398" s="53"/>
    </row>
    <row r="399" spans="1:8" x14ac:dyDescent="0.35">
      <c r="A399" s="49"/>
      <c r="B399" s="49"/>
      <c r="C399" s="51" t="str">
        <f>IFERROR(VLOOKUP(B399,منتجات!$A$3:$C$350,2,0),"")</f>
        <v/>
      </c>
      <c r="D399" s="49" t="str">
        <f>IFERROR(VLOOKUP(B399,منتجات!$A$3:$C$350,3,0),"")</f>
        <v/>
      </c>
      <c r="E399" s="49"/>
      <c r="F399" s="49" t="str">
        <f>IFERROR(INDEX(منتجات!$G$3:$G$114,MATCH(B399,منتجات!$A$3:$A$115,0)),"")</f>
        <v/>
      </c>
      <c r="G399" s="51" t="str">
        <f t="shared" si="8"/>
        <v/>
      </c>
      <c r="H399" s="54"/>
    </row>
    <row r="400" spans="1:8" x14ac:dyDescent="0.35">
      <c r="A400" s="51"/>
      <c r="B400" s="51"/>
      <c r="C400" s="51" t="str">
        <f>IFERROR(VLOOKUP(B400,منتجات!$A$3:$C$350,2,0),"")</f>
        <v/>
      </c>
      <c r="D400" s="51" t="str">
        <f>IFERROR(VLOOKUP(B400,منتجات!$A$3:$C$350,3,0),"")</f>
        <v/>
      </c>
      <c r="E400" s="51"/>
      <c r="F400" s="51" t="str">
        <f>IFERROR(INDEX(منتجات!$G$3:$G$114,MATCH(B400,منتجات!$A$3:$A$115,0)),"")</f>
        <v/>
      </c>
      <c r="G400" s="51" t="str">
        <f t="shared" si="8"/>
        <v/>
      </c>
      <c r="H400" s="53"/>
    </row>
    <row r="401" spans="1:8" x14ac:dyDescent="0.35">
      <c r="A401" s="49"/>
      <c r="B401" s="49"/>
      <c r="C401" s="51" t="str">
        <f>IFERROR(VLOOKUP(B401,منتجات!$A$3:$C$350,2,0),"")</f>
        <v/>
      </c>
      <c r="D401" s="49" t="str">
        <f>IFERROR(VLOOKUP(B401,منتجات!$A$3:$C$350,3,0),"")</f>
        <v/>
      </c>
      <c r="E401" s="49"/>
      <c r="F401" s="49" t="str">
        <f>IFERROR(INDEX(منتجات!$G$3:$G$114,MATCH(B401,منتجات!$A$3:$A$115,0)),"")</f>
        <v/>
      </c>
      <c r="G401" s="51" t="str">
        <f t="shared" si="8"/>
        <v/>
      </c>
      <c r="H401" s="54"/>
    </row>
    <row r="402" spans="1:8" x14ac:dyDescent="0.35">
      <c r="A402" s="51"/>
      <c r="B402" s="51"/>
      <c r="C402" s="51" t="str">
        <f>IFERROR(VLOOKUP(B402,منتجات!$A$3:$C$350,2,0),"")</f>
        <v/>
      </c>
      <c r="D402" s="51" t="str">
        <f>IFERROR(VLOOKUP(B402,منتجات!$A$3:$C$350,3,0),"")</f>
        <v/>
      </c>
      <c r="E402" s="51"/>
      <c r="F402" s="51" t="str">
        <f>IFERROR(INDEX(منتجات!$G$3:$G$114,MATCH(B402,منتجات!$A$3:$A$115,0)),"")</f>
        <v/>
      </c>
      <c r="G402" s="51" t="str">
        <f t="shared" si="8"/>
        <v/>
      </c>
      <c r="H402" s="53"/>
    </row>
    <row r="403" spans="1:8" x14ac:dyDescent="0.35">
      <c r="A403" s="49"/>
      <c r="B403" s="49"/>
      <c r="C403" s="51" t="str">
        <f>IFERROR(VLOOKUP(B403,منتجات!$A$3:$C$350,2,0),"")</f>
        <v/>
      </c>
      <c r="D403" s="49" t="str">
        <f>IFERROR(VLOOKUP(B403,منتجات!$A$3:$C$350,3,0),"")</f>
        <v/>
      </c>
      <c r="E403" s="49"/>
      <c r="F403" s="49" t="str">
        <f>IFERROR(INDEX(منتجات!$G$3:$G$114,MATCH(B403,منتجات!$A$3:$A$115,0)),"")</f>
        <v/>
      </c>
      <c r="G403" s="51" t="str">
        <f t="shared" si="8"/>
        <v/>
      </c>
      <c r="H403" s="54"/>
    </row>
    <row r="404" spans="1:8" x14ac:dyDescent="0.35">
      <c r="A404" s="51"/>
      <c r="B404" s="51"/>
      <c r="C404" s="51" t="str">
        <f>IFERROR(VLOOKUP(B404,منتجات!$A$3:$C$350,2,0),"")</f>
        <v/>
      </c>
      <c r="D404" s="51" t="str">
        <f>IFERROR(VLOOKUP(B404,منتجات!$A$3:$C$350,3,0),"")</f>
        <v/>
      </c>
      <c r="E404" s="51"/>
      <c r="F404" s="51" t="str">
        <f>IFERROR(INDEX(منتجات!$G$3:$G$114,MATCH(B404,منتجات!$A$3:$A$115,0)),"")</f>
        <v/>
      </c>
      <c r="G404" s="51" t="str">
        <f t="shared" si="8"/>
        <v/>
      </c>
      <c r="H404" s="53"/>
    </row>
    <row r="405" spans="1:8" x14ac:dyDescent="0.35">
      <c r="A405" s="49"/>
      <c r="B405" s="49"/>
      <c r="C405" s="51" t="str">
        <f>IFERROR(VLOOKUP(B405,منتجات!$A$3:$C$350,2,0),"")</f>
        <v/>
      </c>
      <c r="D405" s="49" t="str">
        <f>IFERROR(VLOOKUP(B405,منتجات!$A$3:$C$350,3,0),"")</f>
        <v/>
      </c>
      <c r="E405" s="49"/>
      <c r="F405" s="49" t="str">
        <f>IFERROR(INDEX(منتجات!$G$3:$G$114,MATCH(B405,منتجات!$A$3:$A$115,0)),"")</f>
        <v/>
      </c>
      <c r="G405" s="51" t="str">
        <f t="shared" si="8"/>
        <v/>
      </c>
      <c r="H405" s="54"/>
    </row>
    <row r="406" spans="1:8" x14ac:dyDescent="0.35">
      <c r="A406" s="51"/>
      <c r="B406" s="51"/>
      <c r="C406" s="51" t="str">
        <f>IFERROR(VLOOKUP(B406,منتجات!$A$3:$C$350,2,0),"")</f>
        <v/>
      </c>
      <c r="D406" s="51" t="str">
        <f>IFERROR(VLOOKUP(B406,منتجات!$A$3:$C$350,3,0),"")</f>
        <v/>
      </c>
      <c r="E406" s="51"/>
      <c r="F406" s="51" t="str">
        <f>IFERROR(INDEX(منتجات!$G$3:$G$114,MATCH(B406,منتجات!$A$3:$A$115,0)),"")</f>
        <v/>
      </c>
      <c r="G406" s="51" t="str">
        <f t="shared" si="8"/>
        <v/>
      </c>
      <c r="H406" s="53"/>
    </row>
    <row r="407" spans="1:8" x14ac:dyDescent="0.35">
      <c r="A407" s="49"/>
      <c r="B407" s="49"/>
      <c r="C407" s="51" t="str">
        <f>IFERROR(VLOOKUP(B407,منتجات!$A$3:$C$350,2,0),"")</f>
        <v/>
      </c>
      <c r="D407" s="49" t="str">
        <f>IFERROR(VLOOKUP(B407,منتجات!$A$3:$C$350,3,0),"")</f>
        <v/>
      </c>
      <c r="E407" s="49"/>
      <c r="F407" s="49" t="str">
        <f>IFERROR(INDEX(منتجات!$G$3:$G$114,MATCH(B407,منتجات!$A$3:$A$115,0)),"")</f>
        <v/>
      </c>
      <c r="G407" s="51" t="str">
        <f t="shared" si="8"/>
        <v/>
      </c>
      <c r="H407" s="54"/>
    </row>
    <row r="408" spans="1:8" x14ac:dyDescent="0.35">
      <c r="A408" s="51"/>
      <c r="B408" s="51"/>
      <c r="C408" s="51" t="str">
        <f>IFERROR(VLOOKUP(B408,منتجات!$A$3:$C$350,2,0),"")</f>
        <v/>
      </c>
      <c r="D408" s="51" t="str">
        <f>IFERROR(VLOOKUP(B408,منتجات!$A$3:$C$350,3,0),"")</f>
        <v/>
      </c>
      <c r="E408" s="51"/>
      <c r="F408" s="51" t="str">
        <f>IFERROR(INDEX(منتجات!$G$3:$G$114,MATCH(B408,منتجات!$A$3:$A$115,0)),"")</f>
        <v/>
      </c>
      <c r="G408" s="51" t="str">
        <f t="shared" si="8"/>
        <v/>
      </c>
      <c r="H408" s="53"/>
    </row>
    <row r="409" spans="1:8" x14ac:dyDescent="0.35">
      <c r="A409" s="49"/>
      <c r="B409" s="49"/>
      <c r="C409" s="51" t="str">
        <f>IFERROR(VLOOKUP(B409,منتجات!$A$3:$C$350,2,0),"")</f>
        <v/>
      </c>
      <c r="D409" s="49" t="str">
        <f>IFERROR(VLOOKUP(B409,منتجات!$A$3:$C$350,3,0),"")</f>
        <v/>
      </c>
      <c r="E409" s="49"/>
      <c r="F409" s="49" t="str">
        <f>IFERROR(INDEX(منتجات!$G$3:$G$114,MATCH(B409,منتجات!$A$3:$A$115,0)),"")</f>
        <v/>
      </c>
      <c r="G409" s="51" t="str">
        <f t="shared" si="8"/>
        <v/>
      </c>
      <c r="H409" s="54"/>
    </row>
    <row r="410" spans="1:8" x14ac:dyDescent="0.35">
      <c r="A410" s="51"/>
      <c r="B410" s="51"/>
      <c r="C410" s="51" t="str">
        <f>IFERROR(VLOOKUP(B410,منتجات!$A$3:$C$350,2,0),"")</f>
        <v/>
      </c>
      <c r="D410" s="51" t="str">
        <f>IFERROR(VLOOKUP(B410,منتجات!$A$3:$C$350,3,0),"")</f>
        <v/>
      </c>
      <c r="E410" s="51"/>
      <c r="F410" s="51" t="str">
        <f>IFERROR(INDEX(منتجات!$G$3:$G$114,MATCH(B410,منتجات!$A$3:$A$115,0)),"")</f>
        <v/>
      </c>
      <c r="G410" s="51" t="str">
        <f t="shared" si="8"/>
        <v/>
      </c>
      <c r="H410" s="53"/>
    </row>
    <row r="411" spans="1:8" x14ac:dyDescent="0.35">
      <c r="A411" s="49"/>
      <c r="B411" s="49"/>
      <c r="C411" s="51" t="str">
        <f>IFERROR(VLOOKUP(B411,منتجات!$A$3:$C$350,2,0),"")</f>
        <v/>
      </c>
      <c r="D411" s="49" t="str">
        <f>IFERROR(VLOOKUP(B411,منتجات!$A$3:$C$350,3,0),"")</f>
        <v/>
      </c>
      <c r="E411" s="49"/>
      <c r="F411" s="49" t="str">
        <f>IFERROR(INDEX(منتجات!$G$3:$G$114,MATCH(B411,منتجات!$A$3:$A$115,0)),"")</f>
        <v/>
      </c>
      <c r="G411" s="51" t="str">
        <f t="shared" si="8"/>
        <v/>
      </c>
      <c r="H411" s="54"/>
    </row>
    <row r="412" spans="1:8" x14ac:dyDescent="0.35">
      <c r="A412" s="51"/>
      <c r="B412" s="51"/>
      <c r="C412" s="51" t="str">
        <f>IFERROR(VLOOKUP(B412,منتجات!$A$3:$C$350,2,0),"")</f>
        <v/>
      </c>
      <c r="D412" s="51" t="str">
        <f>IFERROR(VLOOKUP(B412,منتجات!$A$3:$C$350,3,0),"")</f>
        <v/>
      </c>
      <c r="E412" s="51"/>
      <c r="F412" s="51" t="str">
        <f>IFERROR(INDEX(منتجات!$G$3:$G$114,MATCH(B412,منتجات!$A$3:$A$115,0)),"")</f>
        <v/>
      </c>
      <c r="G412" s="51" t="str">
        <f t="shared" si="8"/>
        <v/>
      </c>
      <c r="H412" s="53"/>
    </row>
    <row r="413" spans="1:8" x14ac:dyDescent="0.35">
      <c r="A413" s="49"/>
      <c r="B413" s="49"/>
      <c r="C413" s="51" t="str">
        <f>IFERROR(VLOOKUP(B413,منتجات!$A$3:$C$350,2,0),"")</f>
        <v/>
      </c>
      <c r="D413" s="49" t="str">
        <f>IFERROR(VLOOKUP(B413,منتجات!$A$3:$C$350,3,0),"")</f>
        <v/>
      </c>
      <c r="E413" s="49"/>
      <c r="F413" s="49" t="str">
        <f>IFERROR(INDEX(منتجات!$G$3:$G$114,MATCH(B413,منتجات!$A$3:$A$115,0)),"")</f>
        <v/>
      </c>
      <c r="G413" s="51" t="str">
        <f t="shared" si="8"/>
        <v/>
      </c>
      <c r="H413" s="54"/>
    </row>
    <row r="414" spans="1:8" x14ac:dyDescent="0.35">
      <c r="A414" s="51"/>
      <c r="B414" s="51"/>
      <c r="C414" s="51" t="str">
        <f>IFERROR(VLOOKUP(B414,منتجات!$A$3:$C$350,2,0),"")</f>
        <v/>
      </c>
      <c r="D414" s="51" t="str">
        <f>IFERROR(VLOOKUP(B414,منتجات!$A$3:$C$350,3,0),"")</f>
        <v/>
      </c>
      <c r="E414" s="51"/>
      <c r="F414" s="51" t="str">
        <f>IFERROR(INDEX(منتجات!$G$3:$G$114,MATCH(B414,منتجات!$A$3:$A$115,0)),"")</f>
        <v/>
      </c>
      <c r="G414" s="51" t="str">
        <f t="shared" si="8"/>
        <v/>
      </c>
      <c r="H414" s="53"/>
    </row>
    <row r="415" spans="1:8" x14ac:dyDescent="0.35">
      <c r="A415" s="49"/>
      <c r="B415" s="49"/>
      <c r="C415" s="51" t="str">
        <f>IFERROR(VLOOKUP(B415,منتجات!$A$3:$C$350,2,0),"")</f>
        <v/>
      </c>
      <c r="D415" s="49" t="str">
        <f>IFERROR(VLOOKUP(B415,منتجات!$A$3:$C$350,3,0),"")</f>
        <v/>
      </c>
      <c r="E415" s="49"/>
      <c r="F415" s="49" t="str">
        <f>IFERROR(INDEX(منتجات!$G$3:$G$114,MATCH(B415,منتجات!$A$3:$A$115,0)),"")</f>
        <v/>
      </c>
      <c r="G415" s="51" t="str">
        <f t="shared" si="8"/>
        <v/>
      </c>
      <c r="H415" s="54"/>
    </row>
    <row r="416" spans="1:8" x14ac:dyDescent="0.35">
      <c r="A416" s="51"/>
      <c r="B416" s="51"/>
      <c r="C416" s="51" t="str">
        <f>IFERROR(VLOOKUP(B416,منتجات!$A$3:$C$350,2,0),"")</f>
        <v/>
      </c>
      <c r="D416" s="51" t="str">
        <f>IFERROR(VLOOKUP(B416,منتجات!$A$3:$C$350,3,0),"")</f>
        <v/>
      </c>
      <c r="E416" s="51"/>
      <c r="F416" s="51" t="str">
        <f>IFERROR(INDEX(منتجات!$G$3:$G$114,MATCH(B416,منتجات!$A$3:$A$115,0)),"")</f>
        <v/>
      </c>
      <c r="G416" s="51" t="str">
        <f t="shared" si="8"/>
        <v/>
      </c>
      <c r="H416" s="53"/>
    </row>
    <row r="417" spans="1:8" x14ac:dyDescent="0.35">
      <c r="A417" s="49"/>
      <c r="B417" s="49"/>
      <c r="C417" s="51" t="str">
        <f>IFERROR(VLOOKUP(B417,منتجات!$A$3:$C$350,2,0),"")</f>
        <v/>
      </c>
      <c r="D417" s="49" t="str">
        <f>IFERROR(VLOOKUP(B417,منتجات!$A$3:$C$350,3,0),"")</f>
        <v/>
      </c>
      <c r="E417" s="49"/>
      <c r="F417" s="49" t="str">
        <f>IFERROR(INDEX(منتجات!$G$3:$G$114,MATCH(B417,منتجات!$A$3:$A$115,0)),"")</f>
        <v/>
      </c>
      <c r="G417" s="51" t="str">
        <f t="shared" si="8"/>
        <v/>
      </c>
      <c r="H417" s="54"/>
    </row>
    <row r="418" spans="1:8" x14ac:dyDescent="0.35">
      <c r="A418" s="51"/>
      <c r="B418" s="51"/>
      <c r="C418" s="51" t="str">
        <f>IFERROR(VLOOKUP(B418,منتجات!$A$3:$C$350,2,0),"")</f>
        <v/>
      </c>
      <c r="D418" s="51" t="str">
        <f>IFERROR(VLOOKUP(B418,منتجات!$A$3:$C$350,3,0),"")</f>
        <v/>
      </c>
      <c r="E418" s="51"/>
      <c r="F418" s="51" t="str">
        <f>IFERROR(INDEX(منتجات!$G$3:$G$114,MATCH(B418,منتجات!$A$3:$A$115,0)),"")</f>
        <v/>
      </c>
      <c r="G418" s="51" t="str">
        <f t="shared" si="8"/>
        <v/>
      </c>
      <c r="H418" s="53"/>
    </row>
    <row r="419" spans="1:8" x14ac:dyDescent="0.35">
      <c r="A419" s="49"/>
      <c r="B419" s="49"/>
      <c r="C419" s="51" t="str">
        <f>IFERROR(VLOOKUP(B419,منتجات!$A$3:$C$350,2,0),"")</f>
        <v/>
      </c>
      <c r="D419" s="49" t="str">
        <f>IFERROR(VLOOKUP(B419,منتجات!$A$3:$C$350,3,0),"")</f>
        <v/>
      </c>
      <c r="E419" s="49"/>
      <c r="F419" s="49" t="str">
        <f>IFERROR(INDEX(منتجات!$G$3:$G$114,MATCH(B419,منتجات!$A$3:$A$115,0)),"")</f>
        <v/>
      </c>
      <c r="G419" s="51" t="str">
        <f t="shared" si="8"/>
        <v/>
      </c>
      <c r="H419" s="54"/>
    </row>
    <row r="420" spans="1:8" x14ac:dyDescent="0.35">
      <c r="A420" s="51"/>
      <c r="B420" s="51"/>
      <c r="C420" s="51" t="str">
        <f>IFERROR(VLOOKUP(B420,منتجات!$A$3:$C$350,2,0),"")</f>
        <v/>
      </c>
      <c r="D420" s="51" t="str">
        <f>IFERROR(VLOOKUP(B420,منتجات!$A$3:$C$350,3,0),"")</f>
        <v/>
      </c>
      <c r="E420" s="51"/>
      <c r="F420" s="51" t="str">
        <f>IFERROR(INDEX(منتجات!$G$3:$G$114,MATCH(B420,منتجات!$A$3:$A$115,0)),"")</f>
        <v/>
      </c>
      <c r="G420" s="51" t="str">
        <f t="shared" si="8"/>
        <v/>
      </c>
      <c r="H420" s="53"/>
    </row>
    <row r="421" spans="1:8" x14ac:dyDescent="0.35">
      <c r="A421" s="49"/>
      <c r="B421" s="49"/>
      <c r="C421" s="51" t="str">
        <f>IFERROR(VLOOKUP(B421,منتجات!$A$3:$C$350,2,0),"")</f>
        <v/>
      </c>
      <c r="D421" s="49" t="str">
        <f>IFERROR(VLOOKUP(B421,منتجات!$A$3:$C$350,3,0),"")</f>
        <v/>
      </c>
      <c r="E421" s="49"/>
      <c r="F421" s="49" t="str">
        <f>IFERROR(INDEX(منتجات!$G$3:$G$114,MATCH(B421,منتجات!$A$3:$A$115,0)),"")</f>
        <v/>
      </c>
      <c r="G421" s="51" t="str">
        <f t="shared" si="8"/>
        <v/>
      </c>
      <c r="H421" s="54"/>
    </row>
    <row r="422" spans="1:8" x14ac:dyDescent="0.35">
      <c r="A422" s="51"/>
      <c r="B422" s="51"/>
      <c r="C422" s="51" t="str">
        <f>IFERROR(VLOOKUP(B422,منتجات!$A$3:$C$350,2,0),"")</f>
        <v/>
      </c>
      <c r="D422" s="51" t="str">
        <f>IFERROR(VLOOKUP(B422,منتجات!$A$3:$C$350,3,0),"")</f>
        <v/>
      </c>
      <c r="E422" s="51"/>
      <c r="F422" s="51" t="str">
        <f>IFERROR(INDEX(منتجات!$G$3:$G$114,MATCH(B422,منتجات!$A$3:$A$115,0)),"")</f>
        <v/>
      </c>
      <c r="G422" s="51" t="str">
        <f t="shared" si="8"/>
        <v/>
      </c>
      <c r="H422" s="53"/>
    </row>
    <row r="423" spans="1:8" x14ac:dyDescent="0.35">
      <c r="A423" s="49"/>
      <c r="B423" s="49"/>
      <c r="C423" s="51" t="str">
        <f>IFERROR(VLOOKUP(B423,منتجات!$A$3:$C$350,2,0),"")</f>
        <v/>
      </c>
      <c r="D423" s="49" t="str">
        <f>IFERROR(VLOOKUP(B423,منتجات!$A$3:$C$350,3,0),"")</f>
        <v/>
      </c>
      <c r="E423" s="49"/>
      <c r="F423" s="49" t="str">
        <f>IFERROR(INDEX(منتجات!$G$3:$G$114,MATCH(B423,منتجات!$A$3:$A$115,0)),"")</f>
        <v/>
      </c>
      <c r="G423" s="51" t="str">
        <f t="shared" si="8"/>
        <v/>
      </c>
      <c r="H423" s="54"/>
    </row>
    <row r="424" spans="1:8" x14ac:dyDescent="0.35">
      <c r="A424" s="51"/>
      <c r="B424" s="51"/>
      <c r="C424" s="51" t="str">
        <f>IFERROR(VLOOKUP(B424,منتجات!$A$3:$C$350,2,0),"")</f>
        <v/>
      </c>
      <c r="D424" s="51" t="str">
        <f>IFERROR(VLOOKUP(B424,منتجات!$A$3:$C$350,3,0),"")</f>
        <v/>
      </c>
      <c r="E424" s="51"/>
      <c r="F424" s="51" t="str">
        <f>IFERROR(INDEX(منتجات!$G$3:$G$114,MATCH(B424,منتجات!$A$3:$A$115,0)),"")</f>
        <v/>
      </c>
      <c r="G424" s="51" t="str">
        <f t="shared" si="8"/>
        <v/>
      </c>
      <c r="H424" s="53"/>
    </row>
    <row r="425" spans="1:8" x14ac:dyDescent="0.35">
      <c r="A425" s="49"/>
      <c r="B425" s="49"/>
      <c r="C425" s="51" t="str">
        <f>IFERROR(VLOOKUP(B425,منتجات!$A$3:$C$350,2,0),"")</f>
        <v/>
      </c>
      <c r="D425" s="49" t="str">
        <f>IFERROR(VLOOKUP(B425,منتجات!$A$3:$C$350,3,0),"")</f>
        <v/>
      </c>
      <c r="E425" s="49"/>
      <c r="F425" s="49" t="str">
        <f>IFERROR(INDEX(منتجات!$G$3:$G$114,MATCH(B425,منتجات!$A$3:$A$115,0)),"")</f>
        <v/>
      </c>
      <c r="G425" s="51" t="str">
        <f t="shared" si="8"/>
        <v/>
      </c>
      <c r="H425" s="54"/>
    </row>
    <row r="426" spans="1:8" x14ac:dyDescent="0.35">
      <c r="A426" s="51"/>
      <c r="B426" s="51"/>
      <c r="C426" s="51" t="str">
        <f>IFERROR(VLOOKUP(B426,منتجات!$A$3:$C$350,2,0),"")</f>
        <v/>
      </c>
      <c r="D426" s="51" t="str">
        <f>IFERROR(VLOOKUP(B426,منتجات!$A$3:$C$350,3,0),"")</f>
        <v/>
      </c>
      <c r="E426" s="51"/>
      <c r="F426" s="51" t="str">
        <f>IFERROR(INDEX(منتجات!$G$3:$G$114,MATCH(B426,منتجات!$A$3:$A$115,0)),"")</f>
        <v/>
      </c>
      <c r="G426" s="51" t="str">
        <f t="shared" si="8"/>
        <v/>
      </c>
      <c r="H426" s="53"/>
    </row>
    <row r="427" spans="1:8" x14ac:dyDescent="0.35">
      <c r="A427" s="49"/>
      <c r="B427" s="49"/>
      <c r="C427" s="51" t="str">
        <f>IFERROR(VLOOKUP(B427,منتجات!$A$3:$C$350,2,0),"")</f>
        <v/>
      </c>
      <c r="D427" s="49" t="str">
        <f>IFERROR(VLOOKUP(B427,منتجات!$A$3:$C$350,3,0),"")</f>
        <v/>
      </c>
      <c r="E427" s="49"/>
      <c r="F427" s="49" t="str">
        <f>IFERROR(INDEX(منتجات!$G$3:$G$114,MATCH(B427,منتجات!$A$3:$A$115,0)),"")</f>
        <v/>
      </c>
      <c r="G427" s="51" t="str">
        <f t="shared" si="8"/>
        <v/>
      </c>
      <c r="H427" s="54"/>
    </row>
    <row r="428" spans="1:8" x14ac:dyDescent="0.35">
      <c r="A428" s="51"/>
      <c r="B428" s="51"/>
      <c r="C428" s="51" t="str">
        <f>IFERROR(VLOOKUP(B428,منتجات!$A$3:$C$350,2,0),"")</f>
        <v/>
      </c>
      <c r="D428" s="51" t="str">
        <f>IFERROR(VLOOKUP(B428,منتجات!$A$3:$C$350,3,0),"")</f>
        <v/>
      </c>
      <c r="E428" s="51"/>
      <c r="F428" s="51" t="str">
        <f>IFERROR(INDEX(منتجات!$G$3:$G$114,MATCH(B428,منتجات!$A$3:$A$115,0)),"")</f>
        <v/>
      </c>
      <c r="G428" s="51" t="str">
        <f t="shared" si="8"/>
        <v/>
      </c>
      <c r="H428" s="53"/>
    </row>
    <row r="429" spans="1:8" x14ac:dyDescent="0.35">
      <c r="A429" s="49"/>
      <c r="B429" s="49"/>
      <c r="C429" s="51" t="str">
        <f>IFERROR(VLOOKUP(B429,منتجات!$A$3:$C$350,2,0),"")</f>
        <v/>
      </c>
      <c r="D429" s="49" t="str">
        <f>IFERROR(VLOOKUP(B429,منتجات!$A$3:$C$350,3,0),"")</f>
        <v/>
      </c>
      <c r="E429" s="49"/>
      <c r="F429" s="49" t="str">
        <f>IFERROR(INDEX(منتجات!$G$3:$G$114,MATCH(B429,منتجات!$A$3:$A$115,0)),"")</f>
        <v/>
      </c>
      <c r="G429" s="51" t="str">
        <f t="shared" si="8"/>
        <v/>
      </c>
      <c r="H429" s="54"/>
    </row>
    <row r="430" spans="1:8" x14ac:dyDescent="0.35">
      <c r="A430" s="51"/>
      <c r="B430" s="51"/>
      <c r="C430" s="51" t="str">
        <f>IFERROR(VLOOKUP(B430,منتجات!$A$3:$C$350,2,0),"")</f>
        <v/>
      </c>
      <c r="D430" s="51" t="str">
        <f>IFERROR(VLOOKUP(B430,منتجات!$A$3:$C$350,3,0),"")</f>
        <v/>
      </c>
      <c r="E430" s="51"/>
      <c r="F430" s="51" t="str">
        <f>IFERROR(INDEX(منتجات!$G$3:$G$114,MATCH(B430,منتجات!$A$3:$A$115,0)),"")</f>
        <v/>
      </c>
      <c r="G430" s="51" t="str">
        <f t="shared" si="8"/>
        <v/>
      </c>
      <c r="H430" s="53"/>
    </row>
    <row r="431" spans="1:8" x14ac:dyDescent="0.35">
      <c r="A431" s="49"/>
      <c r="B431" s="49"/>
      <c r="C431" s="51" t="str">
        <f>IFERROR(VLOOKUP(B431,منتجات!$A$3:$C$350,2,0),"")</f>
        <v/>
      </c>
      <c r="D431" s="49" t="str">
        <f>IFERROR(VLOOKUP(B431,منتجات!$A$3:$C$350,3,0),"")</f>
        <v/>
      </c>
      <c r="E431" s="49"/>
      <c r="F431" s="49" t="str">
        <f>IFERROR(INDEX(منتجات!$G$3:$G$114,MATCH(B431,منتجات!$A$3:$A$115,0)),"")</f>
        <v/>
      </c>
      <c r="G431" s="51" t="str">
        <f t="shared" si="8"/>
        <v/>
      </c>
      <c r="H431" s="54"/>
    </row>
    <row r="432" spans="1:8" x14ac:dyDescent="0.35">
      <c r="A432" s="51"/>
      <c r="B432" s="51"/>
      <c r="C432" s="51" t="str">
        <f>IFERROR(VLOOKUP(B432,منتجات!$A$3:$C$350,2,0),"")</f>
        <v/>
      </c>
      <c r="D432" s="51" t="str">
        <f>IFERROR(VLOOKUP(B432,منتجات!$A$3:$C$350,3,0),"")</f>
        <v/>
      </c>
      <c r="E432" s="51"/>
      <c r="F432" s="51" t="str">
        <f>IFERROR(INDEX(منتجات!$G$3:$G$114,MATCH(B432,منتجات!$A$3:$A$115,0)),"")</f>
        <v/>
      </c>
      <c r="G432" s="51" t="str">
        <f t="shared" si="8"/>
        <v/>
      </c>
      <c r="H432" s="53"/>
    </row>
    <row r="433" spans="1:8" x14ac:dyDescent="0.35">
      <c r="A433" s="49"/>
      <c r="B433" s="49"/>
      <c r="C433" s="51" t="str">
        <f>IFERROR(VLOOKUP(B433,منتجات!$A$3:$C$350,2,0),"")</f>
        <v/>
      </c>
      <c r="D433" s="49" t="str">
        <f>IFERROR(VLOOKUP(B433,منتجات!$A$3:$C$350,3,0),"")</f>
        <v/>
      </c>
      <c r="E433" s="49"/>
      <c r="F433" s="49" t="str">
        <f>IFERROR(INDEX(منتجات!$G$3:$G$114,MATCH(B433,منتجات!$A$3:$A$115,0)),"")</f>
        <v/>
      </c>
      <c r="G433" s="51" t="str">
        <f t="shared" si="8"/>
        <v/>
      </c>
      <c r="H433" s="54"/>
    </row>
    <row r="434" spans="1:8" x14ac:dyDescent="0.35">
      <c r="A434" s="51"/>
      <c r="B434" s="51"/>
      <c r="C434" s="51" t="str">
        <f>IFERROR(VLOOKUP(B434,منتجات!$A$3:$C$350,2,0),"")</f>
        <v/>
      </c>
      <c r="D434" s="51" t="str">
        <f>IFERROR(VLOOKUP(B434,منتجات!$A$3:$C$350,3,0),"")</f>
        <v/>
      </c>
      <c r="E434" s="51"/>
      <c r="F434" s="51" t="str">
        <f>IFERROR(INDEX(منتجات!$G$3:$G$114,MATCH(B434,منتجات!$A$3:$A$115,0)),"")</f>
        <v/>
      </c>
      <c r="G434" s="51" t="str">
        <f t="shared" si="8"/>
        <v/>
      </c>
      <c r="H434" s="53"/>
    </row>
    <row r="435" spans="1:8" x14ac:dyDescent="0.35">
      <c r="A435" s="49"/>
      <c r="B435" s="49"/>
      <c r="C435" s="51" t="str">
        <f>IFERROR(VLOOKUP(B435,منتجات!$A$3:$C$350,2,0),"")</f>
        <v/>
      </c>
      <c r="D435" s="49" t="str">
        <f>IFERROR(VLOOKUP(B435,منتجات!$A$3:$C$350,3,0),"")</f>
        <v/>
      </c>
      <c r="E435" s="49"/>
      <c r="F435" s="49" t="str">
        <f>IFERROR(INDEX(منتجات!$G$3:$G$114,MATCH(B435,منتجات!$A$3:$A$115,0)),"")</f>
        <v/>
      </c>
      <c r="G435" s="51" t="str">
        <f t="shared" si="8"/>
        <v/>
      </c>
      <c r="H435" s="54"/>
    </row>
    <row r="436" spans="1:8" x14ac:dyDescent="0.35">
      <c r="A436" s="51"/>
      <c r="B436" s="51"/>
      <c r="C436" s="51" t="str">
        <f>IFERROR(VLOOKUP(B436,منتجات!$A$3:$C$350,2,0),"")</f>
        <v/>
      </c>
      <c r="D436" s="51" t="str">
        <f>IFERROR(VLOOKUP(B436,منتجات!$A$3:$C$350,3,0),"")</f>
        <v/>
      </c>
      <c r="E436" s="51"/>
      <c r="F436" s="51" t="str">
        <f>IFERROR(INDEX(منتجات!$G$3:$G$114,MATCH(B436,منتجات!$A$3:$A$115,0)),"")</f>
        <v/>
      </c>
      <c r="G436" s="51" t="str">
        <f t="shared" si="8"/>
        <v/>
      </c>
      <c r="H436" s="53"/>
    </row>
    <row r="437" spans="1:8" x14ac:dyDescent="0.35">
      <c r="A437" s="49"/>
      <c r="B437" s="49"/>
      <c r="C437" s="51" t="str">
        <f>IFERROR(VLOOKUP(B437,منتجات!$A$3:$C$350,2,0),"")</f>
        <v/>
      </c>
      <c r="D437" s="49" t="str">
        <f>IFERROR(VLOOKUP(B437,منتجات!$A$3:$C$350,3,0),"")</f>
        <v/>
      </c>
      <c r="E437" s="49"/>
      <c r="F437" s="49" t="str">
        <f>IFERROR(INDEX(منتجات!$G$3:$G$114,MATCH(B437,منتجات!$A$3:$A$115,0)),"")</f>
        <v/>
      </c>
      <c r="G437" s="51" t="str">
        <f t="shared" si="8"/>
        <v/>
      </c>
      <c r="H437" s="54"/>
    </row>
    <row r="438" spans="1:8" x14ac:dyDescent="0.35">
      <c r="A438" s="51"/>
      <c r="B438" s="51"/>
      <c r="C438" s="51" t="str">
        <f>IFERROR(VLOOKUP(B438,منتجات!$A$3:$C$350,2,0),"")</f>
        <v/>
      </c>
      <c r="D438" s="51" t="str">
        <f>IFERROR(VLOOKUP(B438,منتجات!$A$3:$C$350,3,0),"")</f>
        <v/>
      </c>
      <c r="E438" s="51"/>
      <c r="F438" s="51" t="str">
        <f>IFERROR(INDEX(منتجات!$G$3:$G$114,MATCH(B438,منتجات!$A$3:$A$115,0)),"")</f>
        <v/>
      </c>
      <c r="G438" s="51" t="str">
        <f t="shared" si="8"/>
        <v/>
      </c>
      <c r="H438" s="53"/>
    </row>
    <row r="439" spans="1:8" x14ac:dyDescent="0.35">
      <c r="A439" s="49"/>
      <c r="B439" s="49"/>
      <c r="C439" s="51" t="str">
        <f>IFERROR(VLOOKUP(B439,منتجات!$A$3:$C$350,2,0),"")</f>
        <v/>
      </c>
      <c r="D439" s="49" t="str">
        <f>IFERROR(VLOOKUP(B439,منتجات!$A$3:$C$350,3,0),"")</f>
        <v/>
      </c>
      <c r="E439" s="49"/>
      <c r="F439" s="49" t="str">
        <f>IFERROR(INDEX(منتجات!$G$3:$G$114,MATCH(B439,منتجات!$A$3:$A$115,0)),"")</f>
        <v/>
      </c>
      <c r="G439" s="51" t="str">
        <f t="shared" si="8"/>
        <v/>
      </c>
      <c r="H439" s="54"/>
    </row>
    <row r="440" spans="1:8" x14ac:dyDescent="0.35">
      <c r="A440" s="51"/>
      <c r="B440" s="51"/>
      <c r="C440" s="51" t="str">
        <f>IFERROR(VLOOKUP(B440,منتجات!$A$3:$C$350,2,0),"")</f>
        <v/>
      </c>
      <c r="D440" s="51" t="str">
        <f>IFERROR(VLOOKUP(B440,منتجات!$A$3:$C$350,3,0),"")</f>
        <v/>
      </c>
      <c r="E440" s="51"/>
      <c r="F440" s="51" t="str">
        <f>IFERROR(INDEX(منتجات!$G$3:$G$114,MATCH(B440,منتجات!$A$3:$A$115,0)),"")</f>
        <v/>
      </c>
      <c r="G440" s="51" t="str">
        <f t="shared" si="8"/>
        <v/>
      </c>
      <c r="H440" s="53"/>
    </row>
    <row r="441" spans="1:8" x14ac:dyDescent="0.35">
      <c r="A441" s="49"/>
      <c r="B441" s="49"/>
      <c r="C441" s="51" t="str">
        <f>IFERROR(VLOOKUP(B441,منتجات!$A$3:$C$350,2,0),"")</f>
        <v/>
      </c>
      <c r="D441" s="49" t="str">
        <f>IFERROR(VLOOKUP(B441,منتجات!$A$3:$C$350,3,0),"")</f>
        <v/>
      </c>
      <c r="E441" s="49"/>
      <c r="F441" s="49" t="str">
        <f>IFERROR(INDEX(منتجات!$G$3:$G$114,MATCH(B441,منتجات!$A$3:$A$115,0)),"")</f>
        <v/>
      </c>
      <c r="G441" s="51" t="str">
        <f t="shared" si="8"/>
        <v/>
      </c>
      <c r="H441" s="54"/>
    </row>
    <row r="442" spans="1:8" x14ac:dyDescent="0.35">
      <c r="A442" s="51"/>
      <c r="B442" s="51"/>
      <c r="C442" s="51" t="str">
        <f>IFERROR(VLOOKUP(B442,منتجات!$A$3:$C$350,2,0),"")</f>
        <v/>
      </c>
      <c r="D442" s="51" t="str">
        <f>IFERROR(VLOOKUP(B442,منتجات!$A$3:$C$350,3,0),"")</f>
        <v/>
      </c>
      <c r="E442" s="51"/>
      <c r="F442" s="51" t="str">
        <f>IFERROR(INDEX(منتجات!$G$3:$G$114,MATCH(B442,منتجات!$A$3:$A$115,0)),"")</f>
        <v/>
      </c>
      <c r="G442" s="51" t="str">
        <f t="shared" si="8"/>
        <v/>
      </c>
      <c r="H442" s="53"/>
    </row>
    <row r="443" spans="1:8" x14ac:dyDescent="0.35">
      <c r="A443" s="49"/>
      <c r="B443" s="49"/>
      <c r="C443" s="51" t="str">
        <f>IFERROR(VLOOKUP(B443,منتجات!$A$3:$C$350,2,0),"")</f>
        <v/>
      </c>
      <c r="D443" s="49" t="str">
        <f>IFERROR(VLOOKUP(B443,منتجات!$A$3:$C$350,3,0),"")</f>
        <v/>
      </c>
      <c r="E443" s="49"/>
      <c r="F443" s="49" t="str">
        <f>IFERROR(INDEX(منتجات!$G$3:$G$114,MATCH(B443,منتجات!$A$3:$A$115,0)),"")</f>
        <v/>
      </c>
      <c r="G443" s="51" t="str">
        <f t="shared" si="8"/>
        <v/>
      </c>
      <c r="H443" s="54"/>
    </row>
    <row r="444" spans="1:8" x14ac:dyDescent="0.35">
      <c r="A444" s="51"/>
      <c r="B444" s="51"/>
      <c r="C444" s="51" t="str">
        <f>IFERROR(VLOOKUP(B444,منتجات!$A$3:$C$350,2,0),"")</f>
        <v/>
      </c>
      <c r="D444" s="51" t="str">
        <f>IFERROR(VLOOKUP(B444,منتجات!$A$3:$C$350,3,0),"")</f>
        <v/>
      </c>
      <c r="E444" s="51"/>
      <c r="F444" s="51" t="str">
        <f>IFERROR(INDEX(منتجات!$G$3:$G$114,MATCH(B444,منتجات!$A$3:$A$115,0)),"")</f>
        <v/>
      </c>
      <c r="G444" s="51" t="str">
        <f t="shared" si="8"/>
        <v/>
      </c>
      <c r="H444" s="53"/>
    </row>
    <row r="445" spans="1:8" x14ac:dyDescent="0.35">
      <c r="A445" s="49"/>
      <c r="B445" s="49"/>
      <c r="C445" s="51" t="str">
        <f>IFERROR(VLOOKUP(B445,منتجات!$A$3:$C$350,2,0),"")</f>
        <v/>
      </c>
      <c r="D445" s="49" t="str">
        <f>IFERROR(VLOOKUP(B445,منتجات!$A$3:$C$350,3,0),"")</f>
        <v/>
      </c>
      <c r="E445" s="49"/>
      <c r="F445" s="49" t="str">
        <f>IFERROR(INDEX(منتجات!$G$3:$G$114,MATCH(B445,منتجات!$A$3:$A$115,0)),"")</f>
        <v/>
      </c>
      <c r="G445" s="51" t="str">
        <f t="shared" si="8"/>
        <v/>
      </c>
      <c r="H445" s="54"/>
    </row>
    <row r="446" spans="1:8" x14ac:dyDescent="0.35">
      <c r="A446" s="51"/>
      <c r="B446" s="51"/>
      <c r="C446" s="51" t="str">
        <f>IFERROR(VLOOKUP(B446,منتجات!$A$3:$C$350,2,0),"")</f>
        <v/>
      </c>
      <c r="D446" s="51" t="str">
        <f>IFERROR(VLOOKUP(B446,منتجات!$A$3:$C$350,3,0),"")</f>
        <v/>
      </c>
      <c r="E446" s="51"/>
      <c r="F446" s="51" t="str">
        <f>IFERROR(INDEX(منتجات!$G$3:$G$114,MATCH(B446,منتجات!$A$3:$A$115,0)),"")</f>
        <v/>
      </c>
      <c r="G446" s="51" t="str">
        <f t="shared" si="8"/>
        <v/>
      </c>
      <c r="H446" s="53"/>
    </row>
    <row r="447" spans="1:8" x14ac:dyDescent="0.35">
      <c r="A447" s="49"/>
      <c r="B447" s="49"/>
      <c r="C447" s="51" t="str">
        <f>IFERROR(VLOOKUP(B447,منتجات!$A$3:$C$350,2,0),"")</f>
        <v/>
      </c>
      <c r="D447" s="49" t="str">
        <f>IFERROR(VLOOKUP(B447,منتجات!$A$3:$C$350,3,0),"")</f>
        <v/>
      </c>
      <c r="E447" s="49"/>
      <c r="F447" s="49" t="str">
        <f>IFERROR(INDEX(منتجات!$G$3:$G$114,MATCH(B447,منتجات!$A$3:$A$115,0)),"")</f>
        <v/>
      </c>
      <c r="G447" s="51" t="str">
        <f t="shared" si="8"/>
        <v/>
      </c>
      <c r="H447" s="54"/>
    </row>
    <row r="448" spans="1:8" x14ac:dyDescent="0.35">
      <c r="A448" s="51"/>
      <c r="B448" s="51"/>
      <c r="C448" s="51" t="str">
        <f>IFERROR(VLOOKUP(B448,منتجات!$A$3:$C$350,2,0),"")</f>
        <v/>
      </c>
      <c r="D448" s="51" t="str">
        <f>IFERROR(VLOOKUP(B448,منتجات!$A$3:$C$350,3,0),"")</f>
        <v/>
      </c>
      <c r="E448" s="51"/>
      <c r="F448" s="51" t="str">
        <f>IFERROR(INDEX(منتجات!$G$3:$G$114,MATCH(B448,منتجات!$A$3:$A$115,0)),"")</f>
        <v/>
      </c>
      <c r="G448" s="51" t="str">
        <f t="shared" si="8"/>
        <v/>
      </c>
      <c r="H448" s="53"/>
    </row>
    <row r="449" spans="1:8" x14ac:dyDescent="0.35">
      <c r="A449" s="49"/>
      <c r="B449" s="49"/>
      <c r="C449" s="51" t="str">
        <f>IFERROR(VLOOKUP(B449,منتجات!$A$3:$C$350,2,0),"")</f>
        <v/>
      </c>
      <c r="D449" s="49" t="str">
        <f>IFERROR(VLOOKUP(B449,منتجات!$A$3:$C$350,3,0),"")</f>
        <v/>
      </c>
      <c r="E449" s="49"/>
      <c r="F449" s="49" t="str">
        <f>IFERROR(INDEX(منتجات!$G$3:$G$114,MATCH(B449,منتجات!$A$3:$A$115,0)),"")</f>
        <v/>
      </c>
      <c r="G449" s="51" t="str">
        <f t="shared" si="8"/>
        <v/>
      </c>
      <c r="H449" s="54"/>
    </row>
    <row r="450" spans="1:8" x14ac:dyDescent="0.35">
      <c r="A450" s="51"/>
      <c r="B450" s="51"/>
      <c r="C450" s="51" t="str">
        <f>IFERROR(VLOOKUP(B450,منتجات!$A$3:$C$350,2,0),"")</f>
        <v/>
      </c>
      <c r="D450" s="51" t="str">
        <f>IFERROR(VLOOKUP(B450,منتجات!$A$3:$C$350,3,0),"")</f>
        <v/>
      </c>
      <c r="E450" s="51"/>
      <c r="F450" s="51" t="str">
        <f>IFERROR(INDEX(منتجات!$G$3:$G$114,MATCH(B450,منتجات!$A$3:$A$115,0)),"")</f>
        <v/>
      </c>
      <c r="G450" s="51" t="str">
        <f t="shared" si="8"/>
        <v/>
      </c>
      <c r="H450" s="53"/>
    </row>
    <row r="451" spans="1:8" x14ac:dyDescent="0.35">
      <c r="A451" s="49"/>
      <c r="B451" s="49"/>
      <c r="C451" s="51" t="str">
        <f>IFERROR(VLOOKUP(B451,منتجات!$A$3:$C$350,2,0),"")</f>
        <v/>
      </c>
      <c r="D451" s="49" t="str">
        <f>IFERROR(VLOOKUP(B451,منتجات!$A$3:$C$350,3,0),"")</f>
        <v/>
      </c>
      <c r="E451" s="49"/>
      <c r="F451" s="49" t="str">
        <f>IFERROR(INDEX(منتجات!$G$3:$G$114,MATCH(B451,منتجات!$A$3:$A$115,0)),"")</f>
        <v/>
      </c>
      <c r="G451" s="51" t="str">
        <f t="shared" si="8"/>
        <v/>
      </c>
      <c r="H451" s="54"/>
    </row>
    <row r="452" spans="1:8" x14ac:dyDescent="0.35">
      <c r="A452" s="51"/>
      <c r="B452" s="51"/>
      <c r="C452" s="51" t="str">
        <f>IFERROR(VLOOKUP(B452,منتجات!$A$3:$C$350,2,0),"")</f>
        <v/>
      </c>
      <c r="D452" s="51" t="str">
        <f>IFERROR(VLOOKUP(B452,منتجات!$A$3:$C$350,3,0),"")</f>
        <v/>
      </c>
      <c r="E452" s="51"/>
      <c r="F452" s="51" t="str">
        <f>IFERROR(INDEX(منتجات!$G$3:$G$114,MATCH(B452,منتجات!$A$3:$A$115,0)),"")</f>
        <v/>
      </c>
      <c r="G452" s="51" t="str">
        <f t="shared" si="8"/>
        <v/>
      </c>
      <c r="H452" s="53"/>
    </row>
    <row r="453" spans="1:8" x14ac:dyDescent="0.35">
      <c r="A453" s="49"/>
      <c r="B453" s="49"/>
      <c r="C453" s="51" t="str">
        <f>IFERROR(VLOOKUP(B453,منتجات!$A$3:$C$350,2,0),"")</f>
        <v/>
      </c>
      <c r="D453" s="49" t="str">
        <f>IFERROR(VLOOKUP(B453,منتجات!$A$3:$C$350,3,0),"")</f>
        <v/>
      </c>
      <c r="E453" s="49"/>
      <c r="F453" s="49" t="str">
        <f>IFERROR(INDEX(منتجات!$G$3:$G$114,MATCH(B453,منتجات!$A$3:$A$115,0)),"")</f>
        <v/>
      </c>
      <c r="G453" s="51" t="str">
        <f t="shared" si="8"/>
        <v/>
      </c>
      <c r="H453" s="54"/>
    </row>
    <row r="454" spans="1:8" x14ac:dyDescent="0.35">
      <c r="A454" s="51"/>
      <c r="B454" s="51"/>
      <c r="C454" s="51" t="str">
        <f>IFERROR(VLOOKUP(B454,منتجات!$A$3:$C$350,2,0),"")</f>
        <v/>
      </c>
      <c r="D454" s="51" t="str">
        <f>IFERROR(VLOOKUP(B454,منتجات!$A$3:$C$350,3,0),"")</f>
        <v/>
      </c>
      <c r="E454" s="51"/>
      <c r="F454" s="51" t="str">
        <f>IFERROR(INDEX(منتجات!$G$3:$G$114,MATCH(B454,منتجات!$A$3:$A$115,0)),"")</f>
        <v/>
      </c>
      <c r="G454" s="51" t="str">
        <f t="shared" si="8"/>
        <v/>
      </c>
      <c r="H454" s="53"/>
    </row>
    <row r="455" spans="1:8" x14ac:dyDescent="0.35">
      <c r="A455" s="49"/>
      <c r="B455" s="49"/>
      <c r="C455" s="51" t="str">
        <f>IFERROR(VLOOKUP(B455,منتجات!$A$3:$C$350,2,0),"")</f>
        <v/>
      </c>
      <c r="D455" s="49" t="str">
        <f>IFERROR(VLOOKUP(B455,منتجات!$A$3:$C$350,3,0),"")</f>
        <v/>
      </c>
      <c r="E455" s="49"/>
      <c r="F455" s="49" t="str">
        <f>IFERROR(INDEX(منتجات!$G$3:$G$114,MATCH(B455,منتجات!$A$3:$A$115,0)),"")</f>
        <v/>
      </c>
      <c r="G455" s="51" t="str">
        <f t="shared" si="8"/>
        <v/>
      </c>
      <c r="H455" s="54"/>
    </row>
    <row r="456" spans="1:8" x14ac:dyDescent="0.35">
      <c r="A456" s="51"/>
      <c r="B456" s="51"/>
      <c r="C456" s="51" t="str">
        <f>IFERROR(VLOOKUP(B456,منتجات!$A$3:$C$350,2,0),"")</f>
        <v/>
      </c>
      <c r="D456" s="51" t="str">
        <f>IFERROR(VLOOKUP(B456,منتجات!$A$3:$C$350,3,0),"")</f>
        <v/>
      </c>
      <c r="E456" s="51"/>
      <c r="F456" s="51" t="str">
        <f>IFERROR(INDEX(منتجات!$G$3:$G$114,MATCH(B456,منتجات!$A$3:$A$115,0)),"")</f>
        <v/>
      </c>
      <c r="G456" s="51" t="str">
        <f t="shared" si="8"/>
        <v/>
      </c>
      <c r="H456" s="53"/>
    </row>
    <row r="457" spans="1:8" x14ac:dyDescent="0.35">
      <c r="A457" s="49"/>
      <c r="B457" s="49"/>
      <c r="C457" s="51" t="str">
        <f>IFERROR(VLOOKUP(B457,منتجات!$A$3:$C$350,2,0),"")</f>
        <v/>
      </c>
      <c r="D457" s="49" t="str">
        <f>IFERROR(VLOOKUP(B457,منتجات!$A$3:$C$350,3,0),"")</f>
        <v/>
      </c>
      <c r="E457" s="49"/>
      <c r="F457" s="49" t="str">
        <f>IFERROR(INDEX(منتجات!$G$3:$G$114,MATCH(B457,منتجات!$A$3:$A$115,0)),"")</f>
        <v/>
      </c>
      <c r="G457" s="51" t="str">
        <f t="shared" si="8"/>
        <v/>
      </c>
      <c r="H457" s="54"/>
    </row>
    <row r="458" spans="1:8" x14ac:dyDescent="0.35">
      <c r="A458" s="51"/>
      <c r="B458" s="51"/>
      <c r="C458" s="51" t="str">
        <f>IFERROR(VLOOKUP(B458,منتجات!$A$3:$C$350,2,0),"")</f>
        <v/>
      </c>
      <c r="D458" s="51" t="str">
        <f>IFERROR(VLOOKUP(B458,منتجات!$A$3:$C$350,3,0),"")</f>
        <v/>
      </c>
      <c r="E458" s="51"/>
      <c r="F458" s="51" t="str">
        <f>IFERROR(INDEX(منتجات!$G$3:$G$114,MATCH(B458,منتجات!$A$3:$A$115,0)),"")</f>
        <v/>
      </c>
      <c r="G458" s="51" t="str">
        <f t="shared" si="8"/>
        <v/>
      </c>
      <c r="H458" s="53"/>
    </row>
    <row r="459" spans="1:8" x14ac:dyDescent="0.35">
      <c r="A459" s="49"/>
      <c r="B459" s="49"/>
      <c r="C459" s="51" t="str">
        <f>IFERROR(VLOOKUP(B459,منتجات!$A$3:$C$350,2,0),"")</f>
        <v/>
      </c>
      <c r="D459" s="49" t="str">
        <f>IFERROR(VLOOKUP(B459,منتجات!$A$3:$C$350,3,0),"")</f>
        <v/>
      </c>
      <c r="E459" s="49"/>
      <c r="F459" s="49" t="str">
        <f>IFERROR(INDEX(منتجات!$G$3:$G$114,MATCH(B459,منتجات!$A$3:$A$115,0)),"")</f>
        <v/>
      </c>
      <c r="G459" s="51" t="str">
        <f t="shared" si="8"/>
        <v/>
      </c>
      <c r="H459" s="54"/>
    </row>
    <row r="460" spans="1:8" x14ac:dyDescent="0.35">
      <c r="A460" s="51"/>
      <c r="B460" s="51"/>
      <c r="C460" s="51" t="str">
        <f>IFERROR(VLOOKUP(B460,منتجات!$A$3:$C$350,2,0),"")</f>
        <v/>
      </c>
      <c r="D460" s="51" t="str">
        <f>IFERROR(VLOOKUP(B460,منتجات!$A$3:$C$350,3,0),"")</f>
        <v/>
      </c>
      <c r="E460" s="51"/>
      <c r="F460" s="51" t="str">
        <f>IFERROR(INDEX(منتجات!$G$3:$G$114,MATCH(B460,منتجات!$A$3:$A$115,0)),"")</f>
        <v/>
      </c>
      <c r="G460" s="51" t="str">
        <f t="shared" si="8"/>
        <v/>
      </c>
      <c r="H460" s="53"/>
    </row>
    <row r="461" spans="1:8" x14ac:dyDescent="0.35">
      <c r="A461" s="49"/>
      <c r="B461" s="49"/>
      <c r="C461" s="51" t="str">
        <f>IFERROR(VLOOKUP(B461,منتجات!$A$3:$C$350,2,0),"")</f>
        <v/>
      </c>
      <c r="D461" s="49" t="str">
        <f>IFERROR(VLOOKUP(B461,منتجات!$A$3:$C$350,3,0),"")</f>
        <v/>
      </c>
      <c r="E461" s="49"/>
      <c r="F461" s="49" t="str">
        <f>IFERROR(INDEX(منتجات!$G$3:$G$114,MATCH(B461,منتجات!$A$3:$A$115,0)),"")</f>
        <v/>
      </c>
      <c r="G461" s="51" t="str">
        <f t="shared" si="8"/>
        <v/>
      </c>
      <c r="H461" s="54"/>
    </row>
    <row r="462" spans="1:8" x14ac:dyDescent="0.35">
      <c r="A462" s="51"/>
      <c r="B462" s="51"/>
      <c r="C462" s="51" t="str">
        <f>IFERROR(VLOOKUP(B462,منتجات!$A$3:$C$350,2,0),"")</f>
        <v/>
      </c>
      <c r="D462" s="51" t="str">
        <f>IFERROR(VLOOKUP(B462,منتجات!$A$3:$C$350,3,0),"")</f>
        <v/>
      </c>
      <c r="E462" s="51"/>
      <c r="F462" s="51" t="str">
        <f>IFERROR(INDEX(منتجات!$G$3:$G$114,MATCH(B462,منتجات!$A$3:$A$115,0)),"")</f>
        <v/>
      </c>
      <c r="G462" s="51" t="str">
        <f t="shared" ref="G462:G525" si="9">IFERROR(E462*F462*D462,"")</f>
        <v/>
      </c>
      <c r="H462" s="53"/>
    </row>
    <row r="463" spans="1:8" x14ac:dyDescent="0.35">
      <c r="A463" s="49"/>
      <c r="B463" s="49"/>
      <c r="C463" s="51" t="str">
        <f>IFERROR(VLOOKUP(B463,منتجات!$A$3:$C$350,2,0),"")</f>
        <v/>
      </c>
      <c r="D463" s="49" t="str">
        <f>IFERROR(VLOOKUP(B463,منتجات!$A$3:$C$350,3,0),"")</f>
        <v/>
      </c>
      <c r="E463" s="49"/>
      <c r="F463" s="49" t="str">
        <f>IFERROR(INDEX(منتجات!$G$3:$G$114,MATCH(B463,منتجات!$A$3:$A$115,0)),"")</f>
        <v/>
      </c>
      <c r="G463" s="51" t="str">
        <f t="shared" si="9"/>
        <v/>
      </c>
      <c r="H463" s="54"/>
    </row>
    <row r="464" spans="1:8" x14ac:dyDescent="0.35">
      <c r="A464" s="51"/>
      <c r="B464" s="51"/>
      <c r="C464" s="51" t="str">
        <f>IFERROR(VLOOKUP(B464,منتجات!$A$3:$C$350,2,0),"")</f>
        <v/>
      </c>
      <c r="D464" s="51" t="str">
        <f>IFERROR(VLOOKUP(B464,منتجات!$A$3:$C$350,3,0),"")</f>
        <v/>
      </c>
      <c r="E464" s="51"/>
      <c r="F464" s="51" t="str">
        <f>IFERROR(INDEX(منتجات!$G$3:$G$114,MATCH(B464,منتجات!$A$3:$A$115,0)),"")</f>
        <v/>
      </c>
      <c r="G464" s="51" t="str">
        <f t="shared" si="9"/>
        <v/>
      </c>
      <c r="H464" s="53"/>
    </row>
    <row r="465" spans="1:8" x14ac:dyDescent="0.35">
      <c r="A465" s="49"/>
      <c r="B465" s="49"/>
      <c r="C465" s="51" t="str">
        <f>IFERROR(VLOOKUP(B465,منتجات!$A$3:$C$350,2,0),"")</f>
        <v/>
      </c>
      <c r="D465" s="49" t="str">
        <f>IFERROR(VLOOKUP(B465,منتجات!$A$3:$C$350,3,0),"")</f>
        <v/>
      </c>
      <c r="E465" s="49"/>
      <c r="F465" s="49" t="str">
        <f>IFERROR(INDEX(منتجات!$G$3:$G$114,MATCH(B465,منتجات!$A$3:$A$115,0)),"")</f>
        <v/>
      </c>
      <c r="G465" s="51" t="str">
        <f t="shared" si="9"/>
        <v/>
      </c>
      <c r="H465" s="54"/>
    </row>
    <row r="466" spans="1:8" x14ac:dyDescent="0.35">
      <c r="A466" s="51"/>
      <c r="B466" s="51"/>
      <c r="C466" s="51" t="str">
        <f>IFERROR(VLOOKUP(B466,منتجات!$A$3:$C$350,2,0),"")</f>
        <v/>
      </c>
      <c r="D466" s="51" t="str">
        <f>IFERROR(VLOOKUP(B466,منتجات!$A$3:$C$350,3,0),"")</f>
        <v/>
      </c>
      <c r="E466" s="51"/>
      <c r="F466" s="51" t="str">
        <f>IFERROR(INDEX(منتجات!$G$3:$G$114,MATCH(B466,منتجات!$A$3:$A$115,0)),"")</f>
        <v/>
      </c>
      <c r="G466" s="51" t="str">
        <f t="shared" si="9"/>
        <v/>
      </c>
      <c r="H466" s="53"/>
    </row>
    <row r="467" spans="1:8" x14ac:dyDescent="0.35">
      <c r="A467" s="49"/>
      <c r="B467" s="49"/>
      <c r="C467" s="51" t="str">
        <f>IFERROR(VLOOKUP(B467,منتجات!$A$3:$C$350,2,0),"")</f>
        <v/>
      </c>
      <c r="D467" s="49" t="str">
        <f>IFERROR(VLOOKUP(B467,منتجات!$A$3:$C$350,3,0),"")</f>
        <v/>
      </c>
      <c r="E467" s="49"/>
      <c r="F467" s="49" t="str">
        <f>IFERROR(INDEX(منتجات!$G$3:$G$114,MATCH(B467,منتجات!$A$3:$A$115,0)),"")</f>
        <v/>
      </c>
      <c r="G467" s="51" t="str">
        <f t="shared" si="9"/>
        <v/>
      </c>
      <c r="H467" s="54"/>
    </row>
    <row r="468" spans="1:8" x14ac:dyDescent="0.35">
      <c r="A468" s="51"/>
      <c r="B468" s="51"/>
      <c r="C468" s="51" t="str">
        <f>IFERROR(VLOOKUP(B468,منتجات!$A$3:$C$350,2,0),"")</f>
        <v/>
      </c>
      <c r="D468" s="51" t="str">
        <f>IFERROR(VLOOKUP(B468,منتجات!$A$3:$C$350,3,0),"")</f>
        <v/>
      </c>
      <c r="E468" s="51"/>
      <c r="F468" s="51" t="str">
        <f>IFERROR(INDEX(منتجات!$G$3:$G$114,MATCH(B468,منتجات!$A$3:$A$115,0)),"")</f>
        <v/>
      </c>
      <c r="G468" s="51" t="str">
        <f t="shared" si="9"/>
        <v/>
      </c>
      <c r="H468" s="53"/>
    </row>
    <row r="469" spans="1:8" x14ac:dyDescent="0.35">
      <c r="A469" s="49"/>
      <c r="B469" s="49"/>
      <c r="C469" s="51" t="str">
        <f>IFERROR(VLOOKUP(B469,منتجات!$A$3:$C$350,2,0),"")</f>
        <v/>
      </c>
      <c r="D469" s="49" t="str">
        <f>IFERROR(VLOOKUP(B469,منتجات!$A$3:$C$350,3,0),"")</f>
        <v/>
      </c>
      <c r="E469" s="49"/>
      <c r="F469" s="49" t="str">
        <f>IFERROR(INDEX(منتجات!$G$3:$G$114,MATCH(B469,منتجات!$A$3:$A$115,0)),"")</f>
        <v/>
      </c>
      <c r="G469" s="51" t="str">
        <f t="shared" si="9"/>
        <v/>
      </c>
      <c r="H469" s="54"/>
    </row>
    <row r="470" spans="1:8" x14ac:dyDescent="0.35">
      <c r="A470" s="51"/>
      <c r="B470" s="51"/>
      <c r="C470" s="51" t="str">
        <f>IFERROR(VLOOKUP(B470,منتجات!$A$3:$C$350,2,0),"")</f>
        <v/>
      </c>
      <c r="D470" s="51" t="str">
        <f>IFERROR(VLOOKUP(B470,منتجات!$A$3:$C$350,3,0),"")</f>
        <v/>
      </c>
      <c r="E470" s="51"/>
      <c r="F470" s="51" t="str">
        <f>IFERROR(INDEX(منتجات!$G$3:$G$114,MATCH(B470,منتجات!$A$3:$A$115,0)),"")</f>
        <v/>
      </c>
      <c r="G470" s="51" t="str">
        <f t="shared" si="9"/>
        <v/>
      </c>
      <c r="H470" s="53"/>
    </row>
    <row r="471" spans="1:8" x14ac:dyDescent="0.35">
      <c r="A471" s="49"/>
      <c r="B471" s="49"/>
      <c r="C471" s="51" t="str">
        <f>IFERROR(VLOOKUP(B471,منتجات!$A$3:$C$350,2,0),"")</f>
        <v/>
      </c>
      <c r="D471" s="49" t="str">
        <f>IFERROR(VLOOKUP(B471,منتجات!$A$3:$C$350,3,0),"")</f>
        <v/>
      </c>
      <c r="E471" s="49"/>
      <c r="F471" s="49" t="str">
        <f>IFERROR(INDEX(منتجات!$G$3:$G$114,MATCH(B471,منتجات!$A$3:$A$115,0)),"")</f>
        <v/>
      </c>
      <c r="G471" s="51" t="str">
        <f t="shared" si="9"/>
        <v/>
      </c>
      <c r="H471" s="54"/>
    </row>
    <row r="472" spans="1:8" x14ac:dyDescent="0.35">
      <c r="A472" s="51"/>
      <c r="B472" s="51"/>
      <c r="C472" s="51" t="str">
        <f>IFERROR(VLOOKUP(B472,منتجات!$A$3:$C$350,2,0),"")</f>
        <v/>
      </c>
      <c r="D472" s="51" t="str">
        <f>IFERROR(VLOOKUP(B472,منتجات!$A$3:$C$350,3,0),"")</f>
        <v/>
      </c>
      <c r="E472" s="51"/>
      <c r="F472" s="51" t="str">
        <f>IFERROR(INDEX(منتجات!$G$3:$G$114,MATCH(B472,منتجات!$A$3:$A$115,0)),"")</f>
        <v/>
      </c>
      <c r="G472" s="51" t="str">
        <f t="shared" si="9"/>
        <v/>
      </c>
      <c r="H472" s="53"/>
    </row>
    <row r="473" spans="1:8" x14ac:dyDescent="0.35">
      <c r="A473" s="49"/>
      <c r="B473" s="49"/>
      <c r="C473" s="51" t="str">
        <f>IFERROR(VLOOKUP(B473,منتجات!$A$3:$C$350,2,0),"")</f>
        <v/>
      </c>
      <c r="D473" s="49" t="str">
        <f>IFERROR(VLOOKUP(B473,منتجات!$A$3:$C$350,3,0),"")</f>
        <v/>
      </c>
      <c r="E473" s="49"/>
      <c r="F473" s="49" t="str">
        <f>IFERROR(INDEX(منتجات!$G$3:$G$114,MATCH(B473,منتجات!$A$3:$A$115,0)),"")</f>
        <v/>
      </c>
      <c r="G473" s="51" t="str">
        <f t="shared" si="9"/>
        <v/>
      </c>
      <c r="H473" s="54"/>
    </row>
    <row r="474" spans="1:8" x14ac:dyDescent="0.35">
      <c r="A474" s="51"/>
      <c r="B474" s="51"/>
      <c r="C474" s="51" t="str">
        <f>IFERROR(VLOOKUP(B474,منتجات!$A$3:$C$350,2,0),"")</f>
        <v/>
      </c>
      <c r="D474" s="51" t="str">
        <f>IFERROR(VLOOKUP(B474,منتجات!$A$3:$C$350,3,0),"")</f>
        <v/>
      </c>
      <c r="E474" s="51"/>
      <c r="F474" s="51" t="str">
        <f>IFERROR(INDEX(منتجات!$G$3:$G$114,MATCH(B474,منتجات!$A$3:$A$115,0)),"")</f>
        <v/>
      </c>
      <c r="G474" s="51" t="str">
        <f t="shared" si="9"/>
        <v/>
      </c>
      <c r="H474" s="53"/>
    </row>
    <row r="475" spans="1:8" x14ac:dyDescent="0.35">
      <c r="A475" s="49"/>
      <c r="B475" s="49"/>
      <c r="C475" s="51" t="str">
        <f>IFERROR(VLOOKUP(B475,منتجات!$A$3:$C$350,2,0),"")</f>
        <v/>
      </c>
      <c r="D475" s="49" t="str">
        <f>IFERROR(VLOOKUP(B475,منتجات!$A$3:$C$350,3,0),"")</f>
        <v/>
      </c>
      <c r="E475" s="49"/>
      <c r="F475" s="49" t="str">
        <f>IFERROR(INDEX(منتجات!$G$3:$G$114,MATCH(B475,منتجات!$A$3:$A$115,0)),"")</f>
        <v/>
      </c>
      <c r="G475" s="51" t="str">
        <f t="shared" si="9"/>
        <v/>
      </c>
      <c r="H475" s="54"/>
    </row>
    <row r="476" spans="1:8" x14ac:dyDescent="0.35">
      <c r="A476" s="51"/>
      <c r="B476" s="51"/>
      <c r="C476" s="51" t="str">
        <f>IFERROR(VLOOKUP(B476,منتجات!$A$3:$C$350,2,0),"")</f>
        <v/>
      </c>
      <c r="D476" s="51" t="str">
        <f>IFERROR(VLOOKUP(B476,منتجات!$A$3:$C$350,3,0),"")</f>
        <v/>
      </c>
      <c r="E476" s="51"/>
      <c r="F476" s="51" t="str">
        <f>IFERROR(INDEX(منتجات!$G$3:$G$114,MATCH(B476,منتجات!$A$3:$A$115,0)),"")</f>
        <v/>
      </c>
      <c r="G476" s="51" t="str">
        <f t="shared" si="9"/>
        <v/>
      </c>
      <c r="H476" s="53"/>
    </row>
    <row r="477" spans="1:8" x14ac:dyDescent="0.35">
      <c r="A477" s="49"/>
      <c r="B477" s="49"/>
      <c r="C477" s="51" t="str">
        <f>IFERROR(VLOOKUP(B477,منتجات!$A$3:$C$350,2,0),"")</f>
        <v/>
      </c>
      <c r="D477" s="49" t="str">
        <f>IFERROR(VLOOKUP(B477,منتجات!$A$3:$C$350,3,0),"")</f>
        <v/>
      </c>
      <c r="E477" s="49"/>
      <c r="F477" s="49" t="str">
        <f>IFERROR(INDEX(منتجات!$G$3:$G$114,MATCH(B477,منتجات!$A$3:$A$115,0)),"")</f>
        <v/>
      </c>
      <c r="G477" s="51" t="str">
        <f t="shared" si="9"/>
        <v/>
      </c>
      <c r="H477" s="54"/>
    </row>
    <row r="478" spans="1:8" x14ac:dyDescent="0.35">
      <c r="A478" s="51"/>
      <c r="B478" s="51"/>
      <c r="C478" s="51" t="str">
        <f>IFERROR(VLOOKUP(B478,منتجات!$A$3:$C$350,2,0),"")</f>
        <v/>
      </c>
      <c r="D478" s="51" t="str">
        <f>IFERROR(VLOOKUP(B478,منتجات!$A$3:$C$350,3,0),"")</f>
        <v/>
      </c>
      <c r="E478" s="51"/>
      <c r="F478" s="51" t="str">
        <f>IFERROR(INDEX(منتجات!$G$3:$G$114,MATCH(B478,منتجات!$A$3:$A$115,0)),"")</f>
        <v/>
      </c>
      <c r="G478" s="51" t="str">
        <f t="shared" si="9"/>
        <v/>
      </c>
      <c r="H478" s="53"/>
    </row>
    <row r="479" spans="1:8" x14ac:dyDescent="0.35">
      <c r="A479" s="49"/>
      <c r="B479" s="49"/>
      <c r="C479" s="51" t="str">
        <f>IFERROR(VLOOKUP(B479,منتجات!$A$3:$C$350,2,0),"")</f>
        <v/>
      </c>
      <c r="D479" s="49" t="str">
        <f>IFERROR(VLOOKUP(B479,منتجات!$A$3:$C$350,3,0),"")</f>
        <v/>
      </c>
      <c r="E479" s="49"/>
      <c r="F479" s="49" t="str">
        <f>IFERROR(INDEX(منتجات!$G$3:$G$114,MATCH(B479,منتجات!$A$3:$A$115,0)),"")</f>
        <v/>
      </c>
      <c r="G479" s="51" t="str">
        <f t="shared" si="9"/>
        <v/>
      </c>
      <c r="H479" s="54"/>
    </row>
    <row r="480" spans="1:8" x14ac:dyDescent="0.35">
      <c r="A480" s="51"/>
      <c r="B480" s="51"/>
      <c r="C480" s="51" t="str">
        <f>IFERROR(VLOOKUP(B480,منتجات!$A$3:$C$350,2,0),"")</f>
        <v/>
      </c>
      <c r="D480" s="51" t="str">
        <f>IFERROR(VLOOKUP(B480,منتجات!$A$3:$C$350,3,0),"")</f>
        <v/>
      </c>
      <c r="E480" s="51"/>
      <c r="F480" s="51" t="str">
        <f>IFERROR(INDEX(منتجات!$G$3:$G$114,MATCH(B480,منتجات!$A$3:$A$115,0)),"")</f>
        <v/>
      </c>
      <c r="G480" s="51" t="str">
        <f t="shared" si="9"/>
        <v/>
      </c>
      <c r="H480" s="53"/>
    </row>
    <row r="481" spans="1:8" x14ac:dyDescent="0.35">
      <c r="A481" s="49"/>
      <c r="B481" s="49"/>
      <c r="C481" s="51" t="str">
        <f>IFERROR(VLOOKUP(B481,منتجات!$A$3:$C$350,2,0),"")</f>
        <v/>
      </c>
      <c r="D481" s="49" t="str">
        <f>IFERROR(VLOOKUP(B481,منتجات!$A$3:$C$350,3,0),"")</f>
        <v/>
      </c>
      <c r="E481" s="49"/>
      <c r="F481" s="49" t="str">
        <f>IFERROR(INDEX(منتجات!$G$3:$G$114,MATCH(B481,منتجات!$A$3:$A$115,0)),"")</f>
        <v/>
      </c>
      <c r="G481" s="51" t="str">
        <f t="shared" si="9"/>
        <v/>
      </c>
      <c r="H481" s="54"/>
    </row>
    <row r="482" spans="1:8" x14ac:dyDescent="0.35">
      <c r="A482" s="51"/>
      <c r="B482" s="51"/>
      <c r="C482" s="51" t="str">
        <f>IFERROR(VLOOKUP(B482,منتجات!$A$3:$C$350,2,0),"")</f>
        <v/>
      </c>
      <c r="D482" s="51" t="str">
        <f>IFERROR(VLOOKUP(B482,منتجات!$A$3:$C$350,3,0),"")</f>
        <v/>
      </c>
      <c r="E482" s="51"/>
      <c r="F482" s="51" t="str">
        <f>IFERROR(INDEX(منتجات!$G$3:$G$114,MATCH(B482,منتجات!$A$3:$A$115,0)),"")</f>
        <v/>
      </c>
      <c r="G482" s="51" t="str">
        <f t="shared" si="9"/>
        <v/>
      </c>
      <c r="H482" s="53"/>
    </row>
    <row r="483" spans="1:8" x14ac:dyDescent="0.35">
      <c r="A483" s="49"/>
      <c r="B483" s="49"/>
      <c r="C483" s="51" t="str">
        <f>IFERROR(VLOOKUP(B483,منتجات!$A$3:$C$350,2,0),"")</f>
        <v/>
      </c>
      <c r="D483" s="49" t="str">
        <f>IFERROR(VLOOKUP(B483,منتجات!$A$3:$C$350,3,0),"")</f>
        <v/>
      </c>
      <c r="E483" s="49"/>
      <c r="F483" s="49" t="str">
        <f>IFERROR(INDEX(منتجات!$G$3:$G$114,MATCH(B483,منتجات!$A$3:$A$115,0)),"")</f>
        <v/>
      </c>
      <c r="G483" s="51" t="str">
        <f t="shared" si="9"/>
        <v/>
      </c>
      <c r="H483" s="54"/>
    </row>
    <row r="484" spans="1:8" x14ac:dyDescent="0.35">
      <c r="A484" s="51"/>
      <c r="B484" s="51"/>
      <c r="C484" s="51" t="str">
        <f>IFERROR(VLOOKUP(B484,منتجات!$A$3:$C$350,2,0),"")</f>
        <v/>
      </c>
      <c r="D484" s="51" t="str">
        <f>IFERROR(VLOOKUP(B484,منتجات!$A$3:$C$350,3,0),"")</f>
        <v/>
      </c>
      <c r="E484" s="51"/>
      <c r="F484" s="51" t="str">
        <f>IFERROR(INDEX(منتجات!$G$3:$G$114,MATCH(B484,منتجات!$A$3:$A$115,0)),"")</f>
        <v/>
      </c>
      <c r="G484" s="51" t="str">
        <f t="shared" si="9"/>
        <v/>
      </c>
      <c r="H484" s="53"/>
    </row>
    <row r="485" spans="1:8" x14ac:dyDescent="0.35">
      <c r="A485" s="49"/>
      <c r="B485" s="49"/>
      <c r="C485" s="51" t="str">
        <f>IFERROR(VLOOKUP(B485,منتجات!$A$3:$C$350,2,0),"")</f>
        <v/>
      </c>
      <c r="D485" s="49" t="str">
        <f>IFERROR(VLOOKUP(B485,منتجات!$A$3:$C$350,3,0),"")</f>
        <v/>
      </c>
      <c r="E485" s="49"/>
      <c r="F485" s="49" t="str">
        <f>IFERROR(INDEX(منتجات!$G$3:$G$114,MATCH(B485,منتجات!$A$3:$A$115,0)),"")</f>
        <v/>
      </c>
      <c r="G485" s="51" t="str">
        <f t="shared" si="9"/>
        <v/>
      </c>
      <c r="H485" s="54"/>
    </row>
    <row r="486" spans="1:8" x14ac:dyDescent="0.35">
      <c r="A486" s="51"/>
      <c r="B486" s="51"/>
      <c r="C486" s="51" t="str">
        <f>IFERROR(VLOOKUP(B486,منتجات!$A$3:$C$350,2,0),"")</f>
        <v/>
      </c>
      <c r="D486" s="51" t="str">
        <f>IFERROR(VLOOKUP(B486,منتجات!$A$3:$C$350,3,0),"")</f>
        <v/>
      </c>
      <c r="E486" s="51"/>
      <c r="F486" s="51" t="str">
        <f>IFERROR(INDEX(منتجات!$G$3:$G$114,MATCH(B486,منتجات!$A$3:$A$115,0)),"")</f>
        <v/>
      </c>
      <c r="G486" s="51" t="str">
        <f t="shared" si="9"/>
        <v/>
      </c>
      <c r="H486" s="53"/>
    </row>
    <row r="487" spans="1:8" x14ac:dyDescent="0.35">
      <c r="A487" s="49"/>
      <c r="B487" s="49"/>
      <c r="C487" s="51" t="str">
        <f>IFERROR(VLOOKUP(B487,منتجات!$A$3:$C$350,2,0),"")</f>
        <v/>
      </c>
      <c r="D487" s="49" t="str">
        <f>IFERROR(VLOOKUP(B487,منتجات!$A$3:$C$350,3,0),"")</f>
        <v/>
      </c>
      <c r="E487" s="49"/>
      <c r="F487" s="49" t="str">
        <f>IFERROR(INDEX(منتجات!$G$3:$G$114,MATCH(B487,منتجات!$A$3:$A$115,0)),"")</f>
        <v/>
      </c>
      <c r="G487" s="51" t="str">
        <f t="shared" si="9"/>
        <v/>
      </c>
      <c r="H487" s="54"/>
    </row>
    <row r="488" spans="1:8" x14ac:dyDescent="0.35">
      <c r="A488" s="51"/>
      <c r="B488" s="51"/>
      <c r="C488" s="51" t="str">
        <f>IFERROR(VLOOKUP(B488,منتجات!$A$3:$C$350,2,0),"")</f>
        <v/>
      </c>
      <c r="D488" s="51" t="str">
        <f>IFERROR(VLOOKUP(B488,منتجات!$A$3:$C$350,3,0),"")</f>
        <v/>
      </c>
      <c r="E488" s="51"/>
      <c r="F488" s="51" t="str">
        <f>IFERROR(INDEX(منتجات!$G$3:$G$114,MATCH(B488,منتجات!$A$3:$A$115,0)),"")</f>
        <v/>
      </c>
      <c r="G488" s="51" t="str">
        <f t="shared" si="9"/>
        <v/>
      </c>
      <c r="H488" s="53"/>
    </row>
    <row r="489" spans="1:8" x14ac:dyDescent="0.35">
      <c r="A489" s="49"/>
      <c r="B489" s="49"/>
      <c r="C489" s="51" t="str">
        <f>IFERROR(VLOOKUP(B489,منتجات!$A$3:$C$350,2,0),"")</f>
        <v/>
      </c>
      <c r="D489" s="49" t="str">
        <f>IFERROR(VLOOKUP(B489,منتجات!$A$3:$C$350,3,0),"")</f>
        <v/>
      </c>
      <c r="E489" s="49"/>
      <c r="F489" s="49" t="str">
        <f>IFERROR(INDEX(منتجات!$G$3:$G$114,MATCH(B489,منتجات!$A$3:$A$115,0)),"")</f>
        <v/>
      </c>
      <c r="G489" s="51" t="str">
        <f t="shared" si="9"/>
        <v/>
      </c>
      <c r="H489" s="54"/>
    </row>
    <row r="490" spans="1:8" x14ac:dyDescent="0.35">
      <c r="A490" s="51"/>
      <c r="B490" s="51"/>
      <c r="C490" s="51" t="str">
        <f>IFERROR(VLOOKUP(B490,منتجات!$A$3:$C$350,2,0),"")</f>
        <v/>
      </c>
      <c r="D490" s="51" t="str">
        <f>IFERROR(VLOOKUP(B490,منتجات!$A$3:$C$350,3,0),"")</f>
        <v/>
      </c>
      <c r="E490" s="51"/>
      <c r="F490" s="51" t="str">
        <f>IFERROR(INDEX(منتجات!$G$3:$G$114,MATCH(B490,منتجات!$A$3:$A$115,0)),"")</f>
        <v/>
      </c>
      <c r="G490" s="51" t="str">
        <f t="shared" si="9"/>
        <v/>
      </c>
      <c r="H490" s="53"/>
    </row>
    <row r="491" spans="1:8" x14ac:dyDescent="0.35">
      <c r="A491" s="49"/>
      <c r="B491" s="49"/>
      <c r="C491" s="51" t="str">
        <f>IFERROR(VLOOKUP(B491,منتجات!$A$3:$C$350,2,0),"")</f>
        <v/>
      </c>
      <c r="D491" s="49" t="str">
        <f>IFERROR(VLOOKUP(B491,منتجات!$A$3:$C$350,3,0),"")</f>
        <v/>
      </c>
      <c r="E491" s="49"/>
      <c r="F491" s="49" t="str">
        <f>IFERROR(INDEX(منتجات!$G$3:$G$114,MATCH(B491,منتجات!$A$3:$A$115,0)),"")</f>
        <v/>
      </c>
      <c r="G491" s="51" t="str">
        <f t="shared" si="9"/>
        <v/>
      </c>
      <c r="H491" s="54"/>
    </row>
    <row r="492" spans="1:8" x14ac:dyDescent="0.35">
      <c r="A492" s="51"/>
      <c r="B492" s="51"/>
      <c r="C492" s="51" t="str">
        <f>IFERROR(VLOOKUP(B492,منتجات!$A$3:$C$350,2,0),"")</f>
        <v/>
      </c>
      <c r="D492" s="51" t="str">
        <f>IFERROR(VLOOKUP(B492,منتجات!$A$3:$C$350,3,0),"")</f>
        <v/>
      </c>
      <c r="E492" s="51"/>
      <c r="F492" s="51" t="str">
        <f>IFERROR(INDEX(منتجات!$G$3:$G$114,MATCH(B492,منتجات!$A$3:$A$115,0)),"")</f>
        <v/>
      </c>
      <c r="G492" s="51" t="str">
        <f t="shared" si="9"/>
        <v/>
      </c>
      <c r="H492" s="53"/>
    </row>
    <row r="493" spans="1:8" x14ac:dyDescent="0.35">
      <c r="A493" s="49"/>
      <c r="B493" s="49"/>
      <c r="C493" s="51" t="str">
        <f>IFERROR(VLOOKUP(B493,منتجات!$A$3:$C$350,2,0),"")</f>
        <v/>
      </c>
      <c r="D493" s="49" t="str">
        <f>IFERROR(VLOOKUP(B493,منتجات!$A$3:$C$350,3,0),"")</f>
        <v/>
      </c>
      <c r="E493" s="49"/>
      <c r="F493" s="49" t="str">
        <f>IFERROR(INDEX(منتجات!$G$3:$G$114,MATCH(B493,منتجات!$A$3:$A$115,0)),"")</f>
        <v/>
      </c>
      <c r="G493" s="51" t="str">
        <f t="shared" si="9"/>
        <v/>
      </c>
      <c r="H493" s="54"/>
    </row>
    <row r="494" spans="1:8" x14ac:dyDescent="0.35">
      <c r="A494" s="51"/>
      <c r="B494" s="51"/>
      <c r="C494" s="51" t="str">
        <f>IFERROR(VLOOKUP(B494,منتجات!$A$3:$C$350,2,0),"")</f>
        <v/>
      </c>
      <c r="D494" s="51" t="str">
        <f>IFERROR(VLOOKUP(B494,منتجات!$A$3:$C$350,3,0),"")</f>
        <v/>
      </c>
      <c r="E494" s="51"/>
      <c r="F494" s="51" t="str">
        <f>IFERROR(INDEX(منتجات!$G$3:$G$114,MATCH(B494,منتجات!$A$3:$A$115,0)),"")</f>
        <v/>
      </c>
      <c r="G494" s="51" t="str">
        <f t="shared" si="9"/>
        <v/>
      </c>
      <c r="H494" s="53"/>
    </row>
    <row r="495" spans="1:8" x14ac:dyDescent="0.35">
      <c r="A495" s="49"/>
      <c r="B495" s="49"/>
      <c r="C495" s="51" t="str">
        <f>IFERROR(VLOOKUP(B495,منتجات!$A$3:$C$350,2,0),"")</f>
        <v/>
      </c>
      <c r="D495" s="49" t="str">
        <f>IFERROR(VLOOKUP(B495,منتجات!$A$3:$C$350,3,0),"")</f>
        <v/>
      </c>
      <c r="E495" s="49"/>
      <c r="F495" s="49" t="str">
        <f>IFERROR(INDEX(منتجات!$G$3:$G$114,MATCH(B495,منتجات!$A$3:$A$115,0)),"")</f>
        <v/>
      </c>
      <c r="G495" s="51" t="str">
        <f t="shared" si="9"/>
        <v/>
      </c>
      <c r="H495" s="54"/>
    </row>
    <row r="496" spans="1:8" x14ac:dyDescent="0.35">
      <c r="A496" s="51"/>
      <c r="B496" s="51"/>
      <c r="C496" s="51" t="str">
        <f>IFERROR(VLOOKUP(B496,منتجات!$A$3:$C$350,2,0),"")</f>
        <v/>
      </c>
      <c r="D496" s="51" t="str">
        <f>IFERROR(VLOOKUP(B496,منتجات!$A$3:$C$350,3,0),"")</f>
        <v/>
      </c>
      <c r="E496" s="51"/>
      <c r="F496" s="51" t="str">
        <f>IFERROR(INDEX(منتجات!$G$3:$G$114,MATCH(B496,منتجات!$A$3:$A$115,0)),"")</f>
        <v/>
      </c>
      <c r="G496" s="51" t="str">
        <f t="shared" si="9"/>
        <v/>
      </c>
      <c r="H496" s="53"/>
    </row>
    <row r="497" spans="1:8" x14ac:dyDescent="0.35">
      <c r="A497" s="49"/>
      <c r="B497" s="49"/>
      <c r="C497" s="51" t="str">
        <f>IFERROR(VLOOKUP(B497,منتجات!$A$3:$C$350,2,0),"")</f>
        <v/>
      </c>
      <c r="D497" s="49" t="str">
        <f>IFERROR(VLOOKUP(B497,منتجات!$A$3:$C$350,3,0),"")</f>
        <v/>
      </c>
      <c r="E497" s="49"/>
      <c r="F497" s="49" t="str">
        <f>IFERROR(INDEX(منتجات!$G$3:$G$114,MATCH(B497,منتجات!$A$3:$A$115,0)),"")</f>
        <v/>
      </c>
      <c r="G497" s="51" t="str">
        <f t="shared" si="9"/>
        <v/>
      </c>
      <c r="H497" s="54"/>
    </row>
    <row r="498" spans="1:8" x14ac:dyDescent="0.35">
      <c r="A498" s="51"/>
      <c r="B498" s="51"/>
      <c r="C498" s="51" t="str">
        <f>IFERROR(VLOOKUP(B498,منتجات!$A$3:$C$350,2,0),"")</f>
        <v/>
      </c>
      <c r="D498" s="51" t="str">
        <f>IFERROR(VLOOKUP(B498,منتجات!$A$3:$C$350,3,0),"")</f>
        <v/>
      </c>
      <c r="E498" s="51"/>
      <c r="F498" s="51" t="str">
        <f>IFERROR(INDEX(منتجات!$G$3:$G$114,MATCH(B498,منتجات!$A$3:$A$115,0)),"")</f>
        <v/>
      </c>
      <c r="G498" s="51" t="str">
        <f t="shared" si="9"/>
        <v/>
      </c>
      <c r="H498" s="53"/>
    </row>
    <row r="499" spans="1:8" x14ac:dyDescent="0.35">
      <c r="A499" s="49"/>
      <c r="B499" s="49"/>
      <c r="C499" s="51" t="str">
        <f>IFERROR(VLOOKUP(B499,منتجات!$A$3:$C$350,2,0),"")</f>
        <v/>
      </c>
      <c r="D499" s="49" t="str">
        <f>IFERROR(VLOOKUP(B499,منتجات!$A$3:$C$350,3,0),"")</f>
        <v/>
      </c>
      <c r="E499" s="49"/>
      <c r="F499" s="49" t="str">
        <f>IFERROR(INDEX(منتجات!$G$3:$G$114,MATCH(B499,منتجات!$A$3:$A$115,0)),"")</f>
        <v/>
      </c>
      <c r="G499" s="51" t="str">
        <f t="shared" si="9"/>
        <v/>
      </c>
      <c r="H499" s="54"/>
    </row>
    <row r="500" spans="1:8" x14ac:dyDescent="0.35">
      <c r="A500" s="51"/>
      <c r="B500" s="51"/>
      <c r="C500" s="51" t="str">
        <f>IFERROR(VLOOKUP(B500,منتجات!$A$3:$C$350,2,0),"")</f>
        <v/>
      </c>
      <c r="D500" s="51" t="str">
        <f>IFERROR(VLOOKUP(B500,منتجات!$A$3:$C$350,3,0),"")</f>
        <v/>
      </c>
      <c r="E500" s="51"/>
      <c r="F500" s="51" t="str">
        <f>IFERROR(INDEX(منتجات!$G$3:$G$114,MATCH(B500,منتجات!$A$3:$A$115,0)),"")</f>
        <v/>
      </c>
      <c r="G500" s="51" t="str">
        <f t="shared" si="9"/>
        <v/>
      </c>
      <c r="H500" s="53"/>
    </row>
    <row r="501" spans="1:8" x14ac:dyDescent="0.35">
      <c r="A501" s="49"/>
      <c r="B501" s="49"/>
      <c r="C501" s="51" t="str">
        <f>IFERROR(VLOOKUP(B501,منتجات!$A$3:$C$350,2,0),"")</f>
        <v/>
      </c>
      <c r="D501" s="49" t="str">
        <f>IFERROR(VLOOKUP(B501,منتجات!$A$3:$C$350,3,0),"")</f>
        <v/>
      </c>
      <c r="E501" s="49"/>
      <c r="F501" s="49" t="str">
        <f>IFERROR(INDEX(منتجات!$G$3:$G$114,MATCH(B501,منتجات!$A$3:$A$115,0)),"")</f>
        <v/>
      </c>
      <c r="G501" s="51" t="str">
        <f t="shared" si="9"/>
        <v/>
      </c>
      <c r="H501" s="54"/>
    </row>
    <row r="502" spans="1:8" x14ac:dyDescent="0.35">
      <c r="A502" s="51"/>
      <c r="B502" s="51"/>
      <c r="C502" s="51" t="str">
        <f>IFERROR(VLOOKUP(B502,منتجات!$A$3:$C$350,2,0),"")</f>
        <v/>
      </c>
      <c r="D502" s="51" t="str">
        <f>IFERROR(VLOOKUP(B502,منتجات!$A$3:$C$350,3,0),"")</f>
        <v/>
      </c>
      <c r="E502" s="51"/>
      <c r="F502" s="51" t="str">
        <f>IFERROR(INDEX(منتجات!$G$3:$G$114,MATCH(B502,منتجات!$A$3:$A$115,0)),"")</f>
        <v/>
      </c>
      <c r="G502" s="51" t="str">
        <f t="shared" si="9"/>
        <v/>
      </c>
      <c r="H502" s="53"/>
    </row>
    <row r="503" spans="1:8" x14ac:dyDescent="0.35">
      <c r="A503" s="49"/>
      <c r="B503" s="49"/>
      <c r="C503" s="51" t="str">
        <f>IFERROR(VLOOKUP(B503,منتجات!$A$3:$C$350,2,0),"")</f>
        <v/>
      </c>
      <c r="D503" s="49" t="str">
        <f>IFERROR(VLOOKUP(B503,منتجات!$A$3:$C$350,3,0),"")</f>
        <v/>
      </c>
      <c r="E503" s="49"/>
      <c r="F503" s="49" t="str">
        <f>IFERROR(INDEX(منتجات!$G$3:$G$114,MATCH(B503,منتجات!$A$3:$A$115,0)),"")</f>
        <v/>
      </c>
      <c r="G503" s="51" t="str">
        <f t="shared" si="9"/>
        <v/>
      </c>
      <c r="H503" s="54"/>
    </row>
    <row r="504" spans="1:8" x14ac:dyDescent="0.35">
      <c r="A504" s="51"/>
      <c r="B504" s="51"/>
      <c r="C504" s="51" t="str">
        <f>IFERROR(VLOOKUP(B504,منتجات!$A$3:$C$350,2,0),"")</f>
        <v/>
      </c>
      <c r="D504" s="51" t="str">
        <f>IFERROR(VLOOKUP(B504,منتجات!$A$3:$C$350,3,0),"")</f>
        <v/>
      </c>
      <c r="E504" s="51"/>
      <c r="F504" s="51" t="str">
        <f>IFERROR(INDEX(منتجات!$G$3:$G$114,MATCH(B504,منتجات!$A$3:$A$115,0)),"")</f>
        <v/>
      </c>
      <c r="G504" s="51" t="str">
        <f t="shared" si="9"/>
        <v/>
      </c>
      <c r="H504" s="53"/>
    </row>
    <row r="505" spans="1:8" x14ac:dyDescent="0.35">
      <c r="A505" s="49"/>
      <c r="B505" s="49"/>
      <c r="C505" s="51" t="str">
        <f>IFERROR(VLOOKUP(B505,منتجات!$A$3:$C$350,2,0),"")</f>
        <v/>
      </c>
      <c r="D505" s="49" t="str">
        <f>IFERROR(VLOOKUP(B505,منتجات!$A$3:$C$350,3,0),"")</f>
        <v/>
      </c>
      <c r="E505" s="49"/>
      <c r="F505" s="49" t="str">
        <f>IFERROR(INDEX(منتجات!$G$3:$G$114,MATCH(B505,منتجات!$A$3:$A$115,0)),"")</f>
        <v/>
      </c>
      <c r="G505" s="51" t="str">
        <f t="shared" si="9"/>
        <v/>
      </c>
      <c r="H505" s="54"/>
    </row>
    <row r="506" spans="1:8" x14ac:dyDescent="0.35">
      <c r="A506" s="51"/>
      <c r="B506" s="51"/>
      <c r="C506" s="51" t="str">
        <f>IFERROR(VLOOKUP(B506,منتجات!$A$3:$C$350,2,0),"")</f>
        <v/>
      </c>
      <c r="D506" s="51" t="str">
        <f>IFERROR(VLOOKUP(B506,منتجات!$A$3:$C$350,3,0),"")</f>
        <v/>
      </c>
      <c r="E506" s="51"/>
      <c r="F506" s="51" t="str">
        <f>IFERROR(INDEX(منتجات!$G$3:$G$114,MATCH(B506,منتجات!$A$3:$A$115,0)),"")</f>
        <v/>
      </c>
      <c r="G506" s="51" t="str">
        <f t="shared" si="9"/>
        <v/>
      </c>
      <c r="H506" s="53"/>
    </row>
    <row r="507" spans="1:8" x14ac:dyDescent="0.35">
      <c r="A507" s="49"/>
      <c r="B507" s="49"/>
      <c r="C507" s="51" t="str">
        <f>IFERROR(VLOOKUP(B507,منتجات!$A$3:$C$350,2,0),"")</f>
        <v/>
      </c>
      <c r="D507" s="49" t="str">
        <f>IFERROR(VLOOKUP(B507,منتجات!$A$3:$C$350,3,0),"")</f>
        <v/>
      </c>
      <c r="E507" s="49"/>
      <c r="F507" s="49" t="str">
        <f>IFERROR(INDEX(منتجات!$G$3:$G$114,MATCH(B507,منتجات!$A$3:$A$115,0)),"")</f>
        <v/>
      </c>
      <c r="G507" s="51" t="str">
        <f t="shared" si="9"/>
        <v/>
      </c>
      <c r="H507" s="54"/>
    </row>
    <row r="508" spans="1:8" x14ac:dyDescent="0.35">
      <c r="A508" s="51"/>
      <c r="B508" s="51"/>
      <c r="C508" s="51" t="str">
        <f>IFERROR(VLOOKUP(B508,منتجات!$A$3:$C$350,2,0),"")</f>
        <v/>
      </c>
      <c r="D508" s="51" t="str">
        <f>IFERROR(VLOOKUP(B508,منتجات!$A$3:$C$350,3,0),"")</f>
        <v/>
      </c>
      <c r="E508" s="51"/>
      <c r="F508" s="51" t="str">
        <f>IFERROR(INDEX(منتجات!$G$3:$G$114,MATCH(B508,منتجات!$A$3:$A$115,0)),"")</f>
        <v/>
      </c>
      <c r="G508" s="51" t="str">
        <f t="shared" si="9"/>
        <v/>
      </c>
      <c r="H508" s="53"/>
    </row>
    <row r="509" spans="1:8" x14ac:dyDescent="0.35">
      <c r="A509" s="49"/>
      <c r="B509" s="49"/>
      <c r="C509" s="51" t="str">
        <f>IFERROR(VLOOKUP(B509,منتجات!$A$3:$C$350,2,0),"")</f>
        <v/>
      </c>
      <c r="D509" s="49" t="str">
        <f>IFERROR(VLOOKUP(B509,منتجات!$A$3:$C$350,3,0),"")</f>
        <v/>
      </c>
      <c r="E509" s="49"/>
      <c r="F509" s="49" t="str">
        <f>IFERROR(INDEX(منتجات!$G$3:$G$114,MATCH(B509,منتجات!$A$3:$A$115,0)),"")</f>
        <v/>
      </c>
      <c r="G509" s="51" t="str">
        <f t="shared" si="9"/>
        <v/>
      </c>
      <c r="H509" s="54"/>
    </row>
    <row r="510" spans="1:8" x14ac:dyDescent="0.35">
      <c r="A510" s="51"/>
      <c r="B510" s="51"/>
      <c r="C510" s="51" t="str">
        <f>IFERROR(VLOOKUP(B510,منتجات!$A$3:$C$350,2,0),"")</f>
        <v/>
      </c>
      <c r="D510" s="51" t="str">
        <f>IFERROR(VLOOKUP(B510,منتجات!$A$3:$C$350,3,0),"")</f>
        <v/>
      </c>
      <c r="E510" s="51"/>
      <c r="F510" s="51" t="str">
        <f>IFERROR(INDEX(منتجات!$G$3:$G$114,MATCH(B510,منتجات!$A$3:$A$115,0)),"")</f>
        <v/>
      </c>
      <c r="G510" s="51" t="str">
        <f t="shared" si="9"/>
        <v/>
      </c>
      <c r="H510" s="53"/>
    </row>
    <row r="511" spans="1:8" x14ac:dyDescent="0.35">
      <c r="A511" s="49"/>
      <c r="B511" s="49"/>
      <c r="C511" s="51" t="str">
        <f>IFERROR(VLOOKUP(B511,منتجات!$A$3:$C$350,2,0),"")</f>
        <v/>
      </c>
      <c r="D511" s="49" t="str">
        <f>IFERROR(VLOOKUP(B511,منتجات!$A$3:$C$350,3,0),"")</f>
        <v/>
      </c>
      <c r="E511" s="49"/>
      <c r="F511" s="49" t="str">
        <f>IFERROR(INDEX(منتجات!$G$3:$G$114,MATCH(B511,منتجات!$A$3:$A$115,0)),"")</f>
        <v/>
      </c>
      <c r="G511" s="51" t="str">
        <f t="shared" si="9"/>
        <v/>
      </c>
      <c r="H511" s="54"/>
    </row>
    <row r="512" spans="1:8" x14ac:dyDescent="0.35">
      <c r="A512" s="51"/>
      <c r="B512" s="51"/>
      <c r="C512" s="51" t="str">
        <f>IFERROR(VLOOKUP(B512,منتجات!$A$3:$C$350,2,0),"")</f>
        <v/>
      </c>
      <c r="D512" s="51" t="str">
        <f>IFERROR(VLOOKUP(B512,منتجات!$A$3:$C$350,3,0),"")</f>
        <v/>
      </c>
      <c r="E512" s="51"/>
      <c r="F512" s="51" t="str">
        <f>IFERROR(INDEX(منتجات!$G$3:$G$114,MATCH(B512,منتجات!$A$3:$A$115,0)),"")</f>
        <v/>
      </c>
      <c r="G512" s="51" t="str">
        <f t="shared" si="9"/>
        <v/>
      </c>
      <c r="H512" s="53"/>
    </row>
    <row r="513" spans="1:8" x14ac:dyDescent="0.35">
      <c r="A513" s="49"/>
      <c r="B513" s="49"/>
      <c r="C513" s="51" t="str">
        <f>IFERROR(VLOOKUP(B513,منتجات!$A$3:$C$350,2,0),"")</f>
        <v/>
      </c>
      <c r="D513" s="49" t="str">
        <f>IFERROR(VLOOKUP(B513,منتجات!$A$3:$C$350,3,0),"")</f>
        <v/>
      </c>
      <c r="E513" s="49"/>
      <c r="F513" s="49" t="str">
        <f>IFERROR(INDEX(منتجات!$G$3:$G$114,MATCH(B513,منتجات!$A$3:$A$115,0)),"")</f>
        <v/>
      </c>
      <c r="G513" s="51" t="str">
        <f t="shared" si="9"/>
        <v/>
      </c>
      <c r="H513" s="54"/>
    </row>
    <row r="514" spans="1:8" x14ac:dyDescent="0.35">
      <c r="A514" s="51"/>
      <c r="B514" s="51"/>
      <c r="C514" s="51" t="str">
        <f>IFERROR(VLOOKUP(B514,منتجات!$A$3:$C$350,2,0),"")</f>
        <v/>
      </c>
      <c r="D514" s="51" t="str">
        <f>IFERROR(VLOOKUP(B514,منتجات!$A$3:$C$350,3,0),"")</f>
        <v/>
      </c>
      <c r="E514" s="51"/>
      <c r="F514" s="51" t="str">
        <f>IFERROR(INDEX(منتجات!$G$3:$G$114,MATCH(B514,منتجات!$A$3:$A$115,0)),"")</f>
        <v/>
      </c>
      <c r="G514" s="51" t="str">
        <f t="shared" si="9"/>
        <v/>
      </c>
      <c r="H514" s="53"/>
    </row>
    <row r="515" spans="1:8" x14ac:dyDescent="0.35">
      <c r="A515" s="49"/>
      <c r="B515" s="49"/>
      <c r="C515" s="51" t="str">
        <f>IFERROR(VLOOKUP(B515,منتجات!$A$3:$C$350,2,0),"")</f>
        <v/>
      </c>
      <c r="D515" s="49" t="str">
        <f>IFERROR(VLOOKUP(B515,منتجات!$A$3:$C$350,3,0),"")</f>
        <v/>
      </c>
      <c r="E515" s="49"/>
      <c r="F515" s="49" t="str">
        <f>IFERROR(INDEX(منتجات!$G$3:$G$114,MATCH(B515,منتجات!$A$3:$A$115,0)),"")</f>
        <v/>
      </c>
      <c r="G515" s="51" t="str">
        <f t="shared" si="9"/>
        <v/>
      </c>
      <c r="H515" s="54"/>
    </row>
    <row r="516" spans="1:8" x14ac:dyDescent="0.35">
      <c r="A516" s="51"/>
      <c r="B516" s="51"/>
      <c r="C516" s="51" t="str">
        <f>IFERROR(VLOOKUP(B516,منتجات!$A$3:$C$350,2,0),"")</f>
        <v/>
      </c>
      <c r="D516" s="51" t="str">
        <f>IFERROR(VLOOKUP(B516,منتجات!$A$3:$C$350,3,0),"")</f>
        <v/>
      </c>
      <c r="E516" s="51"/>
      <c r="F516" s="51" t="str">
        <f>IFERROR(INDEX(منتجات!$G$3:$G$114,MATCH(B516,منتجات!$A$3:$A$115,0)),"")</f>
        <v/>
      </c>
      <c r="G516" s="51" t="str">
        <f t="shared" si="9"/>
        <v/>
      </c>
      <c r="H516" s="53"/>
    </row>
    <row r="517" spans="1:8" x14ac:dyDescent="0.35">
      <c r="A517" s="49"/>
      <c r="B517" s="49"/>
      <c r="C517" s="51" t="str">
        <f>IFERROR(VLOOKUP(B517,منتجات!$A$3:$C$350,2,0),"")</f>
        <v/>
      </c>
      <c r="D517" s="49" t="str">
        <f>IFERROR(VLOOKUP(B517,منتجات!$A$3:$C$350,3,0),"")</f>
        <v/>
      </c>
      <c r="E517" s="49"/>
      <c r="F517" s="49" t="str">
        <f>IFERROR(INDEX(منتجات!$G$3:$G$114,MATCH(B517,منتجات!$A$3:$A$115,0)),"")</f>
        <v/>
      </c>
      <c r="G517" s="51" t="str">
        <f t="shared" si="9"/>
        <v/>
      </c>
      <c r="H517" s="54"/>
    </row>
    <row r="518" spans="1:8" x14ac:dyDescent="0.35">
      <c r="A518" s="51"/>
      <c r="B518" s="51"/>
      <c r="C518" s="51" t="str">
        <f>IFERROR(VLOOKUP(B518,منتجات!$A$3:$C$350,2,0),"")</f>
        <v/>
      </c>
      <c r="D518" s="51" t="str">
        <f>IFERROR(VLOOKUP(B518,منتجات!$A$3:$C$350,3,0),"")</f>
        <v/>
      </c>
      <c r="E518" s="51"/>
      <c r="F518" s="51" t="str">
        <f>IFERROR(INDEX(منتجات!$G$3:$G$114,MATCH(B518,منتجات!$A$3:$A$115,0)),"")</f>
        <v/>
      </c>
      <c r="G518" s="51" t="str">
        <f t="shared" si="9"/>
        <v/>
      </c>
      <c r="H518" s="53"/>
    </row>
    <row r="519" spans="1:8" x14ac:dyDescent="0.35">
      <c r="A519" s="49"/>
      <c r="B519" s="49"/>
      <c r="C519" s="51" t="str">
        <f>IFERROR(VLOOKUP(B519,منتجات!$A$3:$C$350,2,0),"")</f>
        <v/>
      </c>
      <c r="D519" s="49" t="str">
        <f>IFERROR(VLOOKUP(B519,منتجات!$A$3:$C$350,3,0),"")</f>
        <v/>
      </c>
      <c r="E519" s="49"/>
      <c r="F519" s="49" t="str">
        <f>IFERROR(INDEX(منتجات!$G$3:$G$114,MATCH(B519,منتجات!$A$3:$A$115,0)),"")</f>
        <v/>
      </c>
      <c r="G519" s="51" t="str">
        <f t="shared" si="9"/>
        <v/>
      </c>
      <c r="H519" s="54"/>
    </row>
    <row r="520" spans="1:8" x14ac:dyDescent="0.35">
      <c r="A520" s="51"/>
      <c r="B520" s="51"/>
      <c r="C520" s="51" t="str">
        <f>IFERROR(VLOOKUP(B520,منتجات!$A$3:$C$350,2,0),"")</f>
        <v/>
      </c>
      <c r="D520" s="51" t="str">
        <f>IFERROR(VLOOKUP(B520,منتجات!$A$3:$C$350,3,0),"")</f>
        <v/>
      </c>
      <c r="E520" s="51"/>
      <c r="F520" s="51" t="str">
        <f>IFERROR(INDEX(منتجات!$G$3:$G$114,MATCH(B520,منتجات!$A$3:$A$115,0)),"")</f>
        <v/>
      </c>
      <c r="G520" s="51" t="str">
        <f t="shared" si="9"/>
        <v/>
      </c>
      <c r="H520" s="53"/>
    </row>
    <row r="521" spans="1:8" x14ac:dyDescent="0.35">
      <c r="A521" s="49"/>
      <c r="B521" s="49"/>
      <c r="C521" s="51" t="str">
        <f>IFERROR(VLOOKUP(B521,منتجات!$A$3:$C$350,2,0),"")</f>
        <v/>
      </c>
      <c r="D521" s="49" t="str">
        <f>IFERROR(VLOOKUP(B521,منتجات!$A$3:$C$350,3,0),"")</f>
        <v/>
      </c>
      <c r="E521" s="49"/>
      <c r="F521" s="49" t="str">
        <f>IFERROR(INDEX(منتجات!$G$3:$G$114,MATCH(B521,منتجات!$A$3:$A$115,0)),"")</f>
        <v/>
      </c>
      <c r="G521" s="51" t="str">
        <f t="shared" si="9"/>
        <v/>
      </c>
      <c r="H521" s="54"/>
    </row>
    <row r="522" spans="1:8" x14ac:dyDescent="0.35">
      <c r="A522" s="51"/>
      <c r="B522" s="51"/>
      <c r="C522" s="51" t="str">
        <f>IFERROR(VLOOKUP(B522,منتجات!$A$3:$C$350,2,0),"")</f>
        <v/>
      </c>
      <c r="D522" s="51" t="str">
        <f>IFERROR(VLOOKUP(B522,منتجات!$A$3:$C$350,3,0),"")</f>
        <v/>
      </c>
      <c r="E522" s="51"/>
      <c r="F522" s="51" t="str">
        <f>IFERROR(INDEX(منتجات!$G$3:$G$114,MATCH(B522,منتجات!$A$3:$A$115,0)),"")</f>
        <v/>
      </c>
      <c r="G522" s="51" t="str">
        <f t="shared" si="9"/>
        <v/>
      </c>
      <c r="H522" s="53"/>
    </row>
    <row r="523" spans="1:8" x14ac:dyDescent="0.35">
      <c r="A523" s="49"/>
      <c r="B523" s="49"/>
      <c r="C523" s="51" t="str">
        <f>IFERROR(VLOOKUP(B523,منتجات!$A$3:$C$350,2,0),"")</f>
        <v/>
      </c>
      <c r="D523" s="49" t="str">
        <f>IFERROR(VLOOKUP(B523,منتجات!$A$3:$C$350,3,0),"")</f>
        <v/>
      </c>
      <c r="E523" s="49"/>
      <c r="F523" s="49" t="str">
        <f>IFERROR(INDEX(منتجات!$G$3:$G$114,MATCH(B523,منتجات!$A$3:$A$115,0)),"")</f>
        <v/>
      </c>
      <c r="G523" s="51" t="str">
        <f t="shared" si="9"/>
        <v/>
      </c>
      <c r="H523" s="54"/>
    </row>
    <row r="524" spans="1:8" x14ac:dyDescent="0.35">
      <c r="A524" s="51"/>
      <c r="B524" s="51"/>
      <c r="C524" s="51" t="str">
        <f>IFERROR(VLOOKUP(B524,منتجات!$A$3:$C$350,2,0),"")</f>
        <v/>
      </c>
      <c r="D524" s="51" t="str">
        <f>IFERROR(VLOOKUP(B524,منتجات!$A$3:$C$350,3,0),"")</f>
        <v/>
      </c>
      <c r="E524" s="51"/>
      <c r="F524" s="51" t="str">
        <f>IFERROR(INDEX(منتجات!$G$3:$G$114,MATCH(B524,منتجات!$A$3:$A$115,0)),"")</f>
        <v/>
      </c>
      <c r="G524" s="51" t="str">
        <f t="shared" si="9"/>
        <v/>
      </c>
      <c r="H524" s="53"/>
    </row>
    <row r="525" spans="1:8" x14ac:dyDescent="0.35">
      <c r="A525" s="49"/>
      <c r="B525" s="49"/>
      <c r="C525" s="51" t="str">
        <f>IFERROR(VLOOKUP(B525,منتجات!$A$3:$C$350,2,0),"")</f>
        <v/>
      </c>
      <c r="D525" s="49" t="str">
        <f>IFERROR(VLOOKUP(B525,منتجات!$A$3:$C$350,3,0),"")</f>
        <v/>
      </c>
      <c r="E525" s="49"/>
      <c r="F525" s="49" t="str">
        <f>IFERROR(INDEX(منتجات!$G$3:$G$114,MATCH(B525,منتجات!$A$3:$A$115,0)),"")</f>
        <v/>
      </c>
      <c r="G525" s="51" t="str">
        <f t="shared" si="9"/>
        <v/>
      </c>
      <c r="H525" s="54"/>
    </row>
    <row r="526" spans="1:8" x14ac:dyDescent="0.35">
      <c r="A526" s="51"/>
      <c r="B526" s="51"/>
      <c r="C526" s="51" t="str">
        <f>IFERROR(VLOOKUP(B526,منتجات!$A$3:$C$350,2,0),"")</f>
        <v/>
      </c>
      <c r="D526" s="51" t="str">
        <f>IFERROR(VLOOKUP(B526,منتجات!$A$3:$C$350,3,0),"")</f>
        <v/>
      </c>
      <c r="E526" s="51"/>
      <c r="F526" s="51" t="str">
        <f>IFERROR(INDEX(منتجات!$G$3:$G$114,MATCH(B526,منتجات!$A$3:$A$115,0)),"")</f>
        <v/>
      </c>
      <c r="G526" s="51" t="str">
        <f t="shared" ref="G526:G589" si="10">IFERROR(E526*F526*D526,"")</f>
        <v/>
      </c>
      <c r="H526" s="53"/>
    </row>
    <row r="527" spans="1:8" x14ac:dyDescent="0.35">
      <c r="A527" s="49"/>
      <c r="B527" s="49"/>
      <c r="C527" s="51" t="str">
        <f>IFERROR(VLOOKUP(B527,منتجات!$A$3:$C$350,2,0),"")</f>
        <v/>
      </c>
      <c r="D527" s="49" t="str">
        <f>IFERROR(VLOOKUP(B527,منتجات!$A$3:$C$350,3,0),"")</f>
        <v/>
      </c>
      <c r="E527" s="49"/>
      <c r="F527" s="49" t="str">
        <f>IFERROR(INDEX(منتجات!$G$3:$G$114,MATCH(B527,منتجات!$A$3:$A$115,0)),"")</f>
        <v/>
      </c>
      <c r="G527" s="51" t="str">
        <f t="shared" si="10"/>
        <v/>
      </c>
      <c r="H527" s="54"/>
    </row>
    <row r="528" spans="1:8" x14ac:dyDescent="0.35">
      <c r="A528" s="51"/>
      <c r="B528" s="51"/>
      <c r="C528" s="51" t="str">
        <f>IFERROR(VLOOKUP(B528,منتجات!$A$3:$C$350,2,0),"")</f>
        <v/>
      </c>
      <c r="D528" s="51" t="str">
        <f>IFERROR(VLOOKUP(B528,منتجات!$A$3:$C$350,3,0),"")</f>
        <v/>
      </c>
      <c r="E528" s="51"/>
      <c r="F528" s="51" t="str">
        <f>IFERROR(INDEX(منتجات!$G$3:$G$114,MATCH(B528,منتجات!$A$3:$A$115,0)),"")</f>
        <v/>
      </c>
      <c r="G528" s="51" t="str">
        <f t="shared" si="10"/>
        <v/>
      </c>
      <c r="H528" s="53"/>
    </row>
    <row r="529" spans="1:8" x14ac:dyDescent="0.35">
      <c r="A529" s="49"/>
      <c r="B529" s="49"/>
      <c r="C529" s="51" t="str">
        <f>IFERROR(VLOOKUP(B529,منتجات!$A$3:$C$350,2,0),"")</f>
        <v/>
      </c>
      <c r="D529" s="49" t="str">
        <f>IFERROR(VLOOKUP(B529,منتجات!$A$3:$C$350,3,0),"")</f>
        <v/>
      </c>
      <c r="E529" s="49"/>
      <c r="F529" s="49" t="str">
        <f>IFERROR(INDEX(منتجات!$G$3:$G$114,MATCH(B529,منتجات!$A$3:$A$115,0)),"")</f>
        <v/>
      </c>
      <c r="G529" s="51" t="str">
        <f t="shared" si="10"/>
        <v/>
      </c>
      <c r="H529" s="54"/>
    </row>
    <row r="530" spans="1:8" x14ac:dyDescent="0.35">
      <c r="A530" s="51"/>
      <c r="B530" s="51"/>
      <c r="C530" s="51" t="str">
        <f>IFERROR(VLOOKUP(B530,منتجات!$A$3:$C$350,2,0),"")</f>
        <v/>
      </c>
      <c r="D530" s="51" t="str">
        <f>IFERROR(VLOOKUP(B530,منتجات!$A$3:$C$350,3,0),"")</f>
        <v/>
      </c>
      <c r="E530" s="51"/>
      <c r="F530" s="51" t="str">
        <f>IFERROR(INDEX(منتجات!$G$3:$G$114,MATCH(B530,منتجات!$A$3:$A$115,0)),"")</f>
        <v/>
      </c>
      <c r="G530" s="51" t="str">
        <f t="shared" si="10"/>
        <v/>
      </c>
      <c r="H530" s="53"/>
    </row>
    <row r="531" spans="1:8" x14ac:dyDescent="0.35">
      <c r="A531" s="49"/>
      <c r="B531" s="49"/>
      <c r="C531" s="51" t="str">
        <f>IFERROR(VLOOKUP(B531,منتجات!$A$3:$C$350,2,0),"")</f>
        <v/>
      </c>
      <c r="D531" s="49" t="str">
        <f>IFERROR(VLOOKUP(B531,منتجات!$A$3:$C$350,3,0),"")</f>
        <v/>
      </c>
      <c r="E531" s="49"/>
      <c r="F531" s="49" t="str">
        <f>IFERROR(INDEX(منتجات!$G$3:$G$114,MATCH(B531,منتجات!$A$3:$A$115,0)),"")</f>
        <v/>
      </c>
      <c r="G531" s="51" t="str">
        <f t="shared" si="10"/>
        <v/>
      </c>
      <c r="H531" s="54"/>
    </row>
    <row r="532" spans="1:8" x14ac:dyDescent="0.35">
      <c r="A532" s="51"/>
      <c r="B532" s="51"/>
      <c r="C532" s="51" t="str">
        <f>IFERROR(VLOOKUP(B532,منتجات!$A$3:$C$350,2,0),"")</f>
        <v/>
      </c>
      <c r="D532" s="51" t="str">
        <f>IFERROR(VLOOKUP(B532,منتجات!$A$3:$C$350,3,0),"")</f>
        <v/>
      </c>
      <c r="E532" s="51"/>
      <c r="F532" s="51" t="str">
        <f>IFERROR(INDEX(منتجات!$G$3:$G$114,MATCH(B532,منتجات!$A$3:$A$115,0)),"")</f>
        <v/>
      </c>
      <c r="G532" s="51" t="str">
        <f t="shared" si="10"/>
        <v/>
      </c>
      <c r="H532" s="53"/>
    </row>
    <row r="533" spans="1:8" x14ac:dyDescent="0.35">
      <c r="A533" s="49"/>
      <c r="B533" s="49"/>
      <c r="C533" s="51" t="str">
        <f>IFERROR(VLOOKUP(B533,منتجات!$A$3:$C$350,2,0),"")</f>
        <v/>
      </c>
      <c r="D533" s="49" t="str">
        <f>IFERROR(VLOOKUP(B533,منتجات!$A$3:$C$350,3,0),"")</f>
        <v/>
      </c>
      <c r="E533" s="49"/>
      <c r="F533" s="49" t="str">
        <f>IFERROR(INDEX(منتجات!$G$3:$G$114,MATCH(B533,منتجات!$A$3:$A$115,0)),"")</f>
        <v/>
      </c>
      <c r="G533" s="51" t="str">
        <f t="shared" si="10"/>
        <v/>
      </c>
      <c r="H533" s="54"/>
    </row>
    <row r="534" spans="1:8" x14ac:dyDescent="0.35">
      <c r="A534" s="51"/>
      <c r="B534" s="51"/>
      <c r="C534" s="51" t="str">
        <f>IFERROR(VLOOKUP(B534,منتجات!$A$3:$C$350,2,0),"")</f>
        <v/>
      </c>
      <c r="D534" s="51" t="str">
        <f>IFERROR(VLOOKUP(B534,منتجات!$A$3:$C$350,3,0),"")</f>
        <v/>
      </c>
      <c r="E534" s="51"/>
      <c r="F534" s="51" t="str">
        <f>IFERROR(INDEX(منتجات!$G$3:$G$114,MATCH(B534,منتجات!$A$3:$A$115,0)),"")</f>
        <v/>
      </c>
      <c r="G534" s="51" t="str">
        <f t="shared" si="10"/>
        <v/>
      </c>
      <c r="H534" s="53"/>
    </row>
    <row r="535" spans="1:8" x14ac:dyDescent="0.35">
      <c r="A535" s="49"/>
      <c r="B535" s="49"/>
      <c r="C535" s="51" t="str">
        <f>IFERROR(VLOOKUP(B535,منتجات!$A$3:$C$350,2,0),"")</f>
        <v/>
      </c>
      <c r="D535" s="49" t="str">
        <f>IFERROR(VLOOKUP(B535,منتجات!$A$3:$C$350,3,0),"")</f>
        <v/>
      </c>
      <c r="E535" s="49"/>
      <c r="F535" s="49" t="str">
        <f>IFERROR(INDEX(منتجات!$G$3:$G$114,MATCH(B535,منتجات!$A$3:$A$115,0)),"")</f>
        <v/>
      </c>
      <c r="G535" s="51" t="str">
        <f t="shared" si="10"/>
        <v/>
      </c>
      <c r="H535" s="54"/>
    </row>
    <row r="536" spans="1:8" x14ac:dyDescent="0.35">
      <c r="A536" s="51"/>
      <c r="B536" s="51"/>
      <c r="C536" s="51" t="str">
        <f>IFERROR(VLOOKUP(B536,منتجات!$A$3:$C$350,2,0),"")</f>
        <v/>
      </c>
      <c r="D536" s="51" t="str">
        <f>IFERROR(VLOOKUP(B536,منتجات!$A$3:$C$350,3,0),"")</f>
        <v/>
      </c>
      <c r="E536" s="51"/>
      <c r="F536" s="51" t="str">
        <f>IFERROR(INDEX(منتجات!$G$3:$G$114,MATCH(B536,منتجات!$A$3:$A$115,0)),"")</f>
        <v/>
      </c>
      <c r="G536" s="51" t="str">
        <f t="shared" si="10"/>
        <v/>
      </c>
      <c r="H536" s="53"/>
    </row>
    <row r="537" spans="1:8" x14ac:dyDescent="0.35">
      <c r="A537" s="49"/>
      <c r="B537" s="49"/>
      <c r="C537" s="51" t="str">
        <f>IFERROR(VLOOKUP(B537,منتجات!$A$3:$C$350,2,0),"")</f>
        <v/>
      </c>
      <c r="D537" s="49" t="str">
        <f>IFERROR(VLOOKUP(B537,منتجات!$A$3:$C$350,3,0),"")</f>
        <v/>
      </c>
      <c r="E537" s="49"/>
      <c r="F537" s="49" t="str">
        <f>IFERROR(INDEX(منتجات!$G$3:$G$114,MATCH(B537,منتجات!$A$3:$A$115,0)),"")</f>
        <v/>
      </c>
      <c r="G537" s="51" t="str">
        <f t="shared" si="10"/>
        <v/>
      </c>
      <c r="H537" s="54"/>
    </row>
    <row r="538" spans="1:8" x14ac:dyDescent="0.35">
      <c r="A538" s="51"/>
      <c r="B538" s="51"/>
      <c r="C538" s="51" t="str">
        <f>IFERROR(VLOOKUP(B538,منتجات!$A$3:$C$350,2,0),"")</f>
        <v/>
      </c>
      <c r="D538" s="51" t="str">
        <f>IFERROR(VLOOKUP(B538,منتجات!$A$3:$C$350,3,0),"")</f>
        <v/>
      </c>
      <c r="E538" s="51"/>
      <c r="F538" s="51" t="str">
        <f>IFERROR(INDEX(منتجات!$G$3:$G$114,MATCH(B538,منتجات!$A$3:$A$115,0)),"")</f>
        <v/>
      </c>
      <c r="G538" s="51" t="str">
        <f t="shared" si="10"/>
        <v/>
      </c>
      <c r="H538" s="53"/>
    </row>
    <row r="539" spans="1:8" x14ac:dyDescent="0.35">
      <c r="A539" s="49"/>
      <c r="B539" s="49"/>
      <c r="C539" s="51" t="str">
        <f>IFERROR(VLOOKUP(B539,منتجات!$A$3:$C$350,2,0),"")</f>
        <v/>
      </c>
      <c r="D539" s="49" t="str">
        <f>IFERROR(VLOOKUP(B539,منتجات!$A$3:$C$350,3,0),"")</f>
        <v/>
      </c>
      <c r="E539" s="49"/>
      <c r="F539" s="49" t="str">
        <f>IFERROR(INDEX(منتجات!$G$3:$G$114,MATCH(B539,منتجات!$A$3:$A$115,0)),"")</f>
        <v/>
      </c>
      <c r="G539" s="51" t="str">
        <f t="shared" si="10"/>
        <v/>
      </c>
      <c r="H539" s="54"/>
    </row>
    <row r="540" spans="1:8" x14ac:dyDescent="0.35">
      <c r="A540" s="51"/>
      <c r="B540" s="51"/>
      <c r="C540" s="51" t="str">
        <f>IFERROR(VLOOKUP(B540,منتجات!$A$3:$C$350,2,0),"")</f>
        <v/>
      </c>
      <c r="D540" s="51" t="str">
        <f>IFERROR(VLOOKUP(B540,منتجات!$A$3:$C$350,3,0),"")</f>
        <v/>
      </c>
      <c r="E540" s="51"/>
      <c r="F540" s="51" t="str">
        <f>IFERROR(INDEX(منتجات!$G$3:$G$114,MATCH(B540,منتجات!$A$3:$A$115,0)),"")</f>
        <v/>
      </c>
      <c r="G540" s="51" t="str">
        <f t="shared" si="10"/>
        <v/>
      </c>
      <c r="H540" s="53"/>
    </row>
    <row r="541" spans="1:8" x14ac:dyDescent="0.35">
      <c r="A541" s="49"/>
      <c r="B541" s="49"/>
      <c r="C541" s="51" t="str">
        <f>IFERROR(VLOOKUP(B541,منتجات!$A$3:$C$350,2,0),"")</f>
        <v/>
      </c>
      <c r="D541" s="49" t="str">
        <f>IFERROR(VLOOKUP(B541,منتجات!$A$3:$C$350,3,0),"")</f>
        <v/>
      </c>
      <c r="E541" s="49"/>
      <c r="F541" s="49" t="str">
        <f>IFERROR(INDEX(منتجات!$G$3:$G$114,MATCH(B541,منتجات!$A$3:$A$115,0)),"")</f>
        <v/>
      </c>
      <c r="G541" s="51" t="str">
        <f t="shared" si="10"/>
        <v/>
      </c>
      <c r="H541" s="54"/>
    </row>
    <row r="542" spans="1:8" x14ac:dyDescent="0.35">
      <c r="A542" s="51"/>
      <c r="B542" s="51"/>
      <c r="C542" s="51" t="str">
        <f>IFERROR(VLOOKUP(B542,منتجات!$A$3:$C$350,2,0),"")</f>
        <v/>
      </c>
      <c r="D542" s="51" t="str">
        <f>IFERROR(VLOOKUP(B542,منتجات!$A$3:$C$350,3,0),"")</f>
        <v/>
      </c>
      <c r="E542" s="51"/>
      <c r="F542" s="51" t="str">
        <f>IFERROR(INDEX(منتجات!$G$3:$G$114,MATCH(B542,منتجات!$A$3:$A$115,0)),"")</f>
        <v/>
      </c>
      <c r="G542" s="51" t="str">
        <f t="shared" si="10"/>
        <v/>
      </c>
      <c r="H542" s="53"/>
    </row>
    <row r="543" spans="1:8" x14ac:dyDescent="0.35">
      <c r="A543" s="49"/>
      <c r="B543" s="49"/>
      <c r="C543" s="51" t="str">
        <f>IFERROR(VLOOKUP(B543,منتجات!$A$3:$C$350,2,0),"")</f>
        <v/>
      </c>
      <c r="D543" s="49" t="str">
        <f>IFERROR(VLOOKUP(B543,منتجات!$A$3:$C$350,3,0),"")</f>
        <v/>
      </c>
      <c r="E543" s="49"/>
      <c r="F543" s="49" t="str">
        <f>IFERROR(INDEX(منتجات!$G$3:$G$114,MATCH(B543,منتجات!$A$3:$A$115,0)),"")</f>
        <v/>
      </c>
      <c r="G543" s="51" t="str">
        <f t="shared" si="10"/>
        <v/>
      </c>
      <c r="H543" s="54"/>
    </row>
    <row r="544" spans="1:8" x14ac:dyDescent="0.35">
      <c r="A544" s="51"/>
      <c r="B544" s="51"/>
      <c r="C544" s="51" t="str">
        <f>IFERROR(VLOOKUP(B544,منتجات!$A$3:$C$350,2,0),"")</f>
        <v/>
      </c>
      <c r="D544" s="51" t="str">
        <f>IFERROR(VLOOKUP(B544,منتجات!$A$3:$C$350,3,0),"")</f>
        <v/>
      </c>
      <c r="E544" s="51"/>
      <c r="F544" s="51" t="str">
        <f>IFERROR(INDEX(منتجات!$G$3:$G$114,MATCH(B544,منتجات!$A$3:$A$115,0)),"")</f>
        <v/>
      </c>
      <c r="G544" s="51" t="str">
        <f t="shared" si="10"/>
        <v/>
      </c>
      <c r="H544" s="53"/>
    </row>
    <row r="545" spans="1:8" x14ac:dyDescent="0.35">
      <c r="A545" s="49"/>
      <c r="B545" s="49"/>
      <c r="C545" s="51" t="str">
        <f>IFERROR(VLOOKUP(B545,منتجات!$A$3:$C$350,2,0),"")</f>
        <v/>
      </c>
      <c r="D545" s="49" t="str">
        <f>IFERROR(VLOOKUP(B545,منتجات!$A$3:$C$350,3,0),"")</f>
        <v/>
      </c>
      <c r="E545" s="49"/>
      <c r="F545" s="49" t="str">
        <f>IFERROR(INDEX(منتجات!$G$3:$G$114,MATCH(B545,منتجات!$A$3:$A$115,0)),"")</f>
        <v/>
      </c>
      <c r="G545" s="51" t="str">
        <f t="shared" si="10"/>
        <v/>
      </c>
      <c r="H545" s="54"/>
    </row>
    <row r="546" spans="1:8" x14ac:dyDescent="0.35">
      <c r="A546" s="51"/>
      <c r="B546" s="51"/>
      <c r="C546" s="51" t="str">
        <f>IFERROR(VLOOKUP(B546,منتجات!$A$3:$C$350,2,0),"")</f>
        <v/>
      </c>
      <c r="D546" s="51" t="str">
        <f>IFERROR(VLOOKUP(B546,منتجات!$A$3:$C$350,3,0),"")</f>
        <v/>
      </c>
      <c r="E546" s="51"/>
      <c r="F546" s="51" t="str">
        <f>IFERROR(INDEX(منتجات!$G$3:$G$114,MATCH(B546,منتجات!$A$3:$A$115,0)),"")</f>
        <v/>
      </c>
      <c r="G546" s="51" t="str">
        <f t="shared" si="10"/>
        <v/>
      </c>
      <c r="H546" s="53"/>
    </row>
    <row r="547" spans="1:8" x14ac:dyDescent="0.35">
      <c r="A547" s="49"/>
      <c r="B547" s="49"/>
      <c r="C547" s="51" t="str">
        <f>IFERROR(VLOOKUP(B547,منتجات!$A$3:$C$350,2,0),"")</f>
        <v/>
      </c>
      <c r="D547" s="49" t="str">
        <f>IFERROR(VLOOKUP(B547,منتجات!$A$3:$C$350,3,0),"")</f>
        <v/>
      </c>
      <c r="E547" s="49"/>
      <c r="F547" s="49" t="str">
        <f>IFERROR(INDEX(منتجات!$G$3:$G$114,MATCH(B547,منتجات!$A$3:$A$115,0)),"")</f>
        <v/>
      </c>
      <c r="G547" s="51" t="str">
        <f t="shared" si="10"/>
        <v/>
      </c>
      <c r="H547" s="54"/>
    </row>
    <row r="548" spans="1:8" x14ac:dyDescent="0.35">
      <c r="A548" s="51"/>
      <c r="B548" s="51"/>
      <c r="C548" s="51" t="str">
        <f>IFERROR(VLOOKUP(B548,منتجات!$A$3:$C$350,2,0),"")</f>
        <v/>
      </c>
      <c r="D548" s="51" t="str">
        <f>IFERROR(VLOOKUP(B548,منتجات!$A$3:$C$350,3,0),"")</f>
        <v/>
      </c>
      <c r="E548" s="51"/>
      <c r="F548" s="51" t="str">
        <f>IFERROR(INDEX(منتجات!$G$3:$G$114,MATCH(B548,منتجات!$A$3:$A$115,0)),"")</f>
        <v/>
      </c>
      <c r="G548" s="51" t="str">
        <f t="shared" si="10"/>
        <v/>
      </c>
      <c r="H548" s="53"/>
    </row>
    <row r="549" spans="1:8" x14ac:dyDescent="0.35">
      <c r="A549" s="49"/>
      <c r="B549" s="49"/>
      <c r="C549" s="51" t="str">
        <f>IFERROR(VLOOKUP(B549,منتجات!$A$3:$C$350,2,0),"")</f>
        <v/>
      </c>
      <c r="D549" s="49" t="str">
        <f>IFERROR(VLOOKUP(B549,منتجات!$A$3:$C$350,3,0),"")</f>
        <v/>
      </c>
      <c r="E549" s="49"/>
      <c r="F549" s="49" t="str">
        <f>IFERROR(INDEX(منتجات!$G$3:$G$114,MATCH(B549,منتجات!$A$3:$A$115,0)),"")</f>
        <v/>
      </c>
      <c r="G549" s="51" t="str">
        <f t="shared" si="10"/>
        <v/>
      </c>
      <c r="H549" s="54"/>
    </row>
    <row r="550" spans="1:8" x14ac:dyDescent="0.35">
      <c r="A550" s="51"/>
      <c r="B550" s="51"/>
      <c r="C550" s="51" t="str">
        <f>IFERROR(VLOOKUP(B550,منتجات!$A$3:$C$350,2,0),"")</f>
        <v/>
      </c>
      <c r="D550" s="51" t="str">
        <f>IFERROR(VLOOKUP(B550,منتجات!$A$3:$C$350,3,0),"")</f>
        <v/>
      </c>
      <c r="E550" s="51"/>
      <c r="F550" s="51" t="str">
        <f>IFERROR(INDEX(منتجات!$G$3:$G$114,MATCH(B550,منتجات!$A$3:$A$115,0)),"")</f>
        <v/>
      </c>
      <c r="G550" s="51" t="str">
        <f t="shared" si="10"/>
        <v/>
      </c>
      <c r="H550" s="53"/>
    </row>
    <row r="551" spans="1:8" x14ac:dyDescent="0.35">
      <c r="A551" s="49"/>
      <c r="B551" s="49"/>
      <c r="C551" s="51" t="str">
        <f>IFERROR(VLOOKUP(B551,منتجات!$A$3:$C$350,2,0),"")</f>
        <v/>
      </c>
      <c r="D551" s="49" t="str">
        <f>IFERROR(VLOOKUP(B551,منتجات!$A$3:$C$350,3,0),"")</f>
        <v/>
      </c>
      <c r="E551" s="49"/>
      <c r="F551" s="49" t="str">
        <f>IFERROR(INDEX(منتجات!$G$3:$G$114,MATCH(B551,منتجات!$A$3:$A$115,0)),"")</f>
        <v/>
      </c>
      <c r="G551" s="51" t="str">
        <f t="shared" si="10"/>
        <v/>
      </c>
      <c r="H551" s="54"/>
    </row>
    <row r="552" spans="1:8" x14ac:dyDescent="0.35">
      <c r="A552" s="51"/>
      <c r="B552" s="51"/>
      <c r="C552" s="51" t="str">
        <f>IFERROR(VLOOKUP(B552,منتجات!$A$3:$C$350,2,0),"")</f>
        <v/>
      </c>
      <c r="D552" s="51" t="str">
        <f>IFERROR(VLOOKUP(B552,منتجات!$A$3:$C$350,3,0),"")</f>
        <v/>
      </c>
      <c r="E552" s="51"/>
      <c r="F552" s="51" t="str">
        <f>IFERROR(INDEX(منتجات!$G$3:$G$114,MATCH(B552,منتجات!$A$3:$A$115,0)),"")</f>
        <v/>
      </c>
      <c r="G552" s="51" t="str">
        <f t="shared" si="10"/>
        <v/>
      </c>
      <c r="H552" s="53"/>
    </row>
    <row r="553" spans="1:8" x14ac:dyDescent="0.35">
      <c r="A553" s="49"/>
      <c r="B553" s="49"/>
      <c r="C553" s="51" t="str">
        <f>IFERROR(VLOOKUP(B553,منتجات!$A$3:$C$350,2,0),"")</f>
        <v/>
      </c>
      <c r="D553" s="49" t="str">
        <f>IFERROR(VLOOKUP(B553,منتجات!$A$3:$C$350,3,0),"")</f>
        <v/>
      </c>
      <c r="E553" s="49"/>
      <c r="F553" s="49" t="str">
        <f>IFERROR(INDEX(منتجات!$G$3:$G$114,MATCH(B553,منتجات!$A$3:$A$115,0)),"")</f>
        <v/>
      </c>
      <c r="G553" s="51" t="str">
        <f t="shared" si="10"/>
        <v/>
      </c>
      <c r="H553" s="54"/>
    </row>
    <row r="554" spans="1:8" x14ac:dyDescent="0.35">
      <c r="A554" s="51"/>
      <c r="B554" s="51"/>
      <c r="C554" s="51" t="str">
        <f>IFERROR(VLOOKUP(B554,منتجات!$A$3:$C$350,2,0),"")</f>
        <v/>
      </c>
      <c r="D554" s="51" t="str">
        <f>IFERROR(VLOOKUP(B554,منتجات!$A$3:$C$350,3,0),"")</f>
        <v/>
      </c>
      <c r="E554" s="51"/>
      <c r="F554" s="51" t="str">
        <f>IFERROR(INDEX(منتجات!$G$3:$G$114,MATCH(B554,منتجات!$A$3:$A$115,0)),"")</f>
        <v/>
      </c>
      <c r="G554" s="51" t="str">
        <f t="shared" si="10"/>
        <v/>
      </c>
      <c r="H554" s="53"/>
    </row>
    <row r="555" spans="1:8" x14ac:dyDescent="0.35">
      <c r="A555" s="49"/>
      <c r="B555" s="49"/>
      <c r="C555" s="51" t="str">
        <f>IFERROR(VLOOKUP(B555,منتجات!$A$3:$C$350,2,0),"")</f>
        <v/>
      </c>
      <c r="D555" s="49" t="str">
        <f>IFERROR(VLOOKUP(B555,منتجات!$A$3:$C$350,3,0),"")</f>
        <v/>
      </c>
      <c r="E555" s="49"/>
      <c r="F555" s="49" t="str">
        <f>IFERROR(INDEX(منتجات!$G$3:$G$114,MATCH(B555,منتجات!$A$3:$A$115,0)),"")</f>
        <v/>
      </c>
      <c r="G555" s="51" t="str">
        <f t="shared" si="10"/>
        <v/>
      </c>
      <c r="H555" s="54"/>
    </row>
    <row r="556" spans="1:8" x14ac:dyDescent="0.35">
      <c r="A556" s="51"/>
      <c r="B556" s="51"/>
      <c r="C556" s="51" t="str">
        <f>IFERROR(VLOOKUP(B556,منتجات!$A$3:$C$350,2,0),"")</f>
        <v/>
      </c>
      <c r="D556" s="51" t="str">
        <f>IFERROR(VLOOKUP(B556,منتجات!$A$3:$C$350,3,0),"")</f>
        <v/>
      </c>
      <c r="E556" s="51"/>
      <c r="F556" s="51" t="str">
        <f>IFERROR(INDEX(منتجات!$G$3:$G$114,MATCH(B556,منتجات!$A$3:$A$115,0)),"")</f>
        <v/>
      </c>
      <c r="G556" s="51" t="str">
        <f t="shared" si="10"/>
        <v/>
      </c>
      <c r="H556" s="53"/>
    </row>
    <row r="557" spans="1:8" x14ac:dyDescent="0.35">
      <c r="A557" s="49"/>
      <c r="B557" s="49"/>
      <c r="C557" s="51" t="str">
        <f>IFERROR(VLOOKUP(B557,منتجات!$A$3:$C$350,2,0),"")</f>
        <v/>
      </c>
      <c r="D557" s="49" t="str">
        <f>IFERROR(VLOOKUP(B557,منتجات!$A$3:$C$350,3,0),"")</f>
        <v/>
      </c>
      <c r="E557" s="49"/>
      <c r="F557" s="49" t="str">
        <f>IFERROR(INDEX(منتجات!$G$3:$G$114,MATCH(B557,منتجات!$A$3:$A$115,0)),"")</f>
        <v/>
      </c>
      <c r="G557" s="51" t="str">
        <f t="shared" si="10"/>
        <v/>
      </c>
      <c r="H557" s="54"/>
    </row>
    <row r="558" spans="1:8" x14ac:dyDescent="0.35">
      <c r="A558" s="51"/>
      <c r="B558" s="51"/>
      <c r="C558" s="51" t="str">
        <f>IFERROR(VLOOKUP(B558,منتجات!$A$3:$C$350,2,0),"")</f>
        <v/>
      </c>
      <c r="D558" s="51" t="str">
        <f>IFERROR(VLOOKUP(B558,منتجات!$A$3:$C$350,3,0),"")</f>
        <v/>
      </c>
      <c r="E558" s="51"/>
      <c r="F558" s="51" t="str">
        <f>IFERROR(INDEX(منتجات!$G$3:$G$114,MATCH(B558,منتجات!$A$3:$A$115,0)),"")</f>
        <v/>
      </c>
      <c r="G558" s="51" t="str">
        <f t="shared" si="10"/>
        <v/>
      </c>
      <c r="H558" s="53"/>
    </row>
    <row r="559" spans="1:8" x14ac:dyDescent="0.35">
      <c r="A559" s="49"/>
      <c r="B559" s="49"/>
      <c r="C559" s="51" t="str">
        <f>IFERROR(VLOOKUP(B559,منتجات!$A$3:$C$350,2,0),"")</f>
        <v/>
      </c>
      <c r="D559" s="49" t="str">
        <f>IFERROR(VLOOKUP(B559,منتجات!$A$3:$C$350,3,0),"")</f>
        <v/>
      </c>
      <c r="E559" s="49"/>
      <c r="F559" s="49" t="str">
        <f>IFERROR(INDEX(منتجات!$G$3:$G$114,MATCH(B559,منتجات!$A$3:$A$115,0)),"")</f>
        <v/>
      </c>
      <c r="G559" s="51" t="str">
        <f t="shared" si="10"/>
        <v/>
      </c>
      <c r="H559" s="54"/>
    </row>
    <row r="560" spans="1:8" x14ac:dyDescent="0.35">
      <c r="A560" s="51"/>
      <c r="B560" s="51"/>
      <c r="C560" s="51" t="str">
        <f>IFERROR(VLOOKUP(B560,منتجات!$A$3:$C$350,2,0),"")</f>
        <v/>
      </c>
      <c r="D560" s="51" t="str">
        <f>IFERROR(VLOOKUP(B560,منتجات!$A$3:$C$350,3,0),"")</f>
        <v/>
      </c>
      <c r="E560" s="51"/>
      <c r="F560" s="51" t="str">
        <f>IFERROR(INDEX(منتجات!$G$3:$G$114,MATCH(B560,منتجات!$A$3:$A$115,0)),"")</f>
        <v/>
      </c>
      <c r="G560" s="51" t="str">
        <f t="shared" si="10"/>
        <v/>
      </c>
      <c r="H560" s="53"/>
    </row>
    <row r="561" spans="1:8" x14ac:dyDescent="0.35">
      <c r="A561" s="49"/>
      <c r="B561" s="49"/>
      <c r="C561" s="51" t="str">
        <f>IFERROR(VLOOKUP(B561,منتجات!$A$3:$C$350,2,0),"")</f>
        <v/>
      </c>
      <c r="D561" s="49" t="str">
        <f>IFERROR(VLOOKUP(B561,منتجات!$A$3:$C$350,3,0),"")</f>
        <v/>
      </c>
      <c r="E561" s="49"/>
      <c r="F561" s="49" t="str">
        <f>IFERROR(INDEX(منتجات!$G$3:$G$114,MATCH(B561,منتجات!$A$3:$A$115,0)),"")</f>
        <v/>
      </c>
      <c r="G561" s="51" t="str">
        <f t="shared" si="10"/>
        <v/>
      </c>
      <c r="H561" s="54"/>
    </row>
    <row r="562" spans="1:8" x14ac:dyDescent="0.35">
      <c r="A562" s="51"/>
      <c r="B562" s="51"/>
      <c r="C562" s="51" t="str">
        <f>IFERROR(VLOOKUP(B562,منتجات!$A$3:$C$350,2,0),"")</f>
        <v/>
      </c>
      <c r="D562" s="51" t="str">
        <f>IFERROR(VLOOKUP(B562,منتجات!$A$3:$C$350,3,0),"")</f>
        <v/>
      </c>
      <c r="E562" s="51"/>
      <c r="F562" s="51" t="str">
        <f>IFERROR(INDEX(منتجات!$G$3:$G$114,MATCH(B562,منتجات!$A$3:$A$115,0)),"")</f>
        <v/>
      </c>
      <c r="G562" s="51" t="str">
        <f t="shared" si="10"/>
        <v/>
      </c>
      <c r="H562" s="53"/>
    </row>
    <row r="563" spans="1:8" x14ac:dyDescent="0.35">
      <c r="A563" s="49"/>
      <c r="B563" s="49"/>
      <c r="C563" s="51" t="str">
        <f>IFERROR(VLOOKUP(B563,منتجات!$A$3:$C$350,2,0),"")</f>
        <v/>
      </c>
      <c r="D563" s="49" t="str">
        <f>IFERROR(VLOOKUP(B563,منتجات!$A$3:$C$350,3,0),"")</f>
        <v/>
      </c>
      <c r="E563" s="49"/>
      <c r="F563" s="49" t="str">
        <f>IFERROR(INDEX(منتجات!$G$3:$G$114,MATCH(B563,منتجات!$A$3:$A$115,0)),"")</f>
        <v/>
      </c>
      <c r="G563" s="51" t="str">
        <f t="shared" si="10"/>
        <v/>
      </c>
      <c r="H563" s="54"/>
    </row>
    <row r="564" spans="1:8" x14ac:dyDescent="0.35">
      <c r="A564" s="51"/>
      <c r="B564" s="51"/>
      <c r="C564" s="51" t="str">
        <f>IFERROR(VLOOKUP(B564,منتجات!$A$3:$C$350,2,0),"")</f>
        <v/>
      </c>
      <c r="D564" s="51" t="str">
        <f>IFERROR(VLOOKUP(B564,منتجات!$A$3:$C$350,3,0),"")</f>
        <v/>
      </c>
      <c r="E564" s="51"/>
      <c r="F564" s="51" t="str">
        <f>IFERROR(INDEX(منتجات!$G$3:$G$114,MATCH(B564,منتجات!$A$3:$A$115,0)),"")</f>
        <v/>
      </c>
      <c r="G564" s="51" t="str">
        <f t="shared" si="10"/>
        <v/>
      </c>
      <c r="H564" s="53"/>
    </row>
    <row r="565" spans="1:8" x14ac:dyDescent="0.35">
      <c r="A565" s="49"/>
      <c r="B565" s="49"/>
      <c r="C565" s="51" t="str">
        <f>IFERROR(VLOOKUP(B565,منتجات!$A$3:$C$350,2,0),"")</f>
        <v/>
      </c>
      <c r="D565" s="49" t="str">
        <f>IFERROR(VLOOKUP(B565,منتجات!$A$3:$C$350,3,0),"")</f>
        <v/>
      </c>
      <c r="E565" s="49"/>
      <c r="F565" s="49" t="str">
        <f>IFERROR(INDEX(منتجات!$G$3:$G$114,MATCH(B565,منتجات!$A$3:$A$115,0)),"")</f>
        <v/>
      </c>
      <c r="G565" s="51" t="str">
        <f t="shared" si="10"/>
        <v/>
      </c>
      <c r="H565" s="54"/>
    </row>
    <row r="566" spans="1:8" x14ac:dyDescent="0.35">
      <c r="A566" s="51"/>
      <c r="B566" s="51"/>
      <c r="C566" s="51" t="str">
        <f>IFERROR(VLOOKUP(B566,منتجات!$A$3:$C$350,2,0),"")</f>
        <v/>
      </c>
      <c r="D566" s="51" t="str">
        <f>IFERROR(VLOOKUP(B566,منتجات!$A$3:$C$350,3,0),"")</f>
        <v/>
      </c>
      <c r="E566" s="51"/>
      <c r="F566" s="51" t="str">
        <f>IFERROR(INDEX(منتجات!$G$3:$G$114,MATCH(B566,منتجات!$A$3:$A$115,0)),"")</f>
        <v/>
      </c>
      <c r="G566" s="51" t="str">
        <f t="shared" si="10"/>
        <v/>
      </c>
      <c r="H566" s="53"/>
    </row>
    <row r="567" spans="1:8" x14ac:dyDescent="0.35">
      <c r="A567" s="49"/>
      <c r="B567" s="49"/>
      <c r="C567" s="51" t="str">
        <f>IFERROR(VLOOKUP(B567,منتجات!$A$3:$C$350,2,0),"")</f>
        <v/>
      </c>
      <c r="D567" s="49" t="str">
        <f>IFERROR(VLOOKUP(B567,منتجات!$A$3:$C$350,3,0),"")</f>
        <v/>
      </c>
      <c r="E567" s="49"/>
      <c r="F567" s="49" t="str">
        <f>IFERROR(INDEX(منتجات!$G$3:$G$114,MATCH(B567,منتجات!$A$3:$A$115,0)),"")</f>
        <v/>
      </c>
      <c r="G567" s="51" t="str">
        <f t="shared" si="10"/>
        <v/>
      </c>
      <c r="H567" s="54"/>
    </row>
    <row r="568" spans="1:8" x14ac:dyDescent="0.35">
      <c r="A568" s="51"/>
      <c r="B568" s="51"/>
      <c r="C568" s="51" t="str">
        <f>IFERROR(VLOOKUP(B568,منتجات!$A$3:$C$350,2,0),"")</f>
        <v/>
      </c>
      <c r="D568" s="51" t="str">
        <f>IFERROR(VLOOKUP(B568,منتجات!$A$3:$C$350,3,0),"")</f>
        <v/>
      </c>
      <c r="E568" s="51"/>
      <c r="F568" s="51" t="str">
        <f>IFERROR(INDEX(منتجات!$G$3:$G$114,MATCH(B568,منتجات!$A$3:$A$115,0)),"")</f>
        <v/>
      </c>
      <c r="G568" s="51" t="str">
        <f t="shared" si="10"/>
        <v/>
      </c>
      <c r="H568" s="53"/>
    </row>
    <row r="569" spans="1:8" x14ac:dyDescent="0.35">
      <c r="A569" s="49"/>
      <c r="B569" s="49"/>
      <c r="C569" s="51" t="str">
        <f>IFERROR(VLOOKUP(B569,منتجات!$A$3:$C$350,2,0),"")</f>
        <v/>
      </c>
      <c r="D569" s="49" t="str">
        <f>IFERROR(VLOOKUP(B569,منتجات!$A$3:$C$350,3,0),"")</f>
        <v/>
      </c>
      <c r="E569" s="49"/>
      <c r="F569" s="49" t="str">
        <f>IFERROR(INDEX(منتجات!$G$3:$G$114,MATCH(B569,منتجات!$A$3:$A$115,0)),"")</f>
        <v/>
      </c>
      <c r="G569" s="51" t="str">
        <f t="shared" si="10"/>
        <v/>
      </c>
      <c r="H569" s="54"/>
    </row>
    <row r="570" spans="1:8" x14ac:dyDescent="0.35">
      <c r="A570" s="51"/>
      <c r="B570" s="51"/>
      <c r="C570" s="51" t="str">
        <f>IFERROR(VLOOKUP(B570,منتجات!$A$3:$C$350,2,0),"")</f>
        <v/>
      </c>
      <c r="D570" s="51" t="str">
        <f>IFERROR(VLOOKUP(B570,منتجات!$A$3:$C$350,3,0),"")</f>
        <v/>
      </c>
      <c r="E570" s="51"/>
      <c r="F570" s="51" t="str">
        <f>IFERROR(INDEX(منتجات!$G$3:$G$114,MATCH(B570,منتجات!$A$3:$A$115,0)),"")</f>
        <v/>
      </c>
      <c r="G570" s="51" t="str">
        <f t="shared" si="10"/>
        <v/>
      </c>
      <c r="H570" s="53"/>
    </row>
    <row r="571" spans="1:8" x14ac:dyDescent="0.35">
      <c r="A571" s="49"/>
      <c r="B571" s="49"/>
      <c r="C571" s="51" t="str">
        <f>IFERROR(VLOOKUP(B571,منتجات!$A$3:$C$350,2,0),"")</f>
        <v/>
      </c>
      <c r="D571" s="49" t="str">
        <f>IFERROR(VLOOKUP(B571,منتجات!$A$3:$C$350,3,0),"")</f>
        <v/>
      </c>
      <c r="E571" s="49"/>
      <c r="F571" s="49" t="str">
        <f>IFERROR(INDEX(منتجات!$G$3:$G$114,MATCH(B571,منتجات!$A$3:$A$115,0)),"")</f>
        <v/>
      </c>
      <c r="G571" s="51" t="str">
        <f t="shared" si="10"/>
        <v/>
      </c>
      <c r="H571" s="54"/>
    </row>
    <row r="572" spans="1:8" x14ac:dyDescent="0.35">
      <c r="A572" s="51"/>
      <c r="B572" s="51"/>
      <c r="C572" s="51" t="str">
        <f>IFERROR(VLOOKUP(B572,منتجات!$A$3:$C$350,2,0),"")</f>
        <v/>
      </c>
      <c r="D572" s="51" t="str">
        <f>IFERROR(VLOOKUP(B572,منتجات!$A$3:$C$350,3,0),"")</f>
        <v/>
      </c>
      <c r="E572" s="51"/>
      <c r="F572" s="51" t="str">
        <f>IFERROR(INDEX(منتجات!$G$3:$G$114,MATCH(B572,منتجات!$A$3:$A$115,0)),"")</f>
        <v/>
      </c>
      <c r="G572" s="51" t="str">
        <f t="shared" si="10"/>
        <v/>
      </c>
      <c r="H572" s="53"/>
    </row>
    <row r="573" spans="1:8" x14ac:dyDescent="0.35">
      <c r="A573" s="49"/>
      <c r="B573" s="49"/>
      <c r="C573" s="51" t="str">
        <f>IFERROR(VLOOKUP(B573,منتجات!$A$3:$C$350,2,0),"")</f>
        <v/>
      </c>
      <c r="D573" s="49" t="str">
        <f>IFERROR(VLOOKUP(B573,منتجات!$A$3:$C$350,3,0),"")</f>
        <v/>
      </c>
      <c r="E573" s="49"/>
      <c r="F573" s="49" t="str">
        <f>IFERROR(INDEX(منتجات!$G$3:$G$114,MATCH(B573,منتجات!$A$3:$A$115,0)),"")</f>
        <v/>
      </c>
      <c r="G573" s="51" t="str">
        <f t="shared" si="10"/>
        <v/>
      </c>
      <c r="H573" s="54"/>
    </row>
    <row r="574" spans="1:8" x14ac:dyDescent="0.35">
      <c r="A574" s="51"/>
      <c r="B574" s="51"/>
      <c r="C574" s="51" t="str">
        <f>IFERROR(VLOOKUP(B574,منتجات!$A$3:$C$350,2,0),"")</f>
        <v/>
      </c>
      <c r="D574" s="51" t="str">
        <f>IFERROR(VLOOKUP(B574,منتجات!$A$3:$C$350,3,0),"")</f>
        <v/>
      </c>
      <c r="E574" s="51"/>
      <c r="F574" s="51" t="str">
        <f>IFERROR(INDEX(منتجات!$G$3:$G$114,MATCH(B574,منتجات!$A$3:$A$115,0)),"")</f>
        <v/>
      </c>
      <c r="G574" s="51" t="str">
        <f t="shared" si="10"/>
        <v/>
      </c>
      <c r="H574" s="53"/>
    </row>
    <row r="575" spans="1:8" x14ac:dyDescent="0.35">
      <c r="A575" s="49"/>
      <c r="B575" s="49"/>
      <c r="C575" s="51" t="str">
        <f>IFERROR(VLOOKUP(B575,منتجات!$A$3:$C$350,2,0),"")</f>
        <v/>
      </c>
      <c r="D575" s="49" t="str">
        <f>IFERROR(VLOOKUP(B575,منتجات!$A$3:$C$350,3,0),"")</f>
        <v/>
      </c>
      <c r="E575" s="49"/>
      <c r="F575" s="49" t="str">
        <f>IFERROR(INDEX(منتجات!$G$3:$G$114,MATCH(B575,منتجات!$A$3:$A$115,0)),"")</f>
        <v/>
      </c>
      <c r="G575" s="51" t="str">
        <f t="shared" si="10"/>
        <v/>
      </c>
      <c r="H575" s="54"/>
    </row>
    <row r="576" spans="1:8" x14ac:dyDescent="0.35">
      <c r="A576" s="51"/>
      <c r="B576" s="51"/>
      <c r="C576" s="51" t="str">
        <f>IFERROR(VLOOKUP(B576,منتجات!$A$3:$C$350,2,0),"")</f>
        <v/>
      </c>
      <c r="D576" s="51" t="str">
        <f>IFERROR(VLOOKUP(B576,منتجات!$A$3:$C$350,3,0),"")</f>
        <v/>
      </c>
      <c r="E576" s="51"/>
      <c r="F576" s="51" t="str">
        <f>IFERROR(INDEX(منتجات!$G$3:$G$114,MATCH(B576,منتجات!$A$3:$A$115,0)),"")</f>
        <v/>
      </c>
      <c r="G576" s="51" t="str">
        <f t="shared" si="10"/>
        <v/>
      </c>
      <c r="H576" s="53"/>
    </row>
    <row r="577" spans="1:8" x14ac:dyDescent="0.35">
      <c r="A577" s="49"/>
      <c r="B577" s="49"/>
      <c r="C577" s="51" t="str">
        <f>IFERROR(VLOOKUP(B577,منتجات!$A$3:$C$350,2,0),"")</f>
        <v/>
      </c>
      <c r="D577" s="49" t="str">
        <f>IFERROR(VLOOKUP(B577,منتجات!$A$3:$C$350,3,0),"")</f>
        <v/>
      </c>
      <c r="E577" s="49"/>
      <c r="F577" s="49" t="str">
        <f>IFERROR(INDEX(منتجات!$G$3:$G$114,MATCH(B577,منتجات!$A$3:$A$115,0)),"")</f>
        <v/>
      </c>
      <c r="G577" s="51" t="str">
        <f t="shared" si="10"/>
        <v/>
      </c>
      <c r="H577" s="54"/>
    </row>
    <row r="578" spans="1:8" x14ac:dyDescent="0.35">
      <c r="A578" s="51"/>
      <c r="B578" s="51"/>
      <c r="C578" s="51" t="str">
        <f>IFERROR(VLOOKUP(B578,منتجات!$A$3:$C$350,2,0),"")</f>
        <v/>
      </c>
      <c r="D578" s="51" t="str">
        <f>IFERROR(VLOOKUP(B578,منتجات!$A$3:$C$350,3,0),"")</f>
        <v/>
      </c>
      <c r="E578" s="51"/>
      <c r="F578" s="51" t="str">
        <f>IFERROR(INDEX(منتجات!$G$3:$G$114,MATCH(B578,منتجات!$A$3:$A$115,0)),"")</f>
        <v/>
      </c>
      <c r="G578" s="51" t="str">
        <f t="shared" si="10"/>
        <v/>
      </c>
      <c r="H578" s="53"/>
    </row>
    <row r="579" spans="1:8" x14ac:dyDescent="0.35">
      <c r="A579" s="49"/>
      <c r="B579" s="49"/>
      <c r="C579" s="51" t="str">
        <f>IFERROR(VLOOKUP(B579,منتجات!$A$3:$C$350,2,0),"")</f>
        <v/>
      </c>
      <c r="D579" s="49" t="str">
        <f>IFERROR(VLOOKUP(B579,منتجات!$A$3:$C$350,3,0),"")</f>
        <v/>
      </c>
      <c r="E579" s="49"/>
      <c r="F579" s="49" t="str">
        <f>IFERROR(INDEX(منتجات!$G$3:$G$114,MATCH(B579,منتجات!$A$3:$A$115,0)),"")</f>
        <v/>
      </c>
      <c r="G579" s="51" t="str">
        <f t="shared" si="10"/>
        <v/>
      </c>
      <c r="H579" s="54"/>
    </row>
    <row r="580" spans="1:8" x14ac:dyDescent="0.35">
      <c r="A580" s="51"/>
      <c r="B580" s="51"/>
      <c r="C580" s="51" t="str">
        <f>IFERROR(VLOOKUP(B580,منتجات!$A$3:$C$350,2,0),"")</f>
        <v/>
      </c>
      <c r="D580" s="51" t="str">
        <f>IFERROR(VLOOKUP(B580,منتجات!$A$3:$C$350,3,0),"")</f>
        <v/>
      </c>
      <c r="E580" s="51"/>
      <c r="F580" s="51" t="str">
        <f>IFERROR(INDEX(منتجات!$G$3:$G$114,MATCH(B580,منتجات!$A$3:$A$115,0)),"")</f>
        <v/>
      </c>
      <c r="G580" s="51" t="str">
        <f t="shared" si="10"/>
        <v/>
      </c>
      <c r="H580" s="53"/>
    </row>
    <row r="581" spans="1:8" x14ac:dyDescent="0.35">
      <c r="A581" s="49"/>
      <c r="B581" s="49"/>
      <c r="C581" s="51" t="str">
        <f>IFERROR(VLOOKUP(B581,منتجات!$A$3:$C$350,2,0),"")</f>
        <v/>
      </c>
      <c r="D581" s="49" t="str">
        <f>IFERROR(VLOOKUP(B581,منتجات!$A$3:$C$350,3,0),"")</f>
        <v/>
      </c>
      <c r="E581" s="49"/>
      <c r="F581" s="49" t="str">
        <f>IFERROR(INDEX(منتجات!$G$3:$G$114,MATCH(B581,منتجات!$A$3:$A$115,0)),"")</f>
        <v/>
      </c>
      <c r="G581" s="51" t="str">
        <f t="shared" si="10"/>
        <v/>
      </c>
      <c r="H581" s="54"/>
    </row>
    <row r="582" spans="1:8" x14ac:dyDescent="0.35">
      <c r="A582" s="51"/>
      <c r="B582" s="51"/>
      <c r="C582" s="51" t="str">
        <f>IFERROR(VLOOKUP(B582,منتجات!$A$3:$C$350,2,0),"")</f>
        <v/>
      </c>
      <c r="D582" s="51" t="str">
        <f>IFERROR(VLOOKUP(B582,منتجات!$A$3:$C$350,3,0),"")</f>
        <v/>
      </c>
      <c r="E582" s="51"/>
      <c r="F582" s="51" t="str">
        <f>IFERROR(INDEX(منتجات!$G$3:$G$114,MATCH(B582,منتجات!$A$3:$A$115,0)),"")</f>
        <v/>
      </c>
      <c r="G582" s="51" t="str">
        <f t="shared" si="10"/>
        <v/>
      </c>
      <c r="H582" s="53"/>
    </row>
    <row r="583" spans="1:8" x14ac:dyDescent="0.35">
      <c r="A583" s="49"/>
      <c r="B583" s="49"/>
      <c r="C583" s="51" t="str">
        <f>IFERROR(VLOOKUP(B583,منتجات!$A$3:$C$350,2,0),"")</f>
        <v/>
      </c>
      <c r="D583" s="49" t="str">
        <f>IFERROR(VLOOKUP(B583,منتجات!$A$3:$C$350,3,0),"")</f>
        <v/>
      </c>
      <c r="E583" s="49"/>
      <c r="F583" s="49" t="str">
        <f>IFERROR(INDEX(منتجات!$G$3:$G$114,MATCH(B583,منتجات!$A$3:$A$115,0)),"")</f>
        <v/>
      </c>
      <c r="G583" s="51" t="str">
        <f t="shared" si="10"/>
        <v/>
      </c>
      <c r="H583" s="54"/>
    </row>
    <row r="584" spans="1:8" x14ac:dyDescent="0.35">
      <c r="A584" s="51"/>
      <c r="B584" s="51"/>
      <c r="C584" s="51" t="str">
        <f>IFERROR(VLOOKUP(B584,منتجات!$A$3:$C$350,2,0),"")</f>
        <v/>
      </c>
      <c r="D584" s="51" t="str">
        <f>IFERROR(VLOOKUP(B584,منتجات!$A$3:$C$350,3,0),"")</f>
        <v/>
      </c>
      <c r="E584" s="51"/>
      <c r="F584" s="51" t="str">
        <f>IFERROR(INDEX(منتجات!$G$3:$G$114,MATCH(B584,منتجات!$A$3:$A$115,0)),"")</f>
        <v/>
      </c>
      <c r="G584" s="51" t="str">
        <f t="shared" si="10"/>
        <v/>
      </c>
      <c r="H584" s="53"/>
    </row>
    <row r="585" spans="1:8" x14ac:dyDescent="0.35">
      <c r="A585" s="49"/>
      <c r="B585" s="49"/>
      <c r="C585" s="51" t="str">
        <f>IFERROR(VLOOKUP(B585,منتجات!$A$3:$C$350,2,0),"")</f>
        <v/>
      </c>
      <c r="D585" s="49" t="str">
        <f>IFERROR(VLOOKUP(B585,منتجات!$A$3:$C$350,3,0),"")</f>
        <v/>
      </c>
      <c r="E585" s="49"/>
      <c r="F585" s="49" t="str">
        <f>IFERROR(INDEX(منتجات!$G$3:$G$114,MATCH(B585,منتجات!$A$3:$A$115,0)),"")</f>
        <v/>
      </c>
      <c r="G585" s="51" t="str">
        <f t="shared" si="10"/>
        <v/>
      </c>
      <c r="H585" s="54"/>
    </row>
    <row r="586" spans="1:8" x14ac:dyDescent="0.35">
      <c r="A586" s="51"/>
      <c r="B586" s="51"/>
      <c r="C586" s="51" t="str">
        <f>IFERROR(VLOOKUP(B586,منتجات!$A$3:$C$350,2,0),"")</f>
        <v/>
      </c>
      <c r="D586" s="51" t="str">
        <f>IFERROR(VLOOKUP(B586,منتجات!$A$3:$C$350,3,0),"")</f>
        <v/>
      </c>
      <c r="E586" s="51"/>
      <c r="F586" s="51" t="str">
        <f>IFERROR(INDEX(منتجات!$G$3:$G$114,MATCH(B586,منتجات!$A$3:$A$115,0)),"")</f>
        <v/>
      </c>
      <c r="G586" s="51" t="str">
        <f t="shared" si="10"/>
        <v/>
      </c>
      <c r="H586" s="53"/>
    </row>
    <row r="587" spans="1:8" x14ac:dyDescent="0.35">
      <c r="A587" s="49"/>
      <c r="B587" s="49"/>
      <c r="C587" s="51" t="str">
        <f>IFERROR(VLOOKUP(B587,منتجات!$A$3:$C$350,2,0),"")</f>
        <v/>
      </c>
      <c r="D587" s="49" t="str">
        <f>IFERROR(VLOOKUP(B587,منتجات!$A$3:$C$350,3,0),"")</f>
        <v/>
      </c>
      <c r="E587" s="49"/>
      <c r="F587" s="49" t="str">
        <f>IFERROR(INDEX(منتجات!$G$3:$G$114,MATCH(B587,منتجات!$A$3:$A$115,0)),"")</f>
        <v/>
      </c>
      <c r="G587" s="51" t="str">
        <f t="shared" si="10"/>
        <v/>
      </c>
      <c r="H587" s="54"/>
    </row>
    <row r="588" spans="1:8" x14ac:dyDescent="0.35">
      <c r="A588" s="51"/>
      <c r="B588" s="51"/>
      <c r="C588" s="51" t="str">
        <f>IFERROR(VLOOKUP(B588,منتجات!$A$3:$C$350,2,0),"")</f>
        <v/>
      </c>
      <c r="D588" s="51" t="str">
        <f>IFERROR(VLOOKUP(B588,منتجات!$A$3:$C$350,3,0),"")</f>
        <v/>
      </c>
      <c r="E588" s="51"/>
      <c r="F588" s="51" t="str">
        <f>IFERROR(INDEX(منتجات!$G$3:$G$114,MATCH(B588,منتجات!$A$3:$A$115,0)),"")</f>
        <v/>
      </c>
      <c r="G588" s="51" t="str">
        <f t="shared" si="10"/>
        <v/>
      </c>
      <c r="H588" s="53"/>
    </row>
    <row r="589" spans="1:8" x14ac:dyDescent="0.35">
      <c r="A589" s="49"/>
      <c r="B589" s="49"/>
      <c r="C589" s="51" t="str">
        <f>IFERROR(VLOOKUP(B589,منتجات!$A$3:$C$350,2,0),"")</f>
        <v/>
      </c>
      <c r="D589" s="49" t="str">
        <f>IFERROR(VLOOKUP(B589,منتجات!$A$3:$C$350,3,0),"")</f>
        <v/>
      </c>
      <c r="E589" s="49"/>
      <c r="F589" s="49" t="str">
        <f>IFERROR(INDEX(منتجات!$G$3:$G$114,MATCH(B589,منتجات!$A$3:$A$115,0)),"")</f>
        <v/>
      </c>
      <c r="G589" s="51" t="str">
        <f t="shared" si="10"/>
        <v/>
      </c>
      <c r="H589" s="54"/>
    </row>
    <row r="590" spans="1:8" x14ac:dyDescent="0.35">
      <c r="A590" s="51"/>
      <c r="B590" s="51"/>
      <c r="C590" s="51" t="str">
        <f>IFERROR(VLOOKUP(B590,منتجات!$A$3:$C$350,2,0),"")</f>
        <v/>
      </c>
      <c r="D590" s="51" t="str">
        <f>IFERROR(VLOOKUP(B590,منتجات!$A$3:$C$350,3,0),"")</f>
        <v/>
      </c>
      <c r="E590" s="51"/>
      <c r="F590" s="51" t="str">
        <f>IFERROR(INDEX(منتجات!$G$3:$G$114,MATCH(B590,منتجات!$A$3:$A$115,0)),"")</f>
        <v/>
      </c>
      <c r="G590" s="51" t="str">
        <f t="shared" ref="G590:G653" si="11">IFERROR(E590*F590*D590,"")</f>
        <v/>
      </c>
      <c r="H590" s="53"/>
    </row>
    <row r="591" spans="1:8" x14ac:dyDescent="0.35">
      <c r="A591" s="49"/>
      <c r="B591" s="49"/>
      <c r="C591" s="51" t="str">
        <f>IFERROR(VLOOKUP(B591,منتجات!$A$3:$C$350,2,0),"")</f>
        <v/>
      </c>
      <c r="D591" s="49" t="str">
        <f>IFERROR(VLOOKUP(B591,منتجات!$A$3:$C$350,3,0),"")</f>
        <v/>
      </c>
      <c r="E591" s="49"/>
      <c r="F591" s="49" t="str">
        <f>IFERROR(INDEX(منتجات!$G$3:$G$114,MATCH(B591,منتجات!$A$3:$A$115,0)),"")</f>
        <v/>
      </c>
      <c r="G591" s="51" t="str">
        <f t="shared" si="11"/>
        <v/>
      </c>
      <c r="H591" s="54"/>
    </row>
    <row r="592" spans="1:8" x14ac:dyDescent="0.35">
      <c r="A592" s="51"/>
      <c r="B592" s="51"/>
      <c r="C592" s="51" t="str">
        <f>IFERROR(VLOOKUP(B592,منتجات!$A$3:$C$350,2,0),"")</f>
        <v/>
      </c>
      <c r="D592" s="51" t="str">
        <f>IFERROR(VLOOKUP(B592,منتجات!$A$3:$C$350,3,0),"")</f>
        <v/>
      </c>
      <c r="E592" s="51"/>
      <c r="F592" s="51" t="str">
        <f>IFERROR(INDEX(منتجات!$G$3:$G$114,MATCH(B592,منتجات!$A$3:$A$115,0)),"")</f>
        <v/>
      </c>
      <c r="G592" s="51" t="str">
        <f t="shared" si="11"/>
        <v/>
      </c>
      <c r="H592" s="53"/>
    </row>
    <row r="593" spans="1:8" x14ac:dyDescent="0.35">
      <c r="A593" s="49"/>
      <c r="B593" s="49"/>
      <c r="C593" s="51" t="str">
        <f>IFERROR(VLOOKUP(B593,منتجات!$A$3:$C$350,2,0),"")</f>
        <v/>
      </c>
      <c r="D593" s="49" t="str">
        <f>IFERROR(VLOOKUP(B593,منتجات!$A$3:$C$350,3,0),"")</f>
        <v/>
      </c>
      <c r="E593" s="49"/>
      <c r="F593" s="49" t="str">
        <f>IFERROR(INDEX(منتجات!$G$3:$G$114,MATCH(B593,منتجات!$A$3:$A$115,0)),"")</f>
        <v/>
      </c>
      <c r="G593" s="51" t="str">
        <f t="shared" si="11"/>
        <v/>
      </c>
      <c r="H593" s="54"/>
    </row>
    <row r="594" spans="1:8" x14ac:dyDescent="0.35">
      <c r="A594" s="51"/>
      <c r="B594" s="51"/>
      <c r="C594" s="51" t="str">
        <f>IFERROR(VLOOKUP(B594,منتجات!$A$3:$C$350,2,0),"")</f>
        <v/>
      </c>
      <c r="D594" s="51" t="str">
        <f>IFERROR(VLOOKUP(B594,منتجات!$A$3:$C$350,3,0),"")</f>
        <v/>
      </c>
      <c r="E594" s="51"/>
      <c r="F594" s="51" t="str">
        <f>IFERROR(INDEX(منتجات!$G$3:$G$114,MATCH(B594,منتجات!$A$3:$A$115,0)),"")</f>
        <v/>
      </c>
      <c r="G594" s="51" t="str">
        <f t="shared" si="11"/>
        <v/>
      </c>
      <c r="H594" s="53"/>
    </row>
    <row r="595" spans="1:8" x14ac:dyDescent="0.35">
      <c r="A595" s="49"/>
      <c r="B595" s="49"/>
      <c r="C595" s="51" t="str">
        <f>IFERROR(VLOOKUP(B595,منتجات!$A$3:$C$350,2,0),"")</f>
        <v/>
      </c>
      <c r="D595" s="49" t="str">
        <f>IFERROR(VLOOKUP(B595,منتجات!$A$3:$C$350,3,0),"")</f>
        <v/>
      </c>
      <c r="E595" s="49"/>
      <c r="F595" s="49" t="str">
        <f>IFERROR(INDEX(منتجات!$G$3:$G$114,MATCH(B595,منتجات!$A$3:$A$115,0)),"")</f>
        <v/>
      </c>
      <c r="G595" s="51" t="str">
        <f t="shared" si="11"/>
        <v/>
      </c>
      <c r="H595" s="54"/>
    </row>
    <row r="596" spans="1:8" x14ac:dyDescent="0.35">
      <c r="A596" s="51"/>
      <c r="B596" s="51"/>
      <c r="C596" s="51" t="str">
        <f>IFERROR(VLOOKUP(B596,منتجات!$A$3:$C$350,2,0),"")</f>
        <v/>
      </c>
      <c r="D596" s="51" t="str">
        <f>IFERROR(VLOOKUP(B596,منتجات!$A$3:$C$350,3,0),"")</f>
        <v/>
      </c>
      <c r="E596" s="51"/>
      <c r="F596" s="51" t="str">
        <f>IFERROR(INDEX(منتجات!$G$3:$G$114,MATCH(B596,منتجات!$A$3:$A$115,0)),"")</f>
        <v/>
      </c>
      <c r="G596" s="51" t="str">
        <f t="shared" si="11"/>
        <v/>
      </c>
      <c r="H596" s="53"/>
    </row>
    <row r="597" spans="1:8" x14ac:dyDescent="0.35">
      <c r="A597" s="49"/>
      <c r="B597" s="49"/>
      <c r="C597" s="51" t="str">
        <f>IFERROR(VLOOKUP(B597,منتجات!$A$3:$C$350,2,0),"")</f>
        <v/>
      </c>
      <c r="D597" s="49" t="str">
        <f>IFERROR(VLOOKUP(B597,منتجات!$A$3:$C$350,3,0),"")</f>
        <v/>
      </c>
      <c r="E597" s="49"/>
      <c r="F597" s="49" t="str">
        <f>IFERROR(INDEX(منتجات!$G$3:$G$114,MATCH(B597,منتجات!$A$3:$A$115,0)),"")</f>
        <v/>
      </c>
      <c r="G597" s="51" t="str">
        <f t="shared" si="11"/>
        <v/>
      </c>
      <c r="H597" s="54"/>
    </row>
    <row r="598" spans="1:8" x14ac:dyDescent="0.35">
      <c r="A598" s="51"/>
      <c r="B598" s="51"/>
      <c r="C598" s="51" t="str">
        <f>IFERROR(VLOOKUP(B598,منتجات!$A$3:$C$350,2,0),"")</f>
        <v/>
      </c>
      <c r="D598" s="51" t="str">
        <f>IFERROR(VLOOKUP(B598,منتجات!$A$3:$C$350,3,0),"")</f>
        <v/>
      </c>
      <c r="E598" s="51"/>
      <c r="F598" s="51" t="str">
        <f>IFERROR(INDEX(منتجات!$G$3:$G$114,MATCH(B598,منتجات!$A$3:$A$115,0)),"")</f>
        <v/>
      </c>
      <c r="G598" s="51" t="str">
        <f t="shared" si="11"/>
        <v/>
      </c>
      <c r="H598" s="53"/>
    </row>
    <row r="599" spans="1:8" x14ac:dyDescent="0.35">
      <c r="A599" s="49"/>
      <c r="B599" s="49"/>
      <c r="C599" s="51" t="str">
        <f>IFERROR(VLOOKUP(B599,منتجات!$A$3:$C$350,2,0),"")</f>
        <v/>
      </c>
      <c r="D599" s="49" t="str">
        <f>IFERROR(VLOOKUP(B599,منتجات!$A$3:$C$350,3,0),"")</f>
        <v/>
      </c>
      <c r="E599" s="49"/>
      <c r="F599" s="49" t="str">
        <f>IFERROR(INDEX(منتجات!$G$3:$G$114,MATCH(B599,منتجات!$A$3:$A$115,0)),"")</f>
        <v/>
      </c>
      <c r="G599" s="51" t="str">
        <f t="shared" si="11"/>
        <v/>
      </c>
      <c r="H599" s="54"/>
    </row>
    <row r="600" spans="1:8" x14ac:dyDescent="0.35">
      <c r="A600" s="51"/>
      <c r="B600" s="51"/>
      <c r="C600" s="51" t="str">
        <f>IFERROR(VLOOKUP(B600,منتجات!$A$3:$C$350,2,0),"")</f>
        <v/>
      </c>
      <c r="D600" s="51" t="str">
        <f>IFERROR(VLOOKUP(B600,منتجات!$A$3:$C$350,3,0),"")</f>
        <v/>
      </c>
      <c r="E600" s="51"/>
      <c r="F600" s="51" t="str">
        <f>IFERROR(INDEX(منتجات!$G$3:$G$114,MATCH(B600,منتجات!$A$3:$A$115,0)),"")</f>
        <v/>
      </c>
      <c r="G600" s="51" t="str">
        <f t="shared" si="11"/>
        <v/>
      </c>
      <c r="H600" s="53"/>
    </row>
    <row r="601" spans="1:8" x14ac:dyDescent="0.35">
      <c r="A601" s="49"/>
      <c r="B601" s="49"/>
      <c r="C601" s="51" t="str">
        <f>IFERROR(VLOOKUP(B601,منتجات!$A$3:$C$350,2,0),"")</f>
        <v/>
      </c>
      <c r="D601" s="49" t="str">
        <f>IFERROR(VLOOKUP(B601,منتجات!$A$3:$C$350,3,0),"")</f>
        <v/>
      </c>
      <c r="E601" s="49"/>
      <c r="F601" s="49" t="str">
        <f>IFERROR(INDEX(منتجات!$G$3:$G$114,MATCH(B601,منتجات!$A$3:$A$115,0)),"")</f>
        <v/>
      </c>
      <c r="G601" s="51" t="str">
        <f t="shared" si="11"/>
        <v/>
      </c>
      <c r="H601" s="54"/>
    </row>
    <row r="602" spans="1:8" x14ac:dyDescent="0.35">
      <c r="A602" s="51"/>
      <c r="B602" s="51"/>
      <c r="C602" s="51" t="str">
        <f>IFERROR(VLOOKUP(B602,منتجات!$A$3:$C$350,2,0),"")</f>
        <v/>
      </c>
      <c r="D602" s="51" t="str">
        <f>IFERROR(VLOOKUP(B602,منتجات!$A$3:$C$350,3,0),"")</f>
        <v/>
      </c>
      <c r="E602" s="51"/>
      <c r="F602" s="51" t="str">
        <f>IFERROR(INDEX(منتجات!$G$3:$G$114,MATCH(B602,منتجات!$A$3:$A$115,0)),"")</f>
        <v/>
      </c>
      <c r="G602" s="51" t="str">
        <f t="shared" si="11"/>
        <v/>
      </c>
      <c r="H602" s="53"/>
    </row>
    <row r="603" spans="1:8" x14ac:dyDescent="0.35">
      <c r="A603" s="49"/>
      <c r="B603" s="49"/>
      <c r="C603" s="51" t="str">
        <f>IFERROR(VLOOKUP(B603,منتجات!$A$3:$C$350,2,0),"")</f>
        <v/>
      </c>
      <c r="D603" s="49" t="str">
        <f>IFERROR(VLOOKUP(B603,منتجات!$A$3:$C$350,3,0),"")</f>
        <v/>
      </c>
      <c r="E603" s="49"/>
      <c r="F603" s="49" t="str">
        <f>IFERROR(INDEX(منتجات!$G$3:$G$114,MATCH(B603,منتجات!$A$3:$A$115,0)),"")</f>
        <v/>
      </c>
      <c r="G603" s="51" t="str">
        <f t="shared" si="11"/>
        <v/>
      </c>
      <c r="H603" s="54"/>
    </row>
    <row r="604" spans="1:8" x14ac:dyDescent="0.35">
      <c r="A604" s="51"/>
      <c r="B604" s="51"/>
      <c r="C604" s="51" t="str">
        <f>IFERROR(VLOOKUP(B604,منتجات!$A$3:$C$350,2,0),"")</f>
        <v/>
      </c>
      <c r="D604" s="51" t="str">
        <f>IFERROR(VLOOKUP(B604,منتجات!$A$3:$C$350,3,0),"")</f>
        <v/>
      </c>
      <c r="E604" s="51"/>
      <c r="F604" s="51" t="str">
        <f>IFERROR(INDEX(منتجات!$G$3:$G$114,MATCH(B604,منتجات!$A$3:$A$115,0)),"")</f>
        <v/>
      </c>
      <c r="G604" s="51" t="str">
        <f t="shared" si="11"/>
        <v/>
      </c>
      <c r="H604" s="53"/>
    </row>
    <row r="605" spans="1:8" x14ac:dyDescent="0.35">
      <c r="A605" s="49"/>
      <c r="B605" s="49"/>
      <c r="C605" s="51" t="str">
        <f>IFERROR(VLOOKUP(B605,منتجات!$A$3:$C$350,2,0),"")</f>
        <v/>
      </c>
      <c r="D605" s="49" t="str">
        <f>IFERROR(VLOOKUP(B605,منتجات!$A$3:$C$350,3,0),"")</f>
        <v/>
      </c>
      <c r="E605" s="49"/>
      <c r="F605" s="49" t="str">
        <f>IFERROR(INDEX(منتجات!$G$3:$G$114,MATCH(B605,منتجات!$A$3:$A$115,0)),"")</f>
        <v/>
      </c>
      <c r="G605" s="51" t="str">
        <f t="shared" si="11"/>
        <v/>
      </c>
      <c r="H605" s="54"/>
    </row>
    <row r="606" spans="1:8" x14ac:dyDescent="0.35">
      <c r="A606" s="51"/>
      <c r="B606" s="51"/>
      <c r="C606" s="51" t="str">
        <f>IFERROR(VLOOKUP(B606,منتجات!$A$3:$C$350,2,0),"")</f>
        <v/>
      </c>
      <c r="D606" s="51" t="str">
        <f>IFERROR(VLOOKUP(B606,منتجات!$A$3:$C$350,3,0),"")</f>
        <v/>
      </c>
      <c r="E606" s="51"/>
      <c r="F606" s="51" t="str">
        <f>IFERROR(INDEX(منتجات!$G$3:$G$114,MATCH(B606,منتجات!$A$3:$A$115,0)),"")</f>
        <v/>
      </c>
      <c r="G606" s="51" t="str">
        <f t="shared" si="11"/>
        <v/>
      </c>
      <c r="H606" s="53"/>
    </row>
    <row r="607" spans="1:8" x14ac:dyDescent="0.35">
      <c r="A607" s="49"/>
      <c r="B607" s="49"/>
      <c r="C607" s="51" t="str">
        <f>IFERROR(VLOOKUP(B607,منتجات!$A$3:$C$350,2,0),"")</f>
        <v/>
      </c>
      <c r="D607" s="49" t="str">
        <f>IFERROR(VLOOKUP(B607,منتجات!$A$3:$C$350,3,0),"")</f>
        <v/>
      </c>
      <c r="E607" s="49"/>
      <c r="F607" s="49" t="str">
        <f>IFERROR(INDEX(منتجات!$G$3:$G$114,MATCH(B607,منتجات!$A$3:$A$115,0)),"")</f>
        <v/>
      </c>
      <c r="G607" s="51" t="str">
        <f t="shared" si="11"/>
        <v/>
      </c>
      <c r="H607" s="54"/>
    </row>
    <row r="608" spans="1:8" x14ac:dyDescent="0.35">
      <c r="A608" s="51"/>
      <c r="B608" s="51"/>
      <c r="C608" s="51" t="str">
        <f>IFERROR(VLOOKUP(B608,منتجات!$A$3:$C$350,2,0),"")</f>
        <v/>
      </c>
      <c r="D608" s="51" t="str">
        <f>IFERROR(VLOOKUP(B608,منتجات!$A$3:$C$350,3,0),"")</f>
        <v/>
      </c>
      <c r="E608" s="51"/>
      <c r="F608" s="51" t="str">
        <f>IFERROR(INDEX(منتجات!$G$3:$G$114,MATCH(B608,منتجات!$A$3:$A$115,0)),"")</f>
        <v/>
      </c>
      <c r="G608" s="51" t="str">
        <f t="shared" si="11"/>
        <v/>
      </c>
      <c r="H608" s="53"/>
    </row>
    <row r="609" spans="1:8" x14ac:dyDescent="0.35">
      <c r="A609" s="49"/>
      <c r="B609" s="49"/>
      <c r="C609" s="51" t="str">
        <f>IFERROR(VLOOKUP(B609,منتجات!$A$3:$C$350,2,0),"")</f>
        <v/>
      </c>
      <c r="D609" s="49" t="str">
        <f>IFERROR(VLOOKUP(B609,منتجات!$A$3:$C$350,3,0),"")</f>
        <v/>
      </c>
      <c r="E609" s="49"/>
      <c r="F609" s="49" t="str">
        <f>IFERROR(INDEX(منتجات!$G$3:$G$114,MATCH(B609,منتجات!$A$3:$A$115,0)),"")</f>
        <v/>
      </c>
      <c r="G609" s="51" t="str">
        <f t="shared" si="11"/>
        <v/>
      </c>
      <c r="H609" s="54"/>
    </row>
    <row r="610" spans="1:8" x14ac:dyDescent="0.35">
      <c r="A610" s="51"/>
      <c r="B610" s="51"/>
      <c r="C610" s="51" t="str">
        <f>IFERROR(VLOOKUP(B610,منتجات!$A$3:$C$350,2,0),"")</f>
        <v/>
      </c>
      <c r="D610" s="51" t="str">
        <f>IFERROR(VLOOKUP(B610,منتجات!$A$3:$C$350,3,0),"")</f>
        <v/>
      </c>
      <c r="E610" s="51"/>
      <c r="F610" s="51" t="str">
        <f>IFERROR(INDEX(منتجات!$G$3:$G$114,MATCH(B610,منتجات!$A$3:$A$115,0)),"")</f>
        <v/>
      </c>
      <c r="G610" s="51" t="str">
        <f t="shared" si="11"/>
        <v/>
      </c>
      <c r="H610" s="53"/>
    </row>
    <row r="611" spans="1:8" x14ac:dyDescent="0.35">
      <c r="A611" s="49"/>
      <c r="B611" s="49"/>
      <c r="C611" s="51" t="str">
        <f>IFERROR(VLOOKUP(B611,منتجات!$A$3:$C$350,2,0),"")</f>
        <v/>
      </c>
      <c r="D611" s="49" t="str">
        <f>IFERROR(VLOOKUP(B611,منتجات!$A$3:$C$350,3,0),"")</f>
        <v/>
      </c>
      <c r="E611" s="49"/>
      <c r="F611" s="49" t="str">
        <f>IFERROR(INDEX(منتجات!$G$3:$G$114,MATCH(B611,منتجات!$A$3:$A$115,0)),"")</f>
        <v/>
      </c>
      <c r="G611" s="51" t="str">
        <f t="shared" si="11"/>
        <v/>
      </c>
      <c r="H611" s="54"/>
    </row>
    <row r="612" spans="1:8" x14ac:dyDescent="0.35">
      <c r="A612" s="51"/>
      <c r="B612" s="51"/>
      <c r="C612" s="51" t="str">
        <f>IFERROR(VLOOKUP(B612,منتجات!$A$3:$C$350,2,0),"")</f>
        <v/>
      </c>
      <c r="D612" s="51" t="str">
        <f>IFERROR(VLOOKUP(B612,منتجات!$A$3:$C$350,3,0),"")</f>
        <v/>
      </c>
      <c r="E612" s="51"/>
      <c r="F612" s="51" t="str">
        <f>IFERROR(INDEX(منتجات!$G$3:$G$114,MATCH(B612,منتجات!$A$3:$A$115,0)),"")</f>
        <v/>
      </c>
      <c r="G612" s="51" t="str">
        <f t="shared" si="11"/>
        <v/>
      </c>
      <c r="H612" s="53"/>
    </row>
    <row r="613" spans="1:8" x14ac:dyDescent="0.35">
      <c r="A613" s="49"/>
      <c r="B613" s="49"/>
      <c r="C613" s="51" t="str">
        <f>IFERROR(VLOOKUP(B613,منتجات!$A$3:$C$350,2,0),"")</f>
        <v/>
      </c>
      <c r="D613" s="49" t="str">
        <f>IFERROR(VLOOKUP(B613,منتجات!$A$3:$C$350,3,0),"")</f>
        <v/>
      </c>
      <c r="E613" s="49"/>
      <c r="F613" s="49" t="str">
        <f>IFERROR(INDEX(منتجات!$G$3:$G$114,MATCH(B613,منتجات!$A$3:$A$115,0)),"")</f>
        <v/>
      </c>
      <c r="G613" s="51" t="str">
        <f t="shared" si="11"/>
        <v/>
      </c>
      <c r="H613" s="54"/>
    </row>
    <row r="614" spans="1:8" x14ac:dyDescent="0.35">
      <c r="A614" s="51"/>
      <c r="B614" s="51"/>
      <c r="C614" s="51" t="str">
        <f>IFERROR(VLOOKUP(B614,منتجات!$A$3:$C$350,2,0),"")</f>
        <v/>
      </c>
      <c r="D614" s="51" t="str">
        <f>IFERROR(VLOOKUP(B614,منتجات!$A$3:$C$350,3,0),"")</f>
        <v/>
      </c>
      <c r="E614" s="51"/>
      <c r="F614" s="51" t="str">
        <f>IFERROR(INDEX(منتجات!$G$3:$G$114,MATCH(B614,منتجات!$A$3:$A$115,0)),"")</f>
        <v/>
      </c>
      <c r="G614" s="51" t="str">
        <f t="shared" si="11"/>
        <v/>
      </c>
      <c r="H614" s="53"/>
    </row>
    <row r="615" spans="1:8" x14ac:dyDescent="0.35">
      <c r="A615" s="49"/>
      <c r="B615" s="49"/>
      <c r="C615" s="51" t="str">
        <f>IFERROR(VLOOKUP(B615,منتجات!$A$3:$C$350,2,0),"")</f>
        <v/>
      </c>
      <c r="D615" s="49" t="str">
        <f>IFERROR(VLOOKUP(B615,منتجات!$A$3:$C$350,3,0),"")</f>
        <v/>
      </c>
      <c r="E615" s="49"/>
      <c r="F615" s="49" t="str">
        <f>IFERROR(INDEX(منتجات!$G$3:$G$114,MATCH(B615,منتجات!$A$3:$A$115,0)),"")</f>
        <v/>
      </c>
      <c r="G615" s="51" t="str">
        <f t="shared" si="11"/>
        <v/>
      </c>
      <c r="H615" s="54"/>
    </row>
    <row r="616" spans="1:8" x14ac:dyDescent="0.35">
      <c r="A616" s="51"/>
      <c r="B616" s="51"/>
      <c r="C616" s="51" t="str">
        <f>IFERROR(VLOOKUP(B616,منتجات!$A$3:$C$350,2,0),"")</f>
        <v/>
      </c>
      <c r="D616" s="51" t="str">
        <f>IFERROR(VLOOKUP(B616,منتجات!$A$3:$C$350,3,0),"")</f>
        <v/>
      </c>
      <c r="E616" s="51"/>
      <c r="F616" s="51" t="str">
        <f>IFERROR(INDEX(منتجات!$G$3:$G$114,MATCH(B616,منتجات!$A$3:$A$115,0)),"")</f>
        <v/>
      </c>
      <c r="G616" s="51" t="str">
        <f t="shared" si="11"/>
        <v/>
      </c>
      <c r="H616" s="53"/>
    </row>
    <row r="617" spans="1:8" x14ac:dyDescent="0.35">
      <c r="A617" s="49"/>
      <c r="B617" s="49"/>
      <c r="C617" s="51" t="str">
        <f>IFERROR(VLOOKUP(B617,منتجات!$A$3:$C$350,2,0),"")</f>
        <v/>
      </c>
      <c r="D617" s="49" t="str">
        <f>IFERROR(VLOOKUP(B617,منتجات!$A$3:$C$350,3,0),"")</f>
        <v/>
      </c>
      <c r="E617" s="49"/>
      <c r="F617" s="49" t="str">
        <f>IFERROR(INDEX(منتجات!$G$3:$G$114,MATCH(B617,منتجات!$A$3:$A$115,0)),"")</f>
        <v/>
      </c>
      <c r="G617" s="51" t="str">
        <f t="shared" si="11"/>
        <v/>
      </c>
      <c r="H617" s="54"/>
    </row>
    <row r="618" spans="1:8" x14ac:dyDescent="0.35">
      <c r="A618" s="51"/>
      <c r="B618" s="51"/>
      <c r="C618" s="51" t="str">
        <f>IFERROR(VLOOKUP(B618,منتجات!$A$3:$C$350,2,0),"")</f>
        <v/>
      </c>
      <c r="D618" s="51" t="str">
        <f>IFERROR(VLOOKUP(B618,منتجات!$A$3:$C$350,3,0),"")</f>
        <v/>
      </c>
      <c r="E618" s="51"/>
      <c r="F618" s="51" t="str">
        <f>IFERROR(INDEX(منتجات!$G$3:$G$114,MATCH(B618,منتجات!$A$3:$A$115,0)),"")</f>
        <v/>
      </c>
      <c r="G618" s="51" t="str">
        <f t="shared" si="11"/>
        <v/>
      </c>
      <c r="H618" s="53"/>
    </row>
    <row r="619" spans="1:8" x14ac:dyDescent="0.35">
      <c r="A619" s="49"/>
      <c r="B619" s="49"/>
      <c r="C619" s="51" t="str">
        <f>IFERROR(VLOOKUP(B619,منتجات!$A$3:$C$350,2,0),"")</f>
        <v/>
      </c>
      <c r="D619" s="49" t="str">
        <f>IFERROR(VLOOKUP(B619,منتجات!$A$3:$C$350,3,0),"")</f>
        <v/>
      </c>
      <c r="E619" s="49"/>
      <c r="F619" s="49" t="str">
        <f>IFERROR(INDEX(منتجات!$G$3:$G$114,MATCH(B619,منتجات!$A$3:$A$115,0)),"")</f>
        <v/>
      </c>
      <c r="G619" s="51" t="str">
        <f t="shared" si="11"/>
        <v/>
      </c>
      <c r="H619" s="54"/>
    </row>
    <row r="620" spans="1:8" x14ac:dyDescent="0.35">
      <c r="A620" s="51"/>
      <c r="B620" s="51"/>
      <c r="C620" s="51" t="str">
        <f>IFERROR(VLOOKUP(B620,منتجات!$A$3:$C$350,2,0),"")</f>
        <v/>
      </c>
      <c r="D620" s="51" t="str">
        <f>IFERROR(VLOOKUP(B620,منتجات!$A$3:$C$350,3,0),"")</f>
        <v/>
      </c>
      <c r="E620" s="51"/>
      <c r="F620" s="51" t="str">
        <f>IFERROR(INDEX(منتجات!$G$3:$G$114,MATCH(B620,منتجات!$A$3:$A$115,0)),"")</f>
        <v/>
      </c>
      <c r="G620" s="51" t="str">
        <f t="shared" si="11"/>
        <v/>
      </c>
      <c r="H620" s="53"/>
    </row>
    <row r="621" spans="1:8" x14ac:dyDescent="0.35">
      <c r="A621" s="49"/>
      <c r="B621" s="49"/>
      <c r="C621" s="51" t="str">
        <f>IFERROR(VLOOKUP(B621,منتجات!$A$3:$C$350,2,0),"")</f>
        <v/>
      </c>
      <c r="D621" s="49" t="str">
        <f>IFERROR(VLOOKUP(B621,منتجات!$A$3:$C$350,3,0),"")</f>
        <v/>
      </c>
      <c r="E621" s="49"/>
      <c r="F621" s="49" t="str">
        <f>IFERROR(INDEX(منتجات!$G$3:$G$114,MATCH(B621,منتجات!$A$3:$A$115,0)),"")</f>
        <v/>
      </c>
      <c r="G621" s="51" t="str">
        <f t="shared" si="11"/>
        <v/>
      </c>
      <c r="H621" s="54"/>
    </row>
    <row r="622" spans="1:8" x14ac:dyDescent="0.35">
      <c r="A622" s="51"/>
      <c r="B622" s="51"/>
      <c r="C622" s="51" t="str">
        <f>IFERROR(VLOOKUP(B622,منتجات!$A$3:$C$350,2,0),"")</f>
        <v/>
      </c>
      <c r="D622" s="51" t="str">
        <f>IFERROR(VLOOKUP(B622,منتجات!$A$3:$C$350,3,0),"")</f>
        <v/>
      </c>
      <c r="E622" s="51"/>
      <c r="F622" s="51" t="str">
        <f>IFERROR(INDEX(منتجات!$G$3:$G$114,MATCH(B622,منتجات!$A$3:$A$115,0)),"")</f>
        <v/>
      </c>
      <c r="G622" s="51" t="str">
        <f t="shared" si="11"/>
        <v/>
      </c>
      <c r="H622" s="53"/>
    </row>
    <row r="623" spans="1:8" x14ac:dyDescent="0.35">
      <c r="A623" s="49"/>
      <c r="B623" s="49"/>
      <c r="C623" s="51" t="str">
        <f>IFERROR(VLOOKUP(B623,منتجات!$A$3:$C$350,2,0),"")</f>
        <v/>
      </c>
      <c r="D623" s="49" t="str">
        <f>IFERROR(VLOOKUP(B623,منتجات!$A$3:$C$350,3,0),"")</f>
        <v/>
      </c>
      <c r="E623" s="49"/>
      <c r="F623" s="49" t="str">
        <f>IFERROR(INDEX(منتجات!$G$3:$G$114,MATCH(B623,منتجات!$A$3:$A$115,0)),"")</f>
        <v/>
      </c>
      <c r="G623" s="51" t="str">
        <f t="shared" si="11"/>
        <v/>
      </c>
      <c r="H623" s="54"/>
    </row>
    <row r="624" spans="1:8" x14ac:dyDescent="0.35">
      <c r="A624" s="51"/>
      <c r="B624" s="51"/>
      <c r="C624" s="51" t="str">
        <f>IFERROR(VLOOKUP(B624,منتجات!$A$3:$C$350,2,0),"")</f>
        <v/>
      </c>
      <c r="D624" s="51" t="str">
        <f>IFERROR(VLOOKUP(B624,منتجات!$A$3:$C$350,3,0),"")</f>
        <v/>
      </c>
      <c r="E624" s="51"/>
      <c r="F624" s="51" t="str">
        <f>IFERROR(INDEX(منتجات!$G$3:$G$114,MATCH(B624,منتجات!$A$3:$A$115,0)),"")</f>
        <v/>
      </c>
      <c r="G624" s="51" t="str">
        <f t="shared" si="11"/>
        <v/>
      </c>
      <c r="H624" s="53"/>
    </row>
    <row r="625" spans="1:8" x14ac:dyDescent="0.35">
      <c r="A625" s="49"/>
      <c r="B625" s="49"/>
      <c r="C625" s="51" t="str">
        <f>IFERROR(VLOOKUP(B625,منتجات!$A$3:$C$350,2,0),"")</f>
        <v/>
      </c>
      <c r="D625" s="49" t="str">
        <f>IFERROR(VLOOKUP(B625,منتجات!$A$3:$C$350,3,0),"")</f>
        <v/>
      </c>
      <c r="E625" s="49"/>
      <c r="F625" s="49" t="str">
        <f>IFERROR(INDEX(منتجات!$G$3:$G$114,MATCH(B625,منتجات!$A$3:$A$115,0)),"")</f>
        <v/>
      </c>
      <c r="G625" s="51" t="str">
        <f t="shared" si="11"/>
        <v/>
      </c>
      <c r="H625" s="54"/>
    </row>
    <row r="626" spans="1:8" x14ac:dyDescent="0.35">
      <c r="A626" s="51"/>
      <c r="B626" s="51"/>
      <c r="C626" s="51" t="str">
        <f>IFERROR(VLOOKUP(B626,منتجات!$A$3:$C$350,2,0),"")</f>
        <v/>
      </c>
      <c r="D626" s="51" t="str">
        <f>IFERROR(VLOOKUP(B626,منتجات!$A$3:$C$350,3,0),"")</f>
        <v/>
      </c>
      <c r="E626" s="51"/>
      <c r="F626" s="51" t="str">
        <f>IFERROR(INDEX(منتجات!$G$3:$G$114,MATCH(B626,منتجات!$A$3:$A$115,0)),"")</f>
        <v/>
      </c>
      <c r="G626" s="51" t="str">
        <f t="shared" si="11"/>
        <v/>
      </c>
      <c r="H626" s="53"/>
    </row>
    <row r="627" spans="1:8" x14ac:dyDescent="0.35">
      <c r="A627" s="49"/>
      <c r="B627" s="49"/>
      <c r="C627" s="51" t="str">
        <f>IFERROR(VLOOKUP(B627,منتجات!$A$3:$C$350,2,0),"")</f>
        <v/>
      </c>
      <c r="D627" s="49" t="str">
        <f>IFERROR(VLOOKUP(B627,منتجات!$A$3:$C$350,3,0),"")</f>
        <v/>
      </c>
      <c r="E627" s="49"/>
      <c r="F627" s="49" t="str">
        <f>IFERROR(INDEX(منتجات!$G$3:$G$114,MATCH(B627,منتجات!$A$3:$A$115,0)),"")</f>
        <v/>
      </c>
      <c r="G627" s="51" t="str">
        <f t="shared" si="11"/>
        <v/>
      </c>
      <c r="H627" s="54"/>
    </row>
    <row r="628" spans="1:8" x14ac:dyDescent="0.35">
      <c r="A628" s="51"/>
      <c r="B628" s="51"/>
      <c r="C628" s="51" t="str">
        <f>IFERROR(VLOOKUP(B628,منتجات!$A$3:$C$350,2,0),"")</f>
        <v/>
      </c>
      <c r="D628" s="51" t="str">
        <f>IFERROR(VLOOKUP(B628,منتجات!$A$3:$C$350,3,0),"")</f>
        <v/>
      </c>
      <c r="E628" s="51"/>
      <c r="F628" s="51" t="str">
        <f>IFERROR(INDEX(منتجات!$G$3:$G$114,MATCH(B628,منتجات!$A$3:$A$115,0)),"")</f>
        <v/>
      </c>
      <c r="G628" s="51" t="str">
        <f t="shared" si="11"/>
        <v/>
      </c>
      <c r="H628" s="53"/>
    </row>
    <row r="629" spans="1:8" x14ac:dyDescent="0.35">
      <c r="A629" s="49"/>
      <c r="B629" s="49"/>
      <c r="C629" s="51" t="str">
        <f>IFERROR(VLOOKUP(B629,منتجات!$A$3:$C$350,2,0),"")</f>
        <v/>
      </c>
      <c r="D629" s="49" t="str">
        <f>IFERROR(VLOOKUP(B629,منتجات!$A$3:$C$350,3,0),"")</f>
        <v/>
      </c>
      <c r="E629" s="49"/>
      <c r="F629" s="49" t="str">
        <f>IFERROR(INDEX(منتجات!$G$3:$G$114,MATCH(B629,منتجات!$A$3:$A$115,0)),"")</f>
        <v/>
      </c>
      <c r="G629" s="51" t="str">
        <f t="shared" si="11"/>
        <v/>
      </c>
      <c r="H629" s="54"/>
    </row>
    <row r="630" spans="1:8" x14ac:dyDescent="0.35">
      <c r="A630" s="51"/>
      <c r="B630" s="51"/>
      <c r="C630" s="51" t="str">
        <f>IFERROR(VLOOKUP(B630,منتجات!$A$3:$C$350,2,0),"")</f>
        <v/>
      </c>
      <c r="D630" s="51" t="str">
        <f>IFERROR(VLOOKUP(B630,منتجات!$A$3:$C$350,3,0),"")</f>
        <v/>
      </c>
      <c r="E630" s="51"/>
      <c r="F630" s="51" t="str">
        <f>IFERROR(INDEX(منتجات!$G$3:$G$114,MATCH(B630,منتجات!$A$3:$A$115,0)),"")</f>
        <v/>
      </c>
      <c r="G630" s="51" t="str">
        <f t="shared" si="11"/>
        <v/>
      </c>
      <c r="H630" s="53"/>
    </row>
    <row r="631" spans="1:8" x14ac:dyDescent="0.35">
      <c r="A631" s="49"/>
      <c r="B631" s="49"/>
      <c r="C631" s="51" t="str">
        <f>IFERROR(VLOOKUP(B631,منتجات!$A$3:$C$350,2,0),"")</f>
        <v/>
      </c>
      <c r="D631" s="49" t="str">
        <f>IFERROR(VLOOKUP(B631,منتجات!$A$3:$C$350,3,0),"")</f>
        <v/>
      </c>
      <c r="E631" s="49"/>
      <c r="F631" s="49" t="str">
        <f>IFERROR(INDEX(منتجات!$G$3:$G$114,MATCH(B631,منتجات!$A$3:$A$115,0)),"")</f>
        <v/>
      </c>
      <c r="G631" s="51" t="str">
        <f t="shared" si="11"/>
        <v/>
      </c>
      <c r="H631" s="54"/>
    </row>
    <row r="632" spans="1:8" x14ac:dyDescent="0.35">
      <c r="A632" s="51"/>
      <c r="B632" s="51"/>
      <c r="C632" s="51" t="str">
        <f>IFERROR(VLOOKUP(B632,منتجات!$A$3:$C$350,2,0),"")</f>
        <v/>
      </c>
      <c r="D632" s="51" t="str">
        <f>IFERROR(VLOOKUP(B632,منتجات!$A$3:$C$350,3,0),"")</f>
        <v/>
      </c>
      <c r="E632" s="51"/>
      <c r="F632" s="51" t="str">
        <f>IFERROR(INDEX(منتجات!$G$3:$G$114,MATCH(B632,منتجات!$A$3:$A$115,0)),"")</f>
        <v/>
      </c>
      <c r="G632" s="51" t="str">
        <f t="shared" si="11"/>
        <v/>
      </c>
      <c r="H632" s="53"/>
    </row>
    <row r="633" spans="1:8" x14ac:dyDescent="0.35">
      <c r="A633" s="49"/>
      <c r="B633" s="49"/>
      <c r="C633" s="51" t="str">
        <f>IFERROR(VLOOKUP(B633,منتجات!$A$3:$C$350,2,0),"")</f>
        <v/>
      </c>
      <c r="D633" s="49" t="str">
        <f>IFERROR(VLOOKUP(B633,منتجات!$A$3:$C$350,3,0),"")</f>
        <v/>
      </c>
      <c r="E633" s="49"/>
      <c r="F633" s="49" t="str">
        <f>IFERROR(INDEX(منتجات!$G$3:$G$114,MATCH(B633,منتجات!$A$3:$A$115,0)),"")</f>
        <v/>
      </c>
      <c r="G633" s="51" t="str">
        <f t="shared" si="11"/>
        <v/>
      </c>
      <c r="H633" s="54"/>
    </row>
    <row r="634" spans="1:8" x14ac:dyDescent="0.35">
      <c r="A634" s="51"/>
      <c r="B634" s="51"/>
      <c r="C634" s="51" t="str">
        <f>IFERROR(VLOOKUP(B634,منتجات!$A$3:$C$350,2,0),"")</f>
        <v/>
      </c>
      <c r="D634" s="51" t="str">
        <f>IFERROR(VLOOKUP(B634,منتجات!$A$3:$C$350,3,0),"")</f>
        <v/>
      </c>
      <c r="E634" s="51"/>
      <c r="F634" s="51" t="str">
        <f>IFERROR(INDEX(منتجات!$G$3:$G$114,MATCH(B634,منتجات!$A$3:$A$115,0)),"")</f>
        <v/>
      </c>
      <c r="G634" s="51" t="str">
        <f t="shared" si="11"/>
        <v/>
      </c>
      <c r="H634" s="53"/>
    </row>
    <row r="635" spans="1:8" x14ac:dyDescent="0.35">
      <c r="A635" s="49"/>
      <c r="B635" s="49"/>
      <c r="C635" s="51" t="str">
        <f>IFERROR(VLOOKUP(B635,منتجات!$A$3:$C$350,2,0),"")</f>
        <v/>
      </c>
      <c r="D635" s="49" t="str">
        <f>IFERROR(VLOOKUP(B635,منتجات!$A$3:$C$350,3,0),"")</f>
        <v/>
      </c>
      <c r="E635" s="49"/>
      <c r="F635" s="49" t="str">
        <f>IFERROR(INDEX(منتجات!$G$3:$G$114,MATCH(B635,منتجات!$A$3:$A$115,0)),"")</f>
        <v/>
      </c>
      <c r="G635" s="51" t="str">
        <f t="shared" si="11"/>
        <v/>
      </c>
      <c r="H635" s="54"/>
    </row>
    <row r="636" spans="1:8" x14ac:dyDescent="0.35">
      <c r="A636" s="51"/>
      <c r="B636" s="51"/>
      <c r="C636" s="51" t="str">
        <f>IFERROR(VLOOKUP(B636,منتجات!$A$3:$C$350,2,0),"")</f>
        <v/>
      </c>
      <c r="D636" s="51" t="str">
        <f>IFERROR(VLOOKUP(B636,منتجات!$A$3:$C$350,3,0),"")</f>
        <v/>
      </c>
      <c r="E636" s="51"/>
      <c r="F636" s="51" t="str">
        <f>IFERROR(INDEX(منتجات!$G$3:$G$114,MATCH(B636,منتجات!$A$3:$A$115,0)),"")</f>
        <v/>
      </c>
      <c r="G636" s="51" t="str">
        <f t="shared" si="11"/>
        <v/>
      </c>
      <c r="H636" s="53"/>
    </row>
    <row r="637" spans="1:8" x14ac:dyDescent="0.35">
      <c r="A637" s="49"/>
      <c r="B637" s="49"/>
      <c r="C637" s="51" t="str">
        <f>IFERROR(VLOOKUP(B637,منتجات!$A$3:$C$350,2,0),"")</f>
        <v/>
      </c>
      <c r="D637" s="49" t="str">
        <f>IFERROR(VLOOKUP(B637,منتجات!$A$3:$C$350,3,0),"")</f>
        <v/>
      </c>
      <c r="E637" s="49"/>
      <c r="F637" s="49" t="str">
        <f>IFERROR(INDEX(منتجات!$G$3:$G$114,MATCH(B637,منتجات!$A$3:$A$115,0)),"")</f>
        <v/>
      </c>
      <c r="G637" s="51" t="str">
        <f t="shared" si="11"/>
        <v/>
      </c>
      <c r="H637" s="54"/>
    </row>
    <row r="638" spans="1:8" x14ac:dyDescent="0.35">
      <c r="A638" s="51"/>
      <c r="B638" s="51"/>
      <c r="C638" s="51" t="str">
        <f>IFERROR(VLOOKUP(B638,منتجات!$A$3:$C$350,2,0),"")</f>
        <v/>
      </c>
      <c r="D638" s="51" t="str">
        <f>IFERROR(VLOOKUP(B638,منتجات!$A$3:$C$350,3,0),"")</f>
        <v/>
      </c>
      <c r="E638" s="51"/>
      <c r="F638" s="51" t="str">
        <f>IFERROR(INDEX(منتجات!$G$3:$G$114,MATCH(B638,منتجات!$A$3:$A$115,0)),"")</f>
        <v/>
      </c>
      <c r="G638" s="51" t="str">
        <f t="shared" si="11"/>
        <v/>
      </c>
      <c r="H638" s="53"/>
    </row>
    <row r="639" spans="1:8" x14ac:dyDescent="0.35">
      <c r="A639" s="49"/>
      <c r="B639" s="49"/>
      <c r="C639" s="51" t="str">
        <f>IFERROR(VLOOKUP(B639,منتجات!$A$3:$C$350,2,0),"")</f>
        <v/>
      </c>
      <c r="D639" s="49" t="str">
        <f>IFERROR(VLOOKUP(B639,منتجات!$A$3:$C$350,3,0),"")</f>
        <v/>
      </c>
      <c r="E639" s="49"/>
      <c r="F639" s="49" t="str">
        <f>IFERROR(INDEX(منتجات!$G$3:$G$114,MATCH(B639,منتجات!$A$3:$A$115,0)),"")</f>
        <v/>
      </c>
      <c r="G639" s="51" t="str">
        <f t="shared" si="11"/>
        <v/>
      </c>
      <c r="H639" s="54"/>
    </row>
    <row r="640" spans="1:8" x14ac:dyDescent="0.35">
      <c r="A640" s="51"/>
      <c r="B640" s="51"/>
      <c r="C640" s="51" t="str">
        <f>IFERROR(VLOOKUP(B640,منتجات!$A$3:$C$350,2,0),"")</f>
        <v/>
      </c>
      <c r="D640" s="51" t="str">
        <f>IFERROR(VLOOKUP(B640,منتجات!$A$3:$C$350,3,0),"")</f>
        <v/>
      </c>
      <c r="E640" s="51"/>
      <c r="F640" s="51" t="str">
        <f>IFERROR(INDEX(منتجات!$G$3:$G$114,MATCH(B640,منتجات!$A$3:$A$115,0)),"")</f>
        <v/>
      </c>
      <c r="G640" s="51" t="str">
        <f t="shared" si="11"/>
        <v/>
      </c>
      <c r="H640" s="53"/>
    </row>
    <row r="641" spans="1:8" x14ac:dyDescent="0.35">
      <c r="A641" s="49"/>
      <c r="B641" s="49"/>
      <c r="C641" s="51" t="str">
        <f>IFERROR(VLOOKUP(B641,منتجات!$A$3:$C$350,2,0),"")</f>
        <v/>
      </c>
      <c r="D641" s="49" t="str">
        <f>IFERROR(VLOOKUP(B641,منتجات!$A$3:$C$350,3,0),"")</f>
        <v/>
      </c>
      <c r="E641" s="49"/>
      <c r="F641" s="49" t="str">
        <f>IFERROR(INDEX(منتجات!$G$3:$G$114,MATCH(B641,منتجات!$A$3:$A$115,0)),"")</f>
        <v/>
      </c>
      <c r="G641" s="51" t="str">
        <f t="shared" si="11"/>
        <v/>
      </c>
      <c r="H641" s="54"/>
    </row>
    <row r="642" spans="1:8" x14ac:dyDescent="0.35">
      <c r="A642" s="51"/>
      <c r="B642" s="51"/>
      <c r="C642" s="51" t="str">
        <f>IFERROR(VLOOKUP(B642,منتجات!$A$3:$C$350,2,0),"")</f>
        <v/>
      </c>
      <c r="D642" s="51" t="str">
        <f>IFERROR(VLOOKUP(B642,منتجات!$A$3:$C$350,3,0),"")</f>
        <v/>
      </c>
      <c r="E642" s="51"/>
      <c r="F642" s="51" t="str">
        <f>IFERROR(INDEX(منتجات!$G$3:$G$114,MATCH(B642,منتجات!$A$3:$A$115,0)),"")</f>
        <v/>
      </c>
      <c r="G642" s="51" t="str">
        <f t="shared" si="11"/>
        <v/>
      </c>
      <c r="H642" s="53"/>
    </row>
    <row r="643" spans="1:8" x14ac:dyDescent="0.35">
      <c r="A643" s="49"/>
      <c r="B643" s="49"/>
      <c r="C643" s="51" t="str">
        <f>IFERROR(VLOOKUP(B643,منتجات!$A$3:$C$350,2,0),"")</f>
        <v/>
      </c>
      <c r="D643" s="49" t="str">
        <f>IFERROR(VLOOKUP(B643,منتجات!$A$3:$C$350,3,0),"")</f>
        <v/>
      </c>
      <c r="E643" s="49"/>
      <c r="F643" s="49" t="str">
        <f>IFERROR(INDEX(منتجات!$G$3:$G$114,MATCH(B643,منتجات!$A$3:$A$115,0)),"")</f>
        <v/>
      </c>
      <c r="G643" s="51" t="str">
        <f t="shared" si="11"/>
        <v/>
      </c>
      <c r="H643" s="54"/>
    </row>
    <row r="644" spans="1:8" x14ac:dyDescent="0.35">
      <c r="A644" s="51"/>
      <c r="B644" s="51"/>
      <c r="C644" s="51" t="str">
        <f>IFERROR(VLOOKUP(B644,منتجات!$A$3:$C$350,2,0),"")</f>
        <v/>
      </c>
      <c r="D644" s="51" t="str">
        <f>IFERROR(VLOOKUP(B644,منتجات!$A$3:$C$350,3,0),"")</f>
        <v/>
      </c>
      <c r="E644" s="51"/>
      <c r="F644" s="51" t="str">
        <f>IFERROR(INDEX(منتجات!$G$3:$G$114,MATCH(B644,منتجات!$A$3:$A$115,0)),"")</f>
        <v/>
      </c>
      <c r="G644" s="51" t="str">
        <f t="shared" si="11"/>
        <v/>
      </c>
      <c r="H644" s="53"/>
    </row>
    <row r="645" spans="1:8" x14ac:dyDescent="0.35">
      <c r="A645" s="49"/>
      <c r="B645" s="49"/>
      <c r="C645" s="51" t="str">
        <f>IFERROR(VLOOKUP(B645,منتجات!$A$3:$C$350,2,0),"")</f>
        <v/>
      </c>
      <c r="D645" s="49" t="str">
        <f>IFERROR(VLOOKUP(B645,منتجات!$A$3:$C$350,3,0),"")</f>
        <v/>
      </c>
      <c r="E645" s="49"/>
      <c r="F645" s="49" t="str">
        <f>IFERROR(INDEX(منتجات!$G$3:$G$114,MATCH(B645,منتجات!$A$3:$A$115,0)),"")</f>
        <v/>
      </c>
      <c r="G645" s="51" t="str">
        <f t="shared" si="11"/>
        <v/>
      </c>
      <c r="H645" s="54"/>
    </row>
    <row r="646" spans="1:8" x14ac:dyDescent="0.35">
      <c r="A646" s="51"/>
      <c r="B646" s="51"/>
      <c r="C646" s="51" t="str">
        <f>IFERROR(VLOOKUP(B646,منتجات!$A$3:$C$350,2,0),"")</f>
        <v/>
      </c>
      <c r="D646" s="51" t="str">
        <f>IFERROR(VLOOKUP(B646,منتجات!$A$3:$C$350,3,0),"")</f>
        <v/>
      </c>
      <c r="E646" s="51"/>
      <c r="F646" s="51" t="str">
        <f>IFERROR(INDEX(منتجات!$G$3:$G$114,MATCH(B646,منتجات!$A$3:$A$115,0)),"")</f>
        <v/>
      </c>
      <c r="G646" s="51" t="str">
        <f t="shared" si="11"/>
        <v/>
      </c>
      <c r="H646" s="53"/>
    </row>
    <row r="647" spans="1:8" x14ac:dyDescent="0.35">
      <c r="A647" s="49"/>
      <c r="B647" s="49"/>
      <c r="C647" s="51" t="str">
        <f>IFERROR(VLOOKUP(B647,منتجات!$A$3:$C$350,2,0),"")</f>
        <v/>
      </c>
      <c r="D647" s="49" t="str">
        <f>IFERROR(VLOOKUP(B647,منتجات!$A$3:$C$350,3,0),"")</f>
        <v/>
      </c>
      <c r="E647" s="49"/>
      <c r="F647" s="49" t="str">
        <f>IFERROR(INDEX(منتجات!$G$3:$G$114,MATCH(B647,منتجات!$A$3:$A$115,0)),"")</f>
        <v/>
      </c>
      <c r="G647" s="51" t="str">
        <f t="shared" si="11"/>
        <v/>
      </c>
      <c r="H647" s="54"/>
    </row>
    <row r="648" spans="1:8" x14ac:dyDescent="0.35">
      <c r="A648" s="51"/>
      <c r="B648" s="51"/>
      <c r="C648" s="51" t="str">
        <f>IFERROR(VLOOKUP(B648,منتجات!$A$3:$C$350,2,0),"")</f>
        <v/>
      </c>
      <c r="D648" s="51" t="str">
        <f>IFERROR(VLOOKUP(B648,منتجات!$A$3:$C$350,3,0),"")</f>
        <v/>
      </c>
      <c r="E648" s="51"/>
      <c r="F648" s="51" t="str">
        <f>IFERROR(INDEX(منتجات!$G$3:$G$114,MATCH(B648,منتجات!$A$3:$A$115,0)),"")</f>
        <v/>
      </c>
      <c r="G648" s="51" t="str">
        <f t="shared" si="11"/>
        <v/>
      </c>
      <c r="H648" s="53"/>
    </row>
    <row r="649" spans="1:8" x14ac:dyDescent="0.35">
      <c r="A649" s="49"/>
      <c r="B649" s="49"/>
      <c r="C649" s="51" t="str">
        <f>IFERROR(VLOOKUP(B649,منتجات!$A$3:$C$350,2,0),"")</f>
        <v/>
      </c>
      <c r="D649" s="49" t="str">
        <f>IFERROR(VLOOKUP(B649,منتجات!$A$3:$C$350,3,0),"")</f>
        <v/>
      </c>
      <c r="E649" s="49"/>
      <c r="F649" s="49" t="str">
        <f>IFERROR(INDEX(منتجات!$G$3:$G$114,MATCH(B649,منتجات!$A$3:$A$115,0)),"")</f>
        <v/>
      </c>
      <c r="G649" s="51" t="str">
        <f t="shared" si="11"/>
        <v/>
      </c>
      <c r="H649" s="54"/>
    </row>
    <row r="650" spans="1:8" x14ac:dyDescent="0.35">
      <c r="A650" s="51"/>
      <c r="B650" s="51"/>
      <c r="C650" s="51" t="str">
        <f>IFERROR(VLOOKUP(B650,منتجات!$A$3:$C$350,2,0),"")</f>
        <v/>
      </c>
      <c r="D650" s="51" t="str">
        <f>IFERROR(VLOOKUP(B650,منتجات!$A$3:$C$350,3,0),"")</f>
        <v/>
      </c>
      <c r="E650" s="51"/>
      <c r="F650" s="51" t="str">
        <f>IFERROR(INDEX(منتجات!$G$3:$G$114,MATCH(B650,منتجات!$A$3:$A$115,0)),"")</f>
        <v/>
      </c>
      <c r="G650" s="51" t="str">
        <f t="shared" si="11"/>
        <v/>
      </c>
      <c r="H650" s="53"/>
    </row>
    <row r="651" spans="1:8" x14ac:dyDescent="0.35">
      <c r="A651" s="49"/>
      <c r="B651" s="49"/>
      <c r="C651" s="51" t="str">
        <f>IFERROR(VLOOKUP(B651,منتجات!$A$3:$C$350,2,0),"")</f>
        <v/>
      </c>
      <c r="D651" s="49" t="str">
        <f>IFERROR(VLOOKUP(B651,منتجات!$A$3:$C$350,3,0),"")</f>
        <v/>
      </c>
      <c r="E651" s="49"/>
      <c r="F651" s="49" t="str">
        <f>IFERROR(INDEX(منتجات!$G$3:$G$114,MATCH(B651,منتجات!$A$3:$A$115,0)),"")</f>
        <v/>
      </c>
      <c r="G651" s="51" t="str">
        <f t="shared" si="11"/>
        <v/>
      </c>
      <c r="H651" s="54"/>
    </row>
    <row r="652" spans="1:8" x14ac:dyDescent="0.35">
      <c r="A652" s="51"/>
      <c r="B652" s="51"/>
      <c r="C652" s="51" t="str">
        <f>IFERROR(VLOOKUP(B652,منتجات!$A$3:$C$350,2,0),"")</f>
        <v/>
      </c>
      <c r="D652" s="51" t="str">
        <f>IFERROR(VLOOKUP(B652,منتجات!$A$3:$C$350,3,0),"")</f>
        <v/>
      </c>
      <c r="E652" s="51"/>
      <c r="F652" s="51" t="str">
        <f>IFERROR(INDEX(منتجات!$G$3:$G$114,MATCH(B652,منتجات!$A$3:$A$115,0)),"")</f>
        <v/>
      </c>
      <c r="G652" s="51" t="str">
        <f t="shared" si="11"/>
        <v/>
      </c>
      <c r="H652" s="53"/>
    </row>
    <row r="653" spans="1:8" x14ac:dyDescent="0.35">
      <c r="A653" s="49"/>
      <c r="B653" s="49"/>
      <c r="C653" s="51" t="str">
        <f>IFERROR(VLOOKUP(B653,منتجات!$A$3:$C$350,2,0),"")</f>
        <v/>
      </c>
      <c r="D653" s="49" t="str">
        <f>IFERROR(VLOOKUP(B653,منتجات!$A$3:$C$350,3,0),"")</f>
        <v/>
      </c>
      <c r="E653" s="49"/>
      <c r="F653" s="49" t="str">
        <f>IFERROR(INDEX(منتجات!$G$3:$G$114,MATCH(B653,منتجات!$A$3:$A$115,0)),"")</f>
        <v/>
      </c>
      <c r="G653" s="51" t="str">
        <f t="shared" si="11"/>
        <v/>
      </c>
      <c r="H653" s="54"/>
    </row>
    <row r="654" spans="1:8" x14ac:dyDescent="0.35">
      <c r="A654" s="51"/>
      <c r="B654" s="51"/>
      <c r="C654" s="51" t="str">
        <f>IFERROR(VLOOKUP(B654,منتجات!$A$3:$C$350,2,0),"")</f>
        <v/>
      </c>
      <c r="D654" s="51" t="str">
        <f>IFERROR(VLOOKUP(B654,منتجات!$A$3:$C$350,3,0),"")</f>
        <v/>
      </c>
      <c r="E654" s="51"/>
      <c r="F654" s="51" t="str">
        <f>IFERROR(INDEX(منتجات!$G$3:$G$114,MATCH(B654,منتجات!$A$3:$A$115,0)),"")</f>
        <v/>
      </c>
      <c r="G654" s="51" t="str">
        <f t="shared" ref="G654:G717" si="12">IFERROR(E654*F654*D654,"")</f>
        <v/>
      </c>
      <c r="H654" s="53"/>
    </row>
    <row r="655" spans="1:8" x14ac:dyDescent="0.35">
      <c r="A655" s="49"/>
      <c r="B655" s="49"/>
      <c r="C655" s="51" t="str">
        <f>IFERROR(VLOOKUP(B655,منتجات!$A$3:$C$350,2,0),"")</f>
        <v/>
      </c>
      <c r="D655" s="49" t="str">
        <f>IFERROR(VLOOKUP(B655,منتجات!$A$3:$C$350,3,0),"")</f>
        <v/>
      </c>
      <c r="E655" s="49"/>
      <c r="F655" s="49" t="str">
        <f>IFERROR(INDEX(منتجات!$G$3:$G$114,MATCH(B655,منتجات!$A$3:$A$115,0)),"")</f>
        <v/>
      </c>
      <c r="G655" s="51" t="str">
        <f t="shared" si="12"/>
        <v/>
      </c>
      <c r="H655" s="54"/>
    </row>
    <row r="656" spans="1:8" x14ac:dyDescent="0.35">
      <c r="A656" s="51"/>
      <c r="B656" s="51"/>
      <c r="C656" s="51" t="str">
        <f>IFERROR(VLOOKUP(B656,منتجات!$A$3:$C$350,2,0),"")</f>
        <v/>
      </c>
      <c r="D656" s="51" t="str">
        <f>IFERROR(VLOOKUP(B656,منتجات!$A$3:$C$350,3,0),"")</f>
        <v/>
      </c>
      <c r="E656" s="51"/>
      <c r="F656" s="51" t="str">
        <f>IFERROR(INDEX(منتجات!$G$3:$G$114,MATCH(B656,منتجات!$A$3:$A$115,0)),"")</f>
        <v/>
      </c>
      <c r="G656" s="51" t="str">
        <f t="shared" si="12"/>
        <v/>
      </c>
      <c r="H656" s="53"/>
    </row>
    <row r="657" spans="1:8" x14ac:dyDescent="0.35">
      <c r="A657" s="49"/>
      <c r="B657" s="49"/>
      <c r="C657" s="51" t="str">
        <f>IFERROR(VLOOKUP(B657,منتجات!$A$3:$C$350,2,0),"")</f>
        <v/>
      </c>
      <c r="D657" s="49" t="str">
        <f>IFERROR(VLOOKUP(B657,منتجات!$A$3:$C$350,3,0),"")</f>
        <v/>
      </c>
      <c r="E657" s="49"/>
      <c r="F657" s="49" t="str">
        <f>IFERROR(INDEX(منتجات!$G$3:$G$114,MATCH(B657,منتجات!$A$3:$A$115,0)),"")</f>
        <v/>
      </c>
      <c r="G657" s="51" t="str">
        <f t="shared" si="12"/>
        <v/>
      </c>
      <c r="H657" s="54"/>
    </row>
    <row r="658" spans="1:8" x14ac:dyDescent="0.35">
      <c r="A658" s="51"/>
      <c r="B658" s="51"/>
      <c r="C658" s="51" t="str">
        <f>IFERROR(VLOOKUP(B658,منتجات!$A$3:$C$350,2,0),"")</f>
        <v/>
      </c>
      <c r="D658" s="51" t="str">
        <f>IFERROR(VLOOKUP(B658,منتجات!$A$3:$C$350,3,0),"")</f>
        <v/>
      </c>
      <c r="E658" s="51"/>
      <c r="F658" s="51" t="str">
        <f>IFERROR(INDEX(منتجات!$G$3:$G$114,MATCH(B658,منتجات!$A$3:$A$115,0)),"")</f>
        <v/>
      </c>
      <c r="G658" s="51" t="str">
        <f t="shared" si="12"/>
        <v/>
      </c>
      <c r="H658" s="53"/>
    </row>
    <row r="659" spans="1:8" x14ac:dyDescent="0.35">
      <c r="A659" s="49"/>
      <c r="B659" s="49"/>
      <c r="C659" s="51" t="str">
        <f>IFERROR(VLOOKUP(B659,منتجات!$A$3:$C$350,2,0),"")</f>
        <v/>
      </c>
      <c r="D659" s="49" t="str">
        <f>IFERROR(VLOOKUP(B659,منتجات!$A$3:$C$350,3,0),"")</f>
        <v/>
      </c>
      <c r="E659" s="49"/>
      <c r="F659" s="49" t="str">
        <f>IFERROR(INDEX(منتجات!$G$3:$G$114,MATCH(B659,منتجات!$A$3:$A$115,0)),"")</f>
        <v/>
      </c>
      <c r="G659" s="51" t="str">
        <f t="shared" si="12"/>
        <v/>
      </c>
      <c r="H659" s="54"/>
    </row>
    <row r="660" spans="1:8" x14ac:dyDescent="0.35">
      <c r="A660" s="51"/>
      <c r="B660" s="51"/>
      <c r="C660" s="51" t="str">
        <f>IFERROR(VLOOKUP(B660,منتجات!$A$3:$C$350,2,0),"")</f>
        <v/>
      </c>
      <c r="D660" s="51" t="str">
        <f>IFERROR(VLOOKUP(B660,منتجات!$A$3:$C$350,3,0),"")</f>
        <v/>
      </c>
      <c r="E660" s="51"/>
      <c r="F660" s="51" t="str">
        <f>IFERROR(INDEX(منتجات!$G$3:$G$114,MATCH(B660,منتجات!$A$3:$A$115,0)),"")</f>
        <v/>
      </c>
      <c r="G660" s="51" t="str">
        <f t="shared" si="12"/>
        <v/>
      </c>
      <c r="H660" s="53"/>
    </row>
    <row r="661" spans="1:8" x14ac:dyDescent="0.35">
      <c r="A661" s="49"/>
      <c r="B661" s="49"/>
      <c r="C661" s="51" t="str">
        <f>IFERROR(VLOOKUP(B661,منتجات!$A$3:$C$350,2,0),"")</f>
        <v/>
      </c>
      <c r="D661" s="49" t="str">
        <f>IFERROR(VLOOKUP(B661,منتجات!$A$3:$C$350,3,0),"")</f>
        <v/>
      </c>
      <c r="E661" s="49"/>
      <c r="F661" s="49" t="str">
        <f>IFERROR(INDEX(منتجات!$G$3:$G$114,MATCH(B661,منتجات!$A$3:$A$115,0)),"")</f>
        <v/>
      </c>
      <c r="G661" s="51" t="str">
        <f t="shared" si="12"/>
        <v/>
      </c>
      <c r="H661" s="54"/>
    </row>
    <row r="662" spans="1:8" x14ac:dyDescent="0.35">
      <c r="A662" s="51"/>
      <c r="B662" s="51"/>
      <c r="C662" s="51" t="str">
        <f>IFERROR(VLOOKUP(B662,منتجات!$A$3:$C$350,2,0),"")</f>
        <v/>
      </c>
      <c r="D662" s="51" t="str">
        <f>IFERROR(VLOOKUP(B662,منتجات!$A$3:$C$350,3,0),"")</f>
        <v/>
      </c>
      <c r="E662" s="51"/>
      <c r="F662" s="51" t="str">
        <f>IFERROR(INDEX(منتجات!$G$3:$G$114,MATCH(B662,منتجات!$A$3:$A$115,0)),"")</f>
        <v/>
      </c>
      <c r="G662" s="51" t="str">
        <f t="shared" si="12"/>
        <v/>
      </c>
      <c r="H662" s="53"/>
    </row>
    <row r="663" spans="1:8" x14ac:dyDescent="0.35">
      <c r="A663" s="49"/>
      <c r="B663" s="49"/>
      <c r="C663" s="51" t="str">
        <f>IFERROR(VLOOKUP(B663,منتجات!$A$3:$C$350,2,0),"")</f>
        <v/>
      </c>
      <c r="D663" s="49" t="str">
        <f>IFERROR(VLOOKUP(B663,منتجات!$A$3:$C$350,3,0),"")</f>
        <v/>
      </c>
      <c r="E663" s="49"/>
      <c r="F663" s="49" t="str">
        <f>IFERROR(INDEX(منتجات!$G$3:$G$114,MATCH(B663,منتجات!$A$3:$A$115,0)),"")</f>
        <v/>
      </c>
      <c r="G663" s="51" t="str">
        <f t="shared" si="12"/>
        <v/>
      </c>
      <c r="H663" s="54"/>
    </row>
    <row r="664" spans="1:8" x14ac:dyDescent="0.35">
      <c r="A664" s="51"/>
      <c r="B664" s="51"/>
      <c r="C664" s="51" t="str">
        <f>IFERROR(VLOOKUP(B664,منتجات!$A$3:$C$350,2,0),"")</f>
        <v/>
      </c>
      <c r="D664" s="51" t="str">
        <f>IFERROR(VLOOKUP(B664,منتجات!$A$3:$C$350,3,0),"")</f>
        <v/>
      </c>
      <c r="E664" s="51"/>
      <c r="F664" s="51" t="str">
        <f>IFERROR(INDEX(منتجات!$G$3:$G$114,MATCH(B664,منتجات!$A$3:$A$115,0)),"")</f>
        <v/>
      </c>
      <c r="G664" s="51" t="str">
        <f t="shared" si="12"/>
        <v/>
      </c>
      <c r="H664" s="53"/>
    </row>
    <row r="665" spans="1:8" x14ac:dyDescent="0.35">
      <c r="A665" s="49"/>
      <c r="B665" s="49"/>
      <c r="C665" s="51" t="str">
        <f>IFERROR(VLOOKUP(B665,منتجات!$A$3:$C$350,2,0),"")</f>
        <v/>
      </c>
      <c r="D665" s="49" t="str">
        <f>IFERROR(VLOOKUP(B665,منتجات!$A$3:$C$350,3,0),"")</f>
        <v/>
      </c>
      <c r="E665" s="49"/>
      <c r="F665" s="49" t="str">
        <f>IFERROR(INDEX(منتجات!$G$3:$G$114,MATCH(B665,منتجات!$A$3:$A$115,0)),"")</f>
        <v/>
      </c>
      <c r="G665" s="51" t="str">
        <f t="shared" si="12"/>
        <v/>
      </c>
      <c r="H665" s="54"/>
    </row>
    <row r="666" spans="1:8" x14ac:dyDescent="0.35">
      <c r="A666" s="51"/>
      <c r="B666" s="51"/>
      <c r="C666" s="51" t="str">
        <f>IFERROR(VLOOKUP(B666,منتجات!$A$3:$C$350,2,0),"")</f>
        <v/>
      </c>
      <c r="D666" s="51" t="str">
        <f>IFERROR(VLOOKUP(B666,منتجات!$A$3:$C$350,3,0),"")</f>
        <v/>
      </c>
      <c r="E666" s="51"/>
      <c r="F666" s="51" t="str">
        <f>IFERROR(INDEX(منتجات!$G$3:$G$114,MATCH(B666,منتجات!$A$3:$A$115,0)),"")</f>
        <v/>
      </c>
      <c r="G666" s="51" t="str">
        <f t="shared" si="12"/>
        <v/>
      </c>
      <c r="H666" s="53"/>
    </row>
    <row r="667" spans="1:8" x14ac:dyDescent="0.35">
      <c r="A667" s="49"/>
      <c r="B667" s="49"/>
      <c r="C667" s="51" t="str">
        <f>IFERROR(VLOOKUP(B667,منتجات!$A$3:$C$350,2,0),"")</f>
        <v/>
      </c>
      <c r="D667" s="49" t="str">
        <f>IFERROR(VLOOKUP(B667,منتجات!$A$3:$C$350,3,0),"")</f>
        <v/>
      </c>
      <c r="E667" s="49"/>
      <c r="F667" s="49" t="str">
        <f>IFERROR(INDEX(منتجات!$G$3:$G$114,MATCH(B667,منتجات!$A$3:$A$115,0)),"")</f>
        <v/>
      </c>
      <c r="G667" s="51" t="str">
        <f t="shared" si="12"/>
        <v/>
      </c>
      <c r="H667" s="54"/>
    </row>
    <row r="668" spans="1:8" x14ac:dyDescent="0.35">
      <c r="A668" s="51"/>
      <c r="B668" s="51"/>
      <c r="C668" s="51" t="str">
        <f>IFERROR(VLOOKUP(B668,منتجات!$A$3:$C$350,2,0),"")</f>
        <v/>
      </c>
      <c r="D668" s="51" t="str">
        <f>IFERROR(VLOOKUP(B668,منتجات!$A$3:$C$350,3,0),"")</f>
        <v/>
      </c>
      <c r="E668" s="51"/>
      <c r="F668" s="51" t="str">
        <f>IFERROR(INDEX(منتجات!$G$3:$G$114,MATCH(B668,منتجات!$A$3:$A$115,0)),"")</f>
        <v/>
      </c>
      <c r="G668" s="51" t="str">
        <f t="shared" si="12"/>
        <v/>
      </c>
      <c r="H668" s="53"/>
    </row>
    <row r="669" spans="1:8" x14ac:dyDescent="0.35">
      <c r="A669" s="49"/>
      <c r="B669" s="49"/>
      <c r="C669" s="51" t="str">
        <f>IFERROR(VLOOKUP(B669,منتجات!$A$3:$C$350,2,0),"")</f>
        <v/>
      </c>
      <c r="D669" s="49" t="str">
        <f>IFERROR(VLOOKUP(B669,منتجات!$A$3:$C$350,3,0),"")</f>
        <v/>
      </c>
      <c r="E669" s="49"/>
      <c r="F669" s="49" t="str">
        <f>IFERROR(INDEX(منتجات!$G$3:$G$114,MATCH(B669,منتجات!$A$3:$A$115,0)),"")</f>
        <v/>
      </c>
      <c r="G669" s="51" t="str">
        <f t="shared" si="12"/>
        <v/>
      </c>
      <c r="H669" s="54"/>
    </row>
    <row r="670" spans="1:8" x14ac:dyDescent="0.35">
      <c r="A670" s="51"/>
      <c r="B670" s="51"/>
      <c r="C670" s="51" t="str">
        <f>IFERROR(VLOOKUP(B670,منتجات!$A$3:$C$350,2,0),"")</f>
        <v/>
      </c>
      <c r="D670" s="51" t="str">
        <f>IFERROR(VLOOKUP(B670,منتجات!$A$3:$C$350,3,0),"")</f>
        <v/>
      </c>
      <c r="E670" s="51"/>
      <c r="F670" s="51" t="str">
        <f>IFERROR(INDEX(منتجات!$G$3:$G$114,MATCH(B670,منتجات!$A$3:$A$115,0)),"")</f>
        <v/>
      </c>
      <c r="G670" s="51" t="str">
        <f t="shared" si="12"/>
        <v/>
      </c>
      <c r="H670" s="53"/>
    </row>
    <row r="671" spans="1:8" x14ac:dyDescent="0.35">
      <c r="A671" s="49"/>
      <c r="B671" s="49"/>
      <c r="C671" s="51" t="str">
        <f>IFERROR(VLOOKUP(B671,منتجات!$A$3:$C$350,2,0),"")</f>
        <v/>
      </c>
      <c r="D671" s="49" t="str">
        <f>IFERROR(VLOOKUP(B671,منتجات!$A$3:$C$350,3,0),"")</f>
        <v/>
      </c>
      <c r="E671" s="49"/>
      <c r="F671" s="49" t="str">
        <f>IFERROR(INDEX(منتجات!$G$3:$G$114,MATCH(B671,منتجات!$A$3:$A$115,0)),"")</f>
        <v/>
      </c>
      <c r="G671" s="51" t="str">
        <f t="shared" si="12"/>
        <v/>
      </c>
      <c r="H671" s="54"/>
    </row>
    <row r="672" spans="1:8" x14ac:dyDescent="0.35">
      <c r="A672" s="51"/>
      <c r="B672" s="51"/>
      <c r="C672" s="51" t="str">
        <f>IFERROR(VLOOKUP(B672,منتجات!$A$3:$C$350,2,0),"")</f>
        <v/>
      </c>
      <c r="D672" s="51" t="str">
        <f>IFERROR(VLOOKUP(B672,منتجات!$A$3:$C$350,3,0),"")</f>
        <v/>
      </c>
      <c r="E672" s="51"/>
      <c r="F672" s="51" t="str">
        <f>IFERROR(INDEX(منتجات!$G$3:$G$114,MATCH(B672,منتجات!$A$3:$A$115,0)),"")</f>
        <v/>
      </c>
      <c r="G672" s="51" t="str">
        <f t="shared" si="12"/>
        <v/>
      </c>
      <c r="H672" s="53"/>
    </row>
    <row r="673" spans="1:8" x14ac:dyDescent="0.35">
      <c r="A673" s="49"/>
      <c r="B673" s="49"/>
      <c r="C673" s="51" t="str">
        <f>IFERROR(VLOOKUP(B673,منتجات!$A$3:$C$350,2,0),"")</f>
        <v/>
      </c>
      <c r="D673" s="49" t="str">
        <f>IFERROR(VLOOKUP(B673,منتجات!$A$3:$C$350,3,0),"")</f>
        <v/>
      </c>
      <c r="E673" s="49"/>
      <c r="F673" s="49" t="str">
        <f>IFERROR(INDEX(منتجات!$G$3:$G$114,MATCH(B673,منتجات!$A$3:$A$115,0)),"")</f>
        <v/>
      </c>
      <c r="G673" s="51" t="str">
        <f t="shared" si="12"/>
        <v/>
      </c>
      <c r="H673" s="54"/>
    </row>
    <row r="674" spans="1:8" x14ac:dyDescent="0.35">
      <c r="A674" s="51"/>
      <c r="B674" s="51"/>
      <c r="C674" s="51" t="str">
        <f>IFERROR(VLOOKUP(B674,منتجات!$A$3:$C$350,2,0),"")</f>
        <v/>
      </c>
      <c r="D674" s="51" t="str">
        <f>IFERROR(VLOOKUP(B674,منتجات!$A$3:$C$350,3,0),"")</f>
        <v/>
      </c>
      <c r="E674" s="51"/>
      <c r="F674" s="51" t="str">
        <f>IFERROR(INDEX(منتجات!$G$3:$G$114,MATCH(B674,منتجات!$A$3:$A$115,0)),"")</f>
        <v/>
      </c>
      <c r="G674" s="51" t="str">
        <f t="shared" si="12"/>
        <v/>
      </c>
      <c r="H674" s="53"/>
    </row>
    <row r="675" spans="1:8" x14ac:dyDescent="0.35">
      <c r="A675" s="49"/>
      <c r="B675" s="49"/>
      <c r="C675" s="51" t="str">
        <f>IFERROR(VLOOKUP(B675,منتجات!$A$3:$C$350,2,0),"")</f>
        <v/>
      </c>
      <c r="D675" s="49" t="str">
        <f>IFERROR(VLOOKUP(B675,منتجات!$A$3:$C$350,3,0),"")</f>
        <v/>
      </c>
      <c r="E675" s="49"/>
      <c r="F675" s="49" t="str">
        <f>IFERROR(INDEX(منتجات!$G$3:$G$114,MATCH(B675,منتجات!$A$3:$A$115,0)),"")</f>
        <v/>
      </c>
      <c r="G675" s="51" t="str">
        <f t="shared" si="12"/>
        <v/>
      </c>
      <c r="H675" s="54"/>
    </row>
    <row r="676" spans="1:8" x14ac:dyDescent="0.35">
      <c r="A676" s="51"/>
      <c r="B676" s="51"/>
      <c r="C676" s="51" t="str">
        <f>IFERROR(VLOOKUP(B676,منتجات!$A$3:$C$350,2,0),"")</f>
        <v/>
      </c>
      <c r="D676" s="51" t="str">
        <f>IFERROR(VLOOKUP(B676,منتجات!$A$3:$C$350,3,0),"")</f>
        <v/>
      </c>
      <c r="E676" s="51"/>
      <c r="F676" s="51" t="str">
        <f>IFERROR(INDEX(منتجات!$G$3:$G$114,MATCH(B676,منتجات!$A$3:$A$115,0)),"")</f>
        <v/>
      </c>
      <c r="G676" s="51" t="str">
        <f t="shared" si="12"/>
        <v/>
      </c>
      <c r="H676" s="53"/>
    </row>
    <row r="677" spans="1:8" x14ac:dyDescent="0.35">
      <c r="A677" s="49"/>
      <c r="B677" s="49"/>
      <c r="C677" s="51" t="str">
        <f>IFERROR(VLOOKUP(B677,منتجات!$A$3:$C$350,2,0),"")</f>
        <v/>
      </c>
      <c r="D677" s="49" t="str">
        <f>IFERROR(VLOOKUP(B677,منتجات!$A$3:$C$350,3,0),"")</f>
        <v/>
      </c>
      <c r="E677" s="49"/>
      <c r="F677" s="49" t="str">
        <f>IFERROR(INDEX(منتجات!$G$3:$G$114,MATCH(B677,منتجات!$A$3:$A$115,0)),"")</f>
        <v/>
      </c>
      <c r="G677" s="51" t="str">
        <f t="shared" si="12"/>
        <v/>
      </c>
      <c r="H677" s="54"/>
    </row>
    <row r="678" spans="1:8" x14ac:dyDescent="0.35">
      <c r="A678" s="51"/>
      <c r="B678" s="51"/>
      <c r="C678" s="51" t="str">
        <f>IFERROR(VLOOKUP(B678,منتجات!$A$3:$C$350,2,0),"")</f>
        <v/>
      </c>
      <c r="D678" s="51" t="str">
        <f>IFERROR(VLOOKUP(B678,منتجات!$A$3:$C$350,3,0),"")</f>
        <v/>
      </c>
      <c r="E678" s="51"/>
      <c r="F678" s="51" t="str">
        <f>IFERROR(INDEX(منتجات!$G$3:$G$114,MATCH(B678,منتجات!$A$3:$A$115,0)),"")</f>
        <v/>
      </c>
      <c r="G678" s="51" t="str">
        <f t="shared" si="12"/>
        <v/>
      </c>
      <c r="H678" s="53"/>
    </row>
    <row r="679" spans="1:8" x14ac:dyDescent="0.35">
      <c r="A679" s="49"/>
      <c r="B679" s="49"/>
      <c r="C679" s="51" t="str">
        <f>IFERROR(VLOOKUP(B679,منتجات!$A$3:$C$350,2,0),"")</f>
        <v/>
      </c>
      <c r="D679" s="49" t="str">
        <f>IFERROR(VLOOKUP(B679,منتجات!$A$3:$C$350,3,0),"")</f>
        <v/>
      </c>
      <c r="E679" s="49"/>
      <c r="F679" s="49" t="str">
        <f>IFERROR(INDEX(منتجات!$G$3:$G$114,MATCH(B679,منتجات!$A$3:$A$115,0)),"")</f>
        <v/>
      </c>
      <c r="G679" s="51" t="str">
        <f t="shared" si="12"/>
        <v/>
      </c>
      <c r="H679" s="54"/>
    </row>
    <row r="680" spans="1:8" x14ac:dyDescent="0.35">
      <c r="A680" s="51"/>
      <c r="B680" s="51"/>
      <c r="C680" s="51" t="str">
        <f>IFERROR(VLOOKUP(B680,منتجات!$A$3:$C$350,2,0),"")</f>
        <v/>
      </c>
      <c r="D680" s="51" t="str">
        <f>IFERROR(VLOOKUP(B680,منتجات!$A$3:$C$350,3,0),"")</f>
        <v/>
      </c>
      <c r="E680" s="51"/>
      <c r="F680" s="51" t="str">
        <f>IFERROR(INDEX(منتجات!$G$3:$G$114,MATCH(B680,منتجات!$A$3:$A$115,0)),"")</f>
        <v/>
      </c>
      <c r="G680" s="51" t="str">
        <f t="shared" si="12"/>
        <v/>
      </c>
      <c r="H680" s="53"/>
    </row>
    <row r="681" spans="1:8" x14ac:dyDescent="0.35">
      <c r="A681" s="49"/>
      <c r="B681" s="49"/>
      <c r="C681" s="51" t="str">
        <f>IFERROR(VLOOKUP(B681,منتجات!$A$3:$C$350,2,0),"")</f>
        <v/>
      </c>
      <c r="D681" s="49" t="str">
        <f>IFERROR(VLOOKUP(B681,منتجات!$A$3:$C$350,3,0),"")</f>
        <v/>
      </c>
      <c r="E681" s="49"/>
      <c r="F681" s="49" t="str">
        <f>IFERROR(INDEX(منتجات!$G$3:$G$114,MATCH(B681,منتجات!$A$3:$A$115,0)),"")</f>
        <v/>
      </c>
      <c r="G681" s="51" t="str">
        <f t="shared" si="12"/>
        <v/>
      </c>
      <c r="H681" s="54"/>
    </row>
    <row r="682" spans="1:8" x14ac:dyDescent="0.35">
      <c r="A682" s="51"/>
      <c r="B682" s="51"/>
      <c r="C682" s="51" t="str">
        <f>IFERROR(VLOOKUP(B682,منتجات!$A$3:$C$350,2,0),"")</f>
        <v/>
      </c>
      <c r="D682" s="51" t="str">
        <f>IFERROR(VLOOKUP(B682,منتجات!$A$3:$C$350,3,0),"")</f>
        <v/>
      </c>
      <c r="E682" s="51"/>
      <c r="F682" s="51" t="str">
        <f>IFERROR(INDEX(منتجات!$G$3:$G$114,MATCH(B682,منتجات!$A$3:$A$115,0)),"")</f>
        <v/>
      </c>
      <c r="G682" s="51" t="str">
        <f t="shared" si="12"/>
        <v/>
      </c>
      <c r="H682" s="53"/>
    </row>
    <row r="683" spans="1:8" x14ac:dyDescent="0.35">
      <c r="A683" s="49"/>
      <c r="B683" s="49"/>
      <c r="C683" s="51" t="str">
        <f>IFERROR(VLOOKUP(B683,منتجات!$A$3:$C$350,2,0),"")</f>
        <v/>
      </c>
      <c r="D683" s="49" t="str">
        <f>IFERROR(VLOOKUP(B683,منتجات!$A$3:$C$350,3,0),"")</f>
        <v/>
      </c>
      <c r="E683" s="49"/>
      <c r="F683" s="49" t="str">
        <f>IFERROR(INDEX(منتجات!$G$3:$G$114,MATCH(B683,منتجات!$A$3:$A$115,0)),"")</f>
        <v/>
      </c>
      <c r="G683" s="51" t="str">
        <f t="shared" si="12"/>
        <v/>
      </c>
      <c r="H683" s="54"/>
    </row>
    <row r="684" spans="1:8" x14ac:dyDescent="0.35">
      <c r="A684" s="51"/>
      <c r="B684" s="51"/>
      <c r="C684" s="51" t="str">
        <f>IFERROR(VLOOKUP(B684,منتجات!$A$3:$C$350,2,0),"")</f>
        <v/>
      </c>
      <c r="D684" s="51" t="str">
        <f>IFERROR(VLOOKUP(B684,منتجات!$A$3:$C$350,3,0),"")</f>
        <v/>
      </c>
      <c r="E684" s="51"/>
      <c r="F684" s="51" t="str">
        <f>IFERROR(INDEX(منتجات!$G$3:$G$114,MATCH(B684,منتجات!$A$3:$A$115,0)),"")</f>
        <v/>
      </c>
      <c r="G684" s="51" t="str">
        <f t="shared" si="12"/>
        <v/>
      </c>
      <c r="H684" s="53"/>
    </row>
    <row r="685" spans="1:8" x14ac:dyDescent="0.35">
      <c r="A685" s="49"/>
      <c r="B685" s="49"/>
      <c r="C685" s="51" t="str">
        <f>IFERROR(VLOOKUP(B685,منتجات!$A$3:$C$350,2,0),"")</f>
        <v/>
      </c>
      <c r="D685" s="49" t="str">
        <f>IFERROR(VLOOKUP(B685,منتجات!$A$3:$C$350,3,0),"")</f>
        <v/>
      </c>
      <c r="E685" s="49"/>
      <c r="F685" s="49" t="str">
        <f>IFERROR(INDEX(منتجات!$G$3:$G$114,MATCH(B685,منتجات!$A$3:$A$115,0)),"")</f>
        <v/>
      </c>
      <c r="G685" s="51" t="str">
        <f t="shared" si="12"/>
        <v/>
      </c>
      <c r="H685" s="54"/>
    </row>
    <row r="686" spans="1:8" x14ac:dyDescent="0.35">
      <c r="A686" s="51"/>
      <c r="B686" s="51"/>
      <c r="C686" s="51" t="str">
        <f>IFERROR(VLOOKUP(B686,منتجات!$A$3:$C$350,2,0),"")</f>
        <v/>
      </c>
      <c r="D686" s="51" t="str">
        <f>IFERROR(VLOOKUP(B686,منتجات!$A$3:$C$350,3,0),"")</f>
        <v/>
      </c>
      <c r="E686" s="51"/>
      <c r="F686" s="51" t="str">
        <f>IFERROR(INDEX(منتجات!$G$3:$G$114,MATCH(B686,منتجات!$A$3:$A$115,0)),"")</f>
        <v/>
      </c>
      <c r="G686" s="51" t="str">
        <f t="shared" si="12"/>
        <v/>
      </c>
      <c r="H686" s="53"/>
    </row>
    <row r="687" spans="1:8" x14ac:dyDescent="0.35">
      <c r="A687" s="49"/>
      <c r="B687" s="49"/>
      <c r="C687" s="51" t="str">
        <f>IFERROR(VLOOKUP(B687,منتجات!$A$3:$C$350,2,0),"")</f>
        <v/>
      </c>
      <c r="D687" s="49" t="str">
        <f>IFERROR(VLOOKUP(B687,منتجات!$A$3:$C$350,3,0),"")</f>
        <v/>
      </c>
      <c r="E687" s="49"/>
      <c r="F687" s="49" t="str">
        <f>IFERROR(INDEX(منتجات!$G$3:$G$114,MATCH(B687,منتجات!$A$3:$A$115,0)),"")</f>
        <v/>
      </c>
      <c r="G687" s="51" t="str">
        <f t="shared" si="12"/>
        <v/>
      </c>
      <c r="H687" s="54"/>
    </row>
    <row r="688" spans="1:8" x14ac:dyDescent="0.35">
      <c r="A688" s="51"/>
      <c r="B688" s="51"/>
      <c r="C688" s="51" t="str">
        <f>IFERROR(VLOOKUP(B688,منتجات!$A$3:$C$350,2,0),"")</f>
        <v/>
      </c>
      <c r="D688" s="51" t="str">
        <f>IFERROR(VLOOKUP(B688,منتجات!$A$3:$C$350,3,0),"")</f>
        <v/>
      </c>
      <c r="E688" s="51"/>
      <c r="F688" s="51" t="str">
        <f>IFERROR(INDEX(منتجات!$G$3:$G$114,MATCH(B688,منتجات!$A$3:$A$115,0)),"")</f>
        <v/>
      </c>
      <c r="G688" s="51" t="str">
        <f t="shared" si="12"/>
        <v/>
      </c>
      <c r="H688" s="53"/>
    </row>
    <row r="689" spans="1:8" x14ac:dyDescent="0.35">
      <c r="A689" s="49"/>
      <c r="B689" s="49"/>
      <c r="C689" s="51" t="str">
        <f>IFERROR(VLOOKUP(B689,منتجات!$A$3:$C$350,2,0),"")</f>
        <v/>
      </c>
      <c r="D689" s="49" t="str">
        <f>IFERROR(VLOOKUP(B689,منتجات!$A$3:$C$350,3,0),"")</f>
        <v/>
      </c>
      <c r="E689" s="49"/>
      <c r="F689" s="49" t="str">
        <f>IFERROR(INDEX(منتجات!$G$3:$G$114,MATCH(B689,منتجات!$A$3:$A$115,0)),"")</f>
        <v/>
      </c>
      <c r="G689" s="51" t="str">
        <f t="shared" si="12"/>
        <v/>
      </c>
      <c r="H689" s="54"/>
    </row>
    <row r="690" spans="1:8" x14ac:dyDescent="0.35">
      <c r="A690" s="51"/>
      <c r="B690" s="51"/>
      <c r="C690" s="51" t="str">
        <f>IFERROR(VLOOKUP(B690,منتجات!$A$3:$C$350,2,0),"")</f>
        <v/>
      </c>
      <c r="D690" s="51" t="str">
        <f>IFERROR(VLOOKUP(B690,منتجات!$A$3:$C$350,3,0),"")</f>
        <v/>
      </c>
      <c r="E690" s="51"/>
      <c r="F690" s="51" t="str">
        <f>IFERROR(INDEX(منتجات!$G$3:$G$114,MATCH(B690,منتجات!$A$3:$A$115,0)),"")</f>
        <v/>
      </c>
      <c r="G690" s="51" t="str">
        <f t="shared" si="12"/>
        <v/>
      </c>
      <c r="H690" s="53"/>
    </row>
    <row r="691" spans="1:8" x14ac:dyDescent="0.35">
      <c r="A691" s="49"/>
      <c r="B691" s="49"/>
      <c r="C691" s="51" t="str">
        <f>IFERROR(VLOOKUP(B691,منتجات!$A$3:$C$350,2,0),"")</f>
        <v/>
      </c>
      <c r="D691" s="49" t="str">
        <f>IFERROR(VLOOKUP(B691,منتجات!$A$3:$C$350,3,0),"")</f>
        <v/>
      </c>
      <c r="E691" s="49"/>
      <c r="F691" s="49" t="str">
        <f>IFERROR(INDEX(منتجات!$G$3:$G$114,MATCH(B691,منتجات!$A$3:$A$115,0)),"")</f>
        <v/>
      </c>
      <c r="G691" s="51" t="str">
        <f t="shared" si="12"/>
        <v/>
      </c>
      <c r="H691" s="54"/>
    </row>
    <row r="692" spans="1:8" x14ac:dyDescent="0.35">
      <c r="A692" s="51"/>
      <c r="B692" s="51"/>
      <c r="C692" s="51" t="str">
        <f>IFERROR(VLOOKUP(B692,منتجات!$A$3:$C$350,2,0),"")</f>
        <v/>
      </c>
      <c r="D692" s="51" t="str">
        <f>IFERROR(VLOOKUP(B692,منتجات!$A$3:$C$350,3,0),"")</f>
        <v/>
      </c>
      <c r="E692" s="51"/>
      <c r="F692" s="51" t="str">
        <f>IFERROR(INDEX(منتجات!$G$3:$G$114,MATCH(B692,منتجات!$A$3:$A$115,0)),"")</f>
        <v/>
      </c>
      <c r="G692" s="51" t="str">
        <f t="shared" si="12"/>
        <v/>
      </c>
      <c r="H692" s="53"/>
    </row>
    <row r="693" spans="1:8" x14ac:dyDescent="0.35">
      <c r="A693" s="49"/>
      <c r="B693" s="49"/>
      <c r="C693" s="51" t="str">
        <f>IFERROR(VLOOKUP(B693,منتجات!$A$3:$C$350,2,0),"")</f>
        <v/>
      </c>
      <c r="D693" s="49" t="str">
        <f>IFERROR(VLOOKUP(B693,منتجات!$A$3:$C$350,3,0),"")</f>
        <v/>
      </c>
      <c r="E693" s="49"/>
      <c r="F693" s="49" t="str">
        <f>IFERROR(INDEX(منتجات!$G$3:$G$114,MATCH(B693,منتجات!$A$3:$A$115,0)),"")</f>
        <v/>
      </c>
      <c r="G693" s="51" t="str">
        <f t="shared" si="12"/>
        <v/>
      </c>
      <c r="H693" s="54"/>
    </row>
    <row r="694" spans="1:8" x14ac:dyDescent="0.35">
      <c r="A694" s="51"/>
      <c r="B694" s="51"/>
      <c r="C694" s="51" t="str">
        <f>IFERROR(VLOOKUP(B694,منتجات!$A$3:$C$350,2,0),"")</f>
        <v/>
      </c>
      <c r="D694" s="51" t="str">
        <f>IFERROR(VLOOKUP(B694,منتجات!$A$3:$C$350,3,0),"")</f>
        <v/>
      </c>
      <c r="E694" s="51"/>
      <c r="F694" s="51" t="str">
        <f>IFERROR(INDEX(منتجات!$G$3:$G$114,MATCH(B694,منتجات!$A$3:$A$115,0)),"")</f>
        <v/>
      </c>
      <c r="G694" s="51" t="str">
        <f t="shared" si="12"/>
        <v/>
      </c>
      <c r="H694" s="53"/>
    </row>
    <row r="695" spans="1:8" x14ac:dyDescent="0.35">
      <c r="A695" s="49"/>
      <c r="B695" s="49"/>
      <c r="C695" s="51" t="str">
        <f>IFERROR(VLOOKUP(B695,منتجات!$A$3:$C$350,2,0),"")</f>
        <v/>
      </c>
      <c r="D695" s="49" t="str">
        <f>IFERROR(VLOOKUP(B695,منتجات!$A$3:$C$350,3,0),"")</f>
        <v/>
      </c>
      <c r="E695" s="49"/>
      <c r="F695" s="49" t="str">
        <f>IFERROR(INDEX(منتجات!$G$3:$G$114,MATCH(B695,منتجات!$A$3:$A$115,0)),"")</f>
        <v/>
      </c>
      <c r="G695" s="51" t="str">
        <f t="shared" si="12"/>
        <v/>
      </c>
      <c r="H695" s="54"/>
    </row>
    <row r="696" spans="1:8" x14ac:dyDescent="0.35">
      <c r="A696" s="51"/>
      <c r="B696" s="51"/>
      <c r="C696" s="51" t="str">
        <f>IFERROR(VLOOKUP(B696,منتجات!$A$3:$C$350,2,0),"")</f>
        <v/>
      </c>
      <c r="D696" s="51" t="str">
        <f>IFERROR(VLOOKUP(B696,منتجات!$A$3:$C$350,3,0),"")</f>
        <v/>
      </c>
      <c r="E696" s="51"/>
      <c r="F696" s="51" t="str">
        <f>IFERROR(INDEX(منتجات!$G$3:$G$114,MATCH(B696,منتجات!$A$3:$A$115,0)),"")</f>
        <v/>
      </c>
      <c r="G696" s="51" t="str">
        <f t="shared" si="12"/>
        <v/>
      </c>
      <c r="H696" s="53"/>
    </row>
    <row r="697" spans="1:8" x14ac:dyDescent="0.35">
      <c r="A697" s="49"/>
      <c r="B697" s="49"/>
      <c r="C697" s="51" t="str">
        <f>IFERROR(VLOOKUP(B697,منتجات!$A$3:$C$350,2,0),"")</f>
        <v/>
      </c>
      <c r="D697" s="49" t="str">
        <f>IFERROR(VLOOKUP(B697,منتجات!$A$3:$C$350,3,0),"")</f>
        <v/>
      </c>
      <c r="E697" s="49"/>
      <c r="F697" s="49" t="str">
        <f>IFERROR(INDEX(منتجات!$G$3:$G$114,MATCH(B697,منتجات!$A$3:$A$115,0)),"")</f>
        <v/>
      </c>
      <c r="G697" s="51" t="str">
        <f t="shared" si="12"/>
        <v/>
      </c>
      <c r="H697" s="54"/>
    </row>
    <row r="698" spans="1:8" x14ac:dyDescent="0.35">
      <c r="A698" s="51"/>
      <c r="B698" s="51"/>
      <c r="C698" s="51" t="str">
        <f>IFERROR(VLOOKUP(B698,منتجات!$A$3:$C$350,2,0),"")</f>
        <v/>
      </c>
      <c r="D698" s="51" t="str">
        <f>IFERROR(VLOOKUP(B698,منتجات!$A$3:$C$350,3,0),"")</f>
        <v/>
      </c>
      <c r="E698" s="51"/>
      <c r="F698" s="51" t="str">
        <f>IFERROR(INDEX(منتجات!$G$3:$G$114,MATCH(B698,منتجات!$A$3:$A$115,0)),"")</f>
        <v/>
      </c>
      <c r="G698" s="51" t="str">
        <f t="shared" si="12"/>
        <v/>
      </c>
      <c r="H698" s="53"/>
    </row>
    <row r="699" spans="1:8" x14ac:dyDescent="0.35">
      <c r="A699" s="49"/>
      <c r="B699" s="49"/>
      <c r="C699" s="51" t="str">
        <f>IFERROR(VLOOKUP(B699,منتجات!$A$3:$C$350,2,0),"")</f>
        <v/>
      </c>
      <c r="D699" s="49" t="str">
        <f>IFERROR(VLOOKUP(B699,منتجات!$A$3:$C$350,3,0),"")</f>
        <v/>
      </c>
      <c r="E699" s="49"/>
      <c r="F699" s="49" t="str">
        <f>IFERROR(INDEX(منتجات!$G$3:$G$114,MATCH(B699,منتجات!$A$3:$A$115,0)),"")</f>
        <v/>
      </c>
      <c r="G699" s="51" t="str">
        <f t="shared" si="12"/>
        <v/>
      </c>
      <c r="H699" s="54"/>
    </row>
    <row r="700" spans="1:8" x14ac:dyDescent="0.35">
      <c r="A700" s="51"/>
      <c r="B700" s="51"/>
      <c r="C700" s="51" t="str">
        <f>IFERROR(VLOOKUP(B700,منتجات!$A$3:$C$350,2,0),"")</f>
        <v/>
      </c>
      <c r="D700" s="51" t="str">
        <f>IFERROR(VLOOKUP(B700,منتجات!$A$3:$C$350,3,0),"")</f>
        <v/>
      </c>
      <c r="E700" s="51"/>
      <c r="F700" s="51" t="str">
        <f>IFERROR(INDEX(منتجات!$G$3:$G$114,MATCH(B700,منتجات!$A$3:$A$115,0)),"")</f>
        <v/>
      </c>
      <c r="G700" s="51" t="str">
        <f t="shared" si="12"/>
        <v/>
      </c>
      <c r="H700" s="53"/>
    </row>
    <row r="701" spans="1:8" x14ac:dyDescent="0.35">
      <c r="A701" s="49"/>
      <c r="B701" s="49"/>
      <c r="C701" s="51" t="str">
        <f>IFERROR(VLOOKUP(B701,منتجات!$A$3:$C$350,2,0),"")</f>
        <v/>
      </c>
      <c r="D701" s="49" t="str">
        <f>IFERROR(VLOOKUP(B701,منتجات!$A$3:$C$350,3,0),"")</f>
        <v/>
      </c>
      <c r="E701" s="49"/>
      <c r="F701" s="49" t="str">
        <f>IFERROR(INDEX(منتجات!$G$3:$G$114,MATCH(B701,منتجات!$A$3:$A$115,0)),"")</f>
        <v/>
      </c>
      <c r="G701" s="51" t="str">
        <f t="shared" si="12"/>
        <v/>
      </c>
      <c r="H701" s="54"/>
    </row>
    <row r="702" spans="1:8" x14ac:dyDescent="0.35">
      <c r="A702" s="51"/>
      <c r="B702" s="51"/>
      <c r="C702" s="51" t="str">
        <f>IFERROR(VLOOKUP(B702,منتجات!$A$3:$C$350,2,0),"")</f>
        <v/>
      </c>
      <c r="D702" s="51" t="str">
        <f>IFERROR(VLOOKUP(B702,منتجات!$A$3:$C$350,3,0),"")</f>
        <v/>
      </c>
      <c r="E702" s="51"/>
      <c r="F702" s="51" t="str">
        <f>IFERROR(INDEX(منتجات!$G$3:$G$114,MATCH(B702,منتجات!$A$3:$A$115,0)),"")</f>
        <v/>
      </c>
      <c r="G702" s="51" t="str">
        <f t="shared" si="12"/>
        <v/>
      </c>
      <c r="H702" s="53"/>
    </row>
    <row r="703" spans="1:8" x14ac:dyDescent="0.35">
      <c r="A703" s="49"/>
      <c r="B703" s="49"/>
      <c r="C703" s="51" t="str">
        <f>IFERROR(VLOOKUP(B703,منتجات!$A$3:$C$350,2,0),"")</f>
        <v/>
      </c>
      <c r="D703" s="49" t="str">
        <f>IFERROR(VLOOKUP(B703,منتجات!$A$3:$C$350,3,0),"")</f>
        <v/>
      </c>
      <c r="E703" s="49"/>
      <c r="F703" s="49" t="str">
        <f>IFERROR(INDEX(منتجات!$G$3:$G$114,MATCH(B703,منتجات!$A$3:$A$115,0)),"")</f>
        <v/>
      </c>
      <c r="G703" s="51" t="str">
        <f t="shared" si="12"/>
        <v/>
      </c>
      <c r="H703" s="54"/>
    </row>
    <row r="704" spans="1:8" x14ac:dyDescent="0.35">
      <c r="A704" s="51"/>
      <c r="B704" s="51"/>
      <c r="C704" s="51" t="str">
        <f>IFERROR(VLOOKUP(B704,منتجات!$A$3:$C$350,2,0),"")</f>
        <v/>
      </c>
      <c r="D704" s="51" t="str">
        <f>IFERROR(VLOOKUP(B704,منتجات!$A$3:$C$350,3,0),"")</f>
        <v/>
      </c>
      <c r="E704" s="51"/>
      <c r="F704" s="51" t="str">
        <f>IFERROR(INDEX(منتجات!$G$3:$G$114,MATCH(B704,منتجات!$A$3:$A$115,0)),"")</f>
        <v/>
      </c>
      <c r="G704" s="51" t="str">
        <f t="shared" si="12"/>
        <v/>
      </c>
      <c r="H704" s="53"/>
    </row>
    <row r="705" spans="1:8" x14ac:dyDescent="0.35">
      <c r="A705" s="49"/>
      <c r="B705" s="49"/>
      <c r="C705" s="51" t="str">
        <f>IFERROR(VLOOKUP(B705,منتجات!$A$3:$C$350,2,0),"")</f>
        <v/>
      </c>
      <c r="D705" s="49" t="str">
        <f>IFERROR(VLOOKUP(B705,منتجات!$A$3:$C$350,3,0),"")</f>
        <v/>
      </c>
      <c r="E705" s="49"/>
      <c r="F705" s="49" t="str">
        <f>IFERROR(INDEX(منتجات!$G$3:$G$114,MATCH(B705,منتجات!$A$3:$A$115,0)),"")</f>
        <v/>
      </c>
      <c r="G705" s="51" t="str">
        <f t="shared" si="12"/>
        <v/>
      </c>
      <c r="H705" s="54"/>
    </row>
    <row r="706" spans="1:8" x14ac:dyDescent="0.35">
      <c r="A706" s="51"/>
      <c r="B706" s="51"/>
      <c r="C706" s="51" t="str">
        <f>IFERROR(VLOOKUP(B706,منتجات!$A$3:$C$350,2,0),"")</f>
        <v/>
      </c>
      <c r="D706" s="51" t="str">
        <f>IFERROR(VLOOKUP(B706,منتجات!$A$3:$C$350,3,0),"")</f>
        <v/>
      </c>
      <c r="E706" s="51"/>
      <c r="F706" s="51" t="str">
        <f>IFERROR(INDEX(منتجات!$G$3:$G$114,MATCH(B706,منتجات!$A$3:$A$115,0)),"")</f>
        <v/>
      </c>
      <c r="G706" s="51" t="str">
        <f t="shared" si="12"/>
        <v/>
      </c>
      <c r="H706" s="53"/>
    </row>
    <row r="707" spans="1:8" x14ac:dyDescent="0.35">
      <c r="A707" s="49"/>
      <c r="B707" s="49"/>
      <c r="C707" s="51" t="str">
        <f>IFERROR(VLOOKUP(B707,منتجات!$A$3:$C$350,2,0),"")</f>
        <v/>
      </c>
      <c r="D707" s="49" t="str">
        <f>IFERROR(VLOOKUP(B707,منتجات!$A$3:$C$350,3,0),"")</f>
        <v/>
      </c>
      <c r="E707" s="49"/>
      <c r="F707" s="49" t="str">
        <f>IFERROR(INDEX(منتجات!$G$3:$G$114,MATCH(B707,منتجات!$A$3:$A$115,0)),"")</f>
        <v/>
      </c>
      <c r="G707" s="51" t="str">
        <f t="shared" si="12"/>
        <v/>
      </c>
      <c r="H707" s="54"/>
    </row>
    <row r="708" spans="1:8" x14ac:dyDescent="0.35">
      <c r="A708" s="51"/>
      <c r="B708" s="51"/>
      <c r="C708" s="51" t="str">
        <f>IFERROR(VLOOKUP(B708,منتجات!$A$3:$C$350,2,0),"")</f>
        <v/>
      </c>
      <c r="D708" s="51" t="str">
        <f>IFERROR(VLOOKUP(B708,منتجات!$A$3:$C$350,3,0),"")</f>
        <v/>
      </c>
      <c r="E708" s="51"/>
      <c r="F708" s="51" t="str">
        <f>IFERROR(INDEX(منتجات!$G$3:$G$114,MATCH(B708,منتجات!$A$3:$A$115,0)),"")</f>
        <v/>
      </c>
      <c r="G708" s="51" t="str">
        <f t="shared" si="12"/>
        <v/>
      </c>
      <c r="H708" s="53"/>
    </row>
    <row r="709" spans="1:8" x14ac:dyDescent="0.35">
      <c r="A709" s="49"/>
      <c r="B709" s="49"/>
      <c r="C709" s="51" t="str">
        <f>IFERROR(VLOOKUP(B709,منتجات!$A$3:$C$350,2,0),"")</f>
        <v/>
      </c>
      <c r="D709" s="49" t="str">
        <f>IFERROR(VLOOKUP(B709,منتجات!$A$3:$C$350,3,0),"")</f>
        <v/>
      </c>
      <c r="E709" s="49"/>
      <c r="F709" s="49" t="str">
        <f>IFERROR(INDEX(منتجات!$G$3:$G$114,MATCH(B709,منتجات!$A$3:$A$115,0)),"")</f>
        <v/>
      </c>
      <c r="G709" s="51" t="str">
        <f t="shared" si="12"/>
        <v/>
      </c>
      <c r="H709" s="54"/>
    </row>
    <row r="710" spans="1:8" x14ac:dyDescent="0.35">
      <c r="A710" s="51"/>
      <c r="B710" s="51"/>
      <c r="C710" s="51" t="str">
        <f>IFERROR(VLOOKUP(B710,منتجات!$A$3:$C$350,2,0),"")</f>
        <v/>
      </c>
      <c r="D710" s="51" t="str">
        <f>IFERROR(VLOOKUP(B710,منتجات!$A$3:$C$350,3,0),"")</f>
        <v/>
      </c>
      <c r="E710" s="51"/>
      <c r="F710" s="51" t="str">
        <f>IFERROR(INDEX(منتجات!$G$3:$G$114,MATCH(B710,منتجات!$A$3:$A$115,0)),"")</f>
        <v/>
      </c>
      <c r="G710" s="51" t="str">
        <f t="shared" si="12"/>
        <v/>
      </c>
      <c r="H710" s="53"/>
    </row>
    <row r="711" spans="1:8" x14ac:dyDescent="0.35">
      <c r="A711" s="49"/>
      <c r="B711" s="49"/>
      <c r="C711" s="51" t="str">
        <f>IFERROR(VLOOKUP(B711,منتجات!$A$3:$C$350,2,0),"")</f>
        <v/>
      </c>
      <c r="D711" s="49" t="str">
        <f>IFERROR(VLOOKUP(B711,منتجات!$A$3:$C$350,3,0),"")</f>
        <v/>
      </c>
      <c r="E711" s="49"/>
      <c r="F711" s="49" t="str">
        <f>IFERROR(INDEX(منتجات!$G$3:$G$114,MATCH(B711,منتجات!$A$3:$A$115,0)),"")</f>
        <v/>
      </c>
      <c r="G711" s="51" t="str">
        <f t="shared" si="12"/>
        <v/>
      </c>
      <c r="H711" s="54"/>
    </row>
    <row r="712" spans="1:8" x14ac:dyDescent="0.35">
      <c r="A712" s="51"/>
      <c r="B712" s="51"/>
      <c r="C712" s="51" t="str">
        <f>IFERROR(VLOOKUP(B712,منتجات!$A$3:$C$350,2,0),"")</f>
        <v/>
      </c>
      <c r="D712" s="51" t="str">
        <f>IFERROR(VLOOKUP(B712,منتجات!$A$3:$C$350,3,0),"")</f>
        <v/>
      </c>
      <c r="E712" s="51"/>
      <c r="F712" s="51" t="str">
        <f>IFERROR(INDEX(منتجات!$G$3:$G$114,MATCH(B712,منتجات!$A$3:$A$115,0)),"")</f>
        <v/>
      </c>
      <c r="G712" s="51" t="str">
        <f t="shared" si="12"/>
        <v/>
      </c>
      <c r="H712" s="53"/>
    </row>
    <row r="713" spans="1:8" x14ac:dyDescent="0.35">
      <c r="A713" s="49"/>
      <c r="B713" s="49"/>
      <c r="C713" s="51" t="str">
        <f>IFERROR(VLOOKUP(B713,منتجات!$A$3:$C$350,2,0),"")</f>
        <v/>
      </c>
      <c r="D713" s="49" t="str">
        <f>IFERROR(VLOOKUP(B713,منتجات!$A$3:$C$350,3,0),"")</f>
        <v/>
      </c>
      <c r="E713" s="49"/>
      <c r="F713" s="49" t="str">
        <f>IFERROR(INDEX(منتجات!$G$3:$G$114,MATCH(B713,منتجات!$A$3:$A$115,0)),"")</f>
        <v/>
      </c>
      <c r="G713" s="51" t="str">
        <f t="shared" si="12"/>
        <v/>
      </c>
      <c r="H713" s="54"/>
    </row>
    <row r="714" spans="1:8" x14ac:dyDescent="0.35">
      <c r="A714" s="51"/>
      <c r="B714" s="51"/>
      <c r="C714" s="51" t="str">
        <f>IFERROR(VLOOKUP(B714,منتجات!$A$3:$C$350,2,0),"")</f>
        <v/>
      </c>
      <c r="D714" s="51" t="str">
        <f>IFERROR(VLOOKUP(B714,منتجات!$A$3:$C$350,3,0),"")</f>
        <v/>
      </c>
      <c r="E714" s="51"/>
      <c r="F714" s="51" t="str">
        <f>IFERROR(INDEX(منتجات!$G$3:$G$114,MATCH(B714,منتجات!$A$3:$A$115,0)),"")</f>
        <v/>
      </c>
      <c r="G714" s="51" t="str">
        <f t="shared" si="12"/>
        <v/>
      </c>
      <c r="H714" s="53"/>
    </row>
    <row r="715" spans="1:8" x14ac:dyDescent="0.35">
      <c r="A715" s="49"/>
      <c r="B715" s="49"/>
      <c r="C715" s="51" t="str">
        <f>IFERROR(VLOOKUP(B715,منتجات!$A$3:$C$350,2,0),"")</f>
        <v/>
      </c>
      <c r="D715" s="49" t="str">
        <f>IFERROR(VLOOKUP(B715,منتجات!$A$3:$C$350,3,0),"")</f>
        <v/>
      </c>
      <c r="E715" s="49"/>
      <c r="F715" s="49" t="str">
        <f>IFERROR(INDEX(منتجات!$G$3:$G$114,MATCH(B715,منتجات!$A$3:$A$115,0)),"")</f>
        <v/>
      </c>
      <c r="G715" s="51" t="str">
        <f t="shared" si="12"/>
        <v/>
      </c>
      <c r="H715" s="54"/>
    </row>
    <row r="716" spans="1:8" x14ac:dyDescent="0.35">
      <c r="A716" s="51"/>
      <c r="B716" s="51"/>
      <c r="C716" s="51" t="str">
        <f>IFERROR(VLOOKUP(B716,منتجات!$A$3:$C$350,2,0),"")</f>
        <v/>
      </c>
      <c r="D716" s="51" t="str">
        <f>IFERROR(VLOOKUP(B716,منتجات!$A$3:$C$350,3,0),"")</f>
        <v/>
      </c>
      <c r="E716" s="51"/>
      <c r="F716" s="51" t="str">
        <f>IFERROR(INDEX(منتجات!$G$3:$G$114,MATCH(B716,منتجات!$A$3:$A$115,0)),"")</f>
        <v/>
      </c>
      <c r="G716" s="51" t="str">
        <f t="shared" si="12"/>
        <v/>
      </c>
      <c r="H716" s="53"/>
    </row>
    <row r="717" spans="1:8" x14ac:dyDescent="0.35">
      <c r="A717" s="49"/>
      <c r="B717" s="49"/>
      <c r="C717" s="51" t="str">
        <f>IFERROR(VLOOKUP(B717,منتجات!$A$3:$C$350,2,0),"")</f>
        <v/>
      </c>
      <c r="D717" s="49" t="str">
        <f>IFERROR(VLOOKUP(B717,منتجات!$A$3:$C$350,3,0),"")</f>
        <v/>
      </c>
      <c r="E717" s="49"/>
      <c r="F717" s="49" t="str">
        <f>IFERROR(INDEX(منتجات!$G$3:$G$114,MATCH(B717,منتجات!$A$3:$A$115,0)),"")</f>
        <v/>
      </c>
      <c r="G717" s="51" t="str">
        <f t="shared" si="12"/>
        <v/>
      </c>
      <c r="H717" s="54"/>
    </row>
    <row r="718" spans="1:8" x14ac:dyDescent="0.35">
      <c r="A718" s="51"/>
      <c r="B718" s="51"/>
      <c r="C718" s="51" t="str">
        <f>IFERROR(VLOOKUP(B718,منتجات!$A$3:$C$350,2,0),"")</f>
        <v/>
      </c>
      <c r="D718" s="51" t="str">
        <f>IFERROR(VLOOKUP(B718,منتجات!$A$3:$C$350,3,0),"")</f>
        <v/>
      </c>
      <c r="E718" s="51"/>
      <c r="F718" s="51" t="str">
        <f>IFERROR(INDEX(منتجات!$G$3:$G$114,MATCH(B718,منتجات!$A$3:$A$115,0)),"")</f>
        <v/>
      </c>
      <c r="G718" s="51" t="str">
        <f t="shared" ref="G718:G781" si="13">IFERROR(E718*F718*D718,"")</f>
        <v/>
      </c>
      <c r="H718" s="53"/>
    </row>
    <row r="719" spans="1:8" x14ac:dyDescent="0.35">
      <c r="A719" s="49"/>
      <c r="B719" s="49"/>
      <c r="C719" s="51" t="str">
        <f>IFERROR(VLOOKUP(B719,منتجات!$A$3:$C$350,2,0),"")</f>
        <v/>
      </c>
      <c r="D719" s="49" t="str">
        <f>IFERROR(VLOOKUP(B719,منتجات!$A$3:$C$350,3,0),"")</f>
        <v/>
      </c>
      <c r="E719" s="49"/>
      <c r="F719" s="49" t="str">
        <f>IFERROR(INDEX(منتجات!$G$3:$G$114,MATCH(B719,منتجات!$A$3:$A$115,0)),"")</f>
        <v/>
      </c>
      <c r="G719" s="51" t="str">
        <f t="shared" si="13"/>
        <v/>
      </c>
      <c r="H719" s="54"/>
    </row>
    <row r="720" spans="1:8" x14ac:dyDescent="0.35">
      <c r="A720" s="51"/>
      <c r="B720" s="51"/>
      <c r="C720" s="51" t="str">
        <f>IFERROR(VLOOKUP(B720,منتجات!$A$3:$C$350,2,0),"")</f>
        <v/>
      </c>
      <c r="D720" s="51" t="str">
        <f>IFERROR(VLOOKUP(B720,منتجات!$A$3:$C$350,3,0),"")</f>
        <v/>
      </c>
      <c r="E720" s="51"/>
      <c r="F720" s="51" t="str">
        <f>IFERROR(INDEX(منتجات!$G$3:$G$114,MATCH(B720,منتجات!$A$3:$A$115,0)),"")</f>
        <v/>
      </c>
      <c r="G720" s="51" t="str">
        <f t="shared" si="13"/>
        <v/>
      </c>
      <c r="H720" s="53"/>
    </row>
    <row r="721" spans="1:8" x14ac:dyDescent="0.35">
      <c r="A721" s="49"/>
      <c r="B721" s="49"/>
      <c r="C721" s="51" t="str">
        <f>IFERROR(VLOOKUP(B721,منتجات!$A$3:$C$350,2,0),"")</f>
        <v/>
      </c>
      <c r="D721" s="49" t="str">
        <f>IFERROR(VLOOKUP(B721,منتجات!$A$3:$C$350,3,0),"")</f>
        <v/>
      </c>
      <c r="E721" s="49"/>
      <c r="F721" s="49" t="str">
        <f>IFERROR(INDEX(منتجات!$G$3:$G$114,MATCH(B721,منتجات!$A$3:$A$115,0)),"")</f>
        <v/>
      </c>
      <c r="G721" s="51" t="str">
        <f t="shared" si="13"/>
        <v/>
      </c>
      <c r="H721" s="54"/>
    </row>
    <row r="722" spans="1:8" x14ac:dyDescent="0.35">
      <c r="A722" s="51"/>
      <c r="B722" s="51"/>
      <c r="C722" s="51" t="str">
        <f>IFERROR(VLOOKUP(B722,منتجات!$A$3:$C$350,2,0),"")</f>
        <v/>
      </c>
      <c r="D722" s="51" t="str">
        <f>IFERROR(VLOOKUP(B722,منتجات!$A$3:$C$350,3,0),"")</f>
        <v/>
      </c>
      <c r="E722" s="51"/>
      <c r="F722" s="51" t="str">
        <f>IFERROR(INDEX(منتجات!$G$3:$G$114,MATCH(B722,منتجات!$A$3:$A$115,0)),"")</f>
        <v/>
      </c>
      <c r="G722" s="51" t="str">
        <f t="shared" si="13"/>
        <v/>
      </c>
      <c r="H722" s="53"/>
    </row>
    <row r="723" spans="1:8" x14ac:dyDescent="0.35">
      <c r="A723" s="49"/>
      <c r="B723" s="49"/>
      <c r="C723" s="51" t="str">
        <f>IFERROR(VLOOKUP(B723,منتجات!$A$3:$C$350,2,0),"")</f>
        <v/>
      </c>
      <c r="D723" s="49" t="str">
        <f>IFERROR(VLOOKUP(B723,منتجات!$A$3:$C$350,3,0),"")</f>
        <v/>
      </c>
      <c r="E723" s="49"/>
      <c r="F723" s="49" t="str">
        <f>IFERROR(INDEX(منتجات!$G$3:$G$114,MATCH(B723,منتجات!$A$3:$A$115,0)),"")</f>
        <v/>
      </c>
      <c r="G723" s="51" t="str">
        <f t="shared" si="13"/>
        <v/>
      </c>
      <c r="H723" s="54"/>
    </row>
    <row r="724" spans="1:8" x14ac:dyDescent="0.35">
      <c r="A724" s="51"/>
      <c r="B724" s="51"/>
      <c r="C724" s="51" t="str">
        <f>IFERROR(VLOOKUP(B724,منتجات!$A$3:$C$350,2,0),"")</f>
        <v/>
      </c>
      <c r="D724" s="51" t="str">
        <f>IFERROR(VLOOKUP(B724,منتجات!$A$3:$C$350,3,0),"")</f>
        <v/>
      </c>
      <c r="E724" s="51"/>
      <c r="F724" s="51" t="str">
        <f>IFERROR(INDEX(منتجات!$G$3:$G$114,MATCH(B724,منتجات!$A$3:$A$115,0)),"")</f>
        <v/>
      </c>
      <c r="G724" s="51" t="str">
        <f t="shared" si="13"/>
        <v/>
      </c>
      <c r="H724" s="53"/>
    </row>
    <row r="725" spans="1:8" x14ac:dyDescent="0.35">
      <c r="A725" s="49"/>
      <c r="B725" s="49"/>
      <c r="C725" s="51" t="str">
        <f>IFERROR(VLOOKUP(B725,منتجات!$A$3:$C$350,2,0),"")</f>
        <v/>
      </c>
      <c r="D725" s="49" t="str">
        <f>IFERROR(VLOOKUP(B725,منتجات!$A$3:$C$350,3,0),"")</f>
        <v/>
      </c>
      <c r="E725" s="49"/>
      <c r="F725" s="49" t="str">
        <f>IFERROR(INDEX(منتجات!$G$3:$G$114,MATCH(B725,منتجات!$A$3:$A$115,0)),"")</f>
        <v/>
      </c>
      <c r="G725" s="51" t="str">
        <f t="shared" si="13"/>
        <v/>
      </c>
      <c r="H725" s="54"/>
    </row>
    <row r="726" spans="1:8" x14ac:dyDescent="0.35">
      <c r="A726" s="51"/>
      <c r="B726" s="51"/>
      <c r="C726" s="51" t="str">
        <f>IFERROR(VLOOKUP(B726,منتجات!$A$3:$C$350,2,0),"")</f>
        <v/>
      </c>
      <c r="D726" s="51" t="str">
        <f>IFERROR(VLOOKUP(B726,منتجات!$A$3:$C$350,3,0),"")</f>
        <v/>
      </c>
      <c r="E726" s="51"/>
      <c r="F726" s="51" t="str">
        <f>IFERROR(INDEX(منتجات!$G$3:$G$114,MATCH(B726,منتجات!$A$3:$A$115,0)),"")</f>
        <v/>
      </c>
      <c r="G726" s="51" t="str">
        <f t="shared" si="13"/>
        <v/>
      </c>
      <c r="H726" s="53"/>
    </row>
    <row r="727" spans="1:8" x14ac:dyDescent="0.35">
      <c r="A727" s="49"/>
      <c r="B727" s="49"/>
      <c r="C727" s="51" t="str">
        <f>IFERROR(VLOOKUP(B727,منتجات!$A$3:$C$350,2,0),"")</f>
        <v/>
      </c>
      <c r="D727" s="49" t="str">
        <f>IFERROR(VLOOKUP(B727,منتجات!$A$3:$C$350,3,0),"")</f>
        <v/>
      </c>
      <c r="E727" s="49"/>
      <c r="F727" s="49" t="str">
        <f>IFERROR(INDEX(منتجات!$G$3:$G$114,MATCH(B727,منتجات!$A$3:$A$115,0)),"")</f>
        <v/>
      </c>
      <c r="G727" s="51" t="str">
        <f t="shared" si="13"/>
        <v/>
      </c>
      <c r="H727" s="54"/>
    </row>
    <row r="728" spans="1:8" x14ac:dyDescent="0.35">
      <c r="A728" s="51"/>
      <c r="B728" s="51"/>
      <c r="C728" s="51" t="str">
        <f>IFERROR(VLOOKUP(B728,منتجات!$A$3:$C$350,2,0),"")</f>
        <v/>
      </c>
      <c r="D728" s="51" t="str">
        <f>IFERROR(VLOOKUP(B728,منتجات!$A$3:$C$350,3,0),"")</f>
        <v/>
      </c>
      <c r="E728" s="51"/>
      <c r="F728" s="51" t="str">
        <f>IFERROR(INDEX(منتجات!$G$3:$G$114,MATCH(B728,منتجات!$A$3:$A$115,0)),"")</f>
        <v/>
      </c>
      <c r="G728" s="51" t="str">
        <f t="shared" si="13"/>
        <v/>
      </c>
      <c r="H728" s="53"/>
    </row>
    <row r="729" spans="1:8" x14ac:dyDescent="0.35">
      <c r="A729" s="49"/>
      <c r="B729" s="49"/>
      <c r="C729" s="51" t="str">
        <f>IFERROR(VLOOKUP(B729,منتجات!$A$3:$C$350,2,0),"")</f>
        <v/>
      </c>
      <c r="D729" s="49" t="str">
        <f>IFERROR(VLOOKUP(B729,منتجات!$A$3:$C$350,3,0),"")</f>
        <v/>
      </c>
      <c r="E729" s="49"/>
      <c r="F729" s="49" t="str">
        <f>IFERROR(INDEX(منتجات!$G$3:$G$114,MATCH(B729,منتجات!$A$3:$A$115,0)),"")</f>
        <v/>
      </c>
      <c r="G729" s="51" t="str">
        <f t="shared" si="13"/>
        <v/>
      </c>
      <c r="H729" s="54"/>
    </row>
    <row r="730" spans="1:8" x14ac:dyDescent="0.35">
      <c r="A730" s="51"/>
      <c r="B730" s="51"/>
      <c r="C730" s="51" t="str">
        <f>IFERROR(VLOOKUP(B730,منتجات!$A$3:$C$350,2,0),"")</f>
        <v/>
      </c>
      <c r="D730" s="51" t="str">
        <f>IFERROR(VLOOKUP(B730,منتجات!$A$3:$C$350,3,0),"")</f>
        <v/>
      </c>
      <c r="E730" s="51"/>
      <c r="F730" s="51" t="str">
        <f>IFERROR(INDEX(منتجات!$G$3:$G$114,MATCH(B730,منتجات!$A$3:$A$115,0)),"")</f>
        <v/>
      </c>
      <c r="G730" s="51" t="str">
        <f t="shared" si="13"/>
        <v/>
      </c>
      <c r="H730" s="53"/>
    </row>
    <row r="731" spans="1:8" x14ac:dyDescent="0.35">
      <c r="A731" s="49"/>
      <c r="B731" s="49"/>
      <c r="C731" s="51" t="str">
        <f>IFERROR(VLOOKUP(B731,منتجات!$A$3:$C$350,2,0),"")</f>
        <v/>
      </c>
      <c r="D731" s="49" t="str">
        <f>IFERROR(VLOOKUP(B731,منتجات!$A$3:$C$350,3,0),"")</f>
        <v/>
      </c>
      <c r="E731" s="49"/>
      <c r="F731" s="49" t="str">
        <f>IFERROR(INDEX(منتجات!$G$3:$G$114,MATCH(B731,منتجات!$A$3:$A$115,0)),"")</f>
        <v/>
      </c>
      <c r="G731" s="51" t="str">
        <f t="shared" si="13"/>
        <v/>
      </c>
      <c r="H731" s="54"/>
    </row>
    <row r="732" spans="1:8" x14ac:dyDescent="0.35">
      <c r="A732" s="51"/>
      <c r="B732" s="51"/>
      <c r="C732" s="51" t="str">
        <f>IFERROR(VLOOKUP(B732,منتجات!$A$3:$C$350,2,0),"")</f>
        <v/>
      </c>
      <c r="D732" s="51" t="str">
        <f>IFERROR(VLOOKUP(B732,منتجات!$A$3:$C$350,3,0),"")</f>
        <v/>
      </c>
      <c r="E732" s="51"/>
      <c r="F732" s="51" t="str">
        <f>IFERROR(INDEX(منتجات!$G$3:$G$114,MATCH(B732,منتجات!$A$3:$A$115,0)),"")</f>
        <v/>
      </c>
      <c r="G732" s="51" t="str">
        <f t="shared" si="13"/>
        <v/>
      </c>
      <c r="H732" s="53"/>
    </row>
    <row r="733" spans="1:8" x14ac:dyDescent="0.35">
      <c r="A733" s="49"/>
      <c r="B733" s="49"/>
      <c r="C733" s="51" t="str">
        <f>IFERROR(VLOOKUP(B733,منتجات!$A$3:$C$350,2,0),"")</f>
        <v/>
      </c>
      <c r="D733" s="49" t="str">
        <f>IFERROR(VLOOKUP(B733,منتجات!$A$3:$C$350,3,0),"")</f>
        <v/>
      </c>
      <c r="E733" s="49"/>
      <c r="F733" s="49" t="str">
        <f>IFERROR(INDEX(منتجات!$G$3:$G$114,MATCH(B733,منتجات!$A$3:$A$115,0)),"")</f>
        <v/>
      </c>
      <c r="G733" s="51" t="str">
        <f t="shared" si="13"/>
        <v/>
      </c>
      <c r="H733" s="54"/>
    </row>
    <row r="734" spans="1:8" x14ac:dyDescent="0.35">
      <c r="A734" s="51"/>
      <c r="B734" s="51"/>
      <c r="C734" s="51" t="str">
        <f>IFERROR(VLOOKUP(B734,منتجات!$A$3:$C$350,2,0),"")</f>
        <v/>
      </c>
      <c r="D734" s="51" t="str">
        <f>IFERROR(VLOOKUP(B734,منتجات!$A$3:$C$350,3,0),"")</f>
        <v/>
      </c>
      <c r="E734" s="51"/>
      <c r="F734" s="51" t="str">
        <f>IFERROR(INDEX(منتجات!$G$3:$G$114,MATCH(B734,منتجات!$A$3:$A$115,0)),"")</f>
        <v/>
      </c>
      <c r="G734" s="51" t="str">
        <f t="shared" si="13"/>
        <v/>
      </c>
      <c r="H734" s="53"/>
    </row>
    <row r="735" spans="1:8" x14ac:dyDescent="0.35">
      <c r="A735" s="49"/>
      <c r="B735" s="49"/>
      <c r="C735" s="51" t="str">
        <f>IFERROR(VLOOKUP(B735,منتجات!$A$3:$C$350,2,0),"")</f>
        <v/>
      </c>
      <c r="D735" s="49" t="str">
        <f>IFERROR(VLOOKUP(B735,منتجات!$A$3:$C$350,3,0),"")</f>
        <v/>
      </c>
      <c r="E735" s="49"/>
      <c r="F735" s="49" t="str">
        <f>IFERROR(INDEX(منتجات!$G$3:$G$114,MATCH(B735,منتجات!$A$3:$A$115,0)),"")</f>
        <v/>
      </c>
      <c r="G735" s="51" t="str">
        <f t="shared" si="13"/>
        <v/>
      </c>
      <c r="H735" s="54"/>
    </row>
    <row r="736" spans="1:8" x14ac:dyDescent="0.35">
      <c r="A736" s="51"/>
      <c r="B736" s="51"/>
      <c r="C736" s="51" t="str">
        <f>IFERROR(VLOOKUP(B736,منتجات!$A$3:$C$350,2,0),"")</f>
        <v/>
      </c>
      <c r="D736" s="51" t="str">
        <f>IFERROR(VLOOKUP(B736,منتجات!$A$3:$C$350,3,0),"")</f>
        <v/>
      </c>
      <c r="E736" s="51"/>
      <c r="F736" s="51" t="str">
        <f>IFERROR(INDEX(منتجات!$G$3:$G$114,MATCH(B736,منتجات!$A$3:$A$115,0)),"")</f>
        <v/>
      </c>
      <c r="G736" s="51" t="str">
        <f t="shared" si="13"/>
        <v/>
      </c>
      <c r="H736" s="53"/>
    </row>
    <row r="737" spans="1:8" x14ac:dyDescent="0.35">
      <c r="A737" s="49"/>
      <c r="B737" s="49"/>
      <c r="C737" s="51" t="str">
        <f>IFERROR(VLOOKUP(B737,منتجات!$A$3:$C$350,2,0),"")</f>
        <v/>
      </c>
      <c r="D737" s="49" t="str">
        <f>IFERROR(VLOOKUP(B737,منتجات!$A$3:$C$350,3,0),"")</f>
        <v/>
      </c>
      <c r="E737" s="49"/>
      <c r="F737" s="49" t="str">
        <f>IFERROR(INDEX(منتجات!$G$3:$G$114,MATCH(B737,منتجات!$A$3:$A$115,0)),"")</f>
        <v/>
      </c>
      <c r="G737" s="51" t="str">
        <f t="shared" si="13"/>
        <v/>
      </c>
      <c r="H737" s="54"/>
    </row>
    <row r="738" spans="1:8" x14ac:dyDescent="0.35">
      <c r="A738" s="51"/>
      <c r="B738" s="51"/>
      <c r="C738" s="51" t="str">
        <f>IFERROR(VLOOKUP(B738,منتجات!$A$3:$C$350,2,0),"")</f>
        <v/>
      </c>
      <c r="D738" s="51" t="str">
        <f>IFERROR(VLOOKUP(B738,منتجات!$A$3:$C$350,3,0),"")</f>
        <v/>
      </c>
      <c r="E738" s="51"/>
      <c r="F738" s="51" t="str">
        <f>IFERROR(INDEX(منتجات!$G$3:$G$114,MATCH(B738,منتجات!$A$3:$A$115,0)),"")</f>
        <v/>
      </c>
      <c r="G738" s="51" t="str">
        <f t="shared" si="13"/>
        <v/>
      </c>
      <c r="H738" s="53"/>
    </row>
    <row r="739" spans="1:8" x14ac:dyDescent="0.35">
      <c r="A739" s="49"/>
      <c r="B739" s="49"/>
      <c r="C739" s="51" t="str">
        <f>IFERROR(VLOOKUP(B739,منتجات!$A$3:$C$350,2,0),"")</f>
        <v/>
      </c>
      <c r="D739" s="49" t="str">
        <f>IFERROR(VLOOKUP(B739,منتجات!$A$3:$C$350,3,0),"")</f>
        <v/>
      </c>
      <c r="E739" s="49"/>
      <c r="F739" s="49" t="str">
        <f>IFERROR(INDEX(منتجات!$G$3:$G$114,MATCH(B739,منتجات!$A$3:$A$115,0)),"")</f>
        <v/>
      </c>
      <c r="G739" s="51" t="str">
        <f t="shared" si="13"/>
        <v/>
      </c>
      <c r="H739" s="54"/>
    </row>
    <row r="740" spans="1:8" x14ac:dyDescent="0.35">
      <c r="A740" s="51"/>
      <c r="B740" s="51"/>
      <c r="C740" s="51" t="str">
        <f>IFERROR(VLOOKUP(B740,منتجات!$A$3:$C$350,2,0),"")</f>
        <v/>
      </c>
      <c r="D740" s="51" t="str">
        <f>IFERROR(VLOOKUP(B740,منتجات!$A$3:$C$350,3,0),"")</f>
        <v/>
      </c>
      <c r="E740" s="51"/>
      <c r="F740" s="51" t="str">
        <f>IFERROR(INDEX(منتجات!$G$3:$G$114,MATCH(B740,منتجات!$A$3:$A$115,0)),"")</f>
        <v/>
      </c>
      <c r="G740" s="51" t="str">
        <f t="shared" si="13"/>
        <v/>
      </c>
      <c r="H740" s="53"/>
    </row>
    <row r="741" spans="1:8" x14ac:dyDescent="0.35">
      <c r="A741" s="49"/>
      <c r="B741" s="49"/>
      <c r="C741" s="51" t="str">
        <f>IFERROR(VLOOKUP(B741,منتجات!$A$3:$C$350,2,0),"")</f>
        <v/>
      </c>
      <c r="D741" s="49" t="str">
        <f>IFERROR(VLOOKUP(B741,منتجات!$A$3:$C$350,3,0),"")</f>
        <v/>
      </c>
      <c r="E741" s="49"/>
      <c r="F741" s="49" t="str">
        <f>IFERROR(INDEX(منتجات!$G$3:$G$114,MATCH(B741,منتجات!$A$3:$A$115,0)),"")</f>
        <v/>
      </c>
      <c r="G741" s="51" t="str">
        <f t="shared" si="13"/>
        <v/>
      </c>
      <c r="H741" s="54"/>
    </row>
    <row r="742" spans="1:8" x14ac:dyDescent="0.35">
      <c r="A742" s="51"/>
      <c r="B742" s="51"/>
      <c r="C742" s="51" t="str">
        <f>IFERROR(VLOOKUP(B742,منتجات!$A$3:$C$350,2,0),"")</f>
        <v/>
      </c>
      <c r="D742" s="51" t="str">
        <f>IFERROR(VLOOKUP(B742,منتجات!$A$3:$C$350,3,0),"")</f>
        <v/>
      </c>
      <c r="E742" s="51"/>
      <c r="F742" s="51" t="str">
        <f>IFERROR(INDEX(منتجات!$G$3:$G$114,MATCH(B742,منتجات!$A$3:$A$115,0)),"")</f>
        <v/>
      </c>
      <c r="G742" s="51" t="str">
        <f t="shared" si="13"/>
        <v/>
      </c>
      <c r="H742" s="53"/>
    </row>
    <row r="743" spans="1:8" x14ac:dyDescent="0.35">
      <c r="A743" s="49"/>
      <c r="B743" s="49"/>
      <c r="C743" s="51" t="str">
        <f>IFERROR(VLOOKUP(B743,منتجات!$A$3:$C$350,2,0),"")</f>
        <v/>
      </c>
      <c r="D743" s="49" t="str">
        <f>IFERROR(VLOOKUP(B743,منتجات!$A$3:$C$350,3,0),"")</f>
        <v/>
      </c>
      <c r="E743" s="49"/>
      <c r="F743" s="49" t="str">
        <f>IFERROR(INDEX(منتجات!$G$3:$G$114,MATCH(B743,منتجات!$A$3:$A$115,0)),"")</f>
        <v/>
      </c>
      <c r="G743" s="51" t="str">
        <f t="shared" si="13"/>
        <v/>
      </c>
      <c r="H743" s="54"/>
    </row>
    <row r="744" spans="1:8" x14ac:dyDescent="0.35">
      <c r="A744" s="51"/>
      <c r="B744" s="51"/>
      <c r="C744" s="51" t="str">
        <f>IFERROR(VLOOKUP(B744,منتجات!$A$3:$C$350,2,0),"")</f>
        <v/>
      </c>
      <c r="D744" s="51" t="str">
        <f>IFERROR(VLOOKUP(B744,منتجات!$A$3:$C$350,3,0),"")</f>
        <v/>
      </c>
      <c r="E744" s="51"/>
      <c r="F744" s="51" t="str">
        <f>IFERROR(INDEX(منتجات!$G$3:$G$114,MATCH(B744,منتجات!$A$3:$A$115,0)),"")</f>
        <v/>
      </c>
      <c r="G744" s="51" t="str">
        <f t="shared" si="13"/>
        <v/>
      </c>
      <c r="H744" s="53"/>
    </row>
    <row r="745" spans="1:8" x14ac:dyDescent="0.35">
      <c r="A745" s="49"/>
      <c r="B745" s="49"/>
      <c r="C745" s="51" t="str">
        <f>IFERROR(VLOOKUP(B745,منتجات!$A$3:$C$350,2,0),"")</f>
        <v/>
      </c>
      <c r="D745" s="49" t="str">
        <f>IFERROR(VLOOKUP(B745,منتجات!$A$3:$C$350,3,0),"")</f>
        <v/>
      </c>
      <c r="E745" s="49"/>
      <c r="F745" s="49" t="str">
        <f>IFERROR(INDEX(منتجات!$G$3:$G$114,MATCH(B745,منتجات!$A$3:$A$115,0)),"")</f>
        <v/>
      </c>
      <c r="G745" s="51" t="str">
        <f t="shared" si="13"/>
        <v/>
      </c>
      <c r="H745" s="54"/>
    </row>
    <row r="746" spans="1:8" x14ac:dyDescent="0.35">
      <c r="A746" s="51"/>
      <c r="B746" s="51"/>
      <c r="C746" s="51" t="str">
        <f>IFERROR(VLOOKUP(B746,منتجات!$A$3:$C$350,2,0),"")</f>
        <v/>
      </c>
      <c r="D746" s="51" t="str">
        <f>IFERROR(VLOOKUP(B746,منتجات!$A$3:$C$350,3,0),"")</f>
        <v/>
      </c>
      <c r="E746" s="51"/>
      <c r="F746" s="51" t="str">
        <f>IFERROR(INDEX(منتجات!$G$3:$G$114,MATCH(B746,منتجات!$A$3:$A$115,0)),"")</f>
        <v/>
      </c>
      <c r="G746" s="51" t="str">
        <f t="shared" si="13"/>
        <v/>
      </c>
      <c r="H746" s="53"/>
    </row>
    <row r="747" spans="1:8" x14ac:dyDescent="0.35">
      <c r="A747" s="49"/>
      <c r="B747" s="49"/>
      <c r="C747" s="51" t="str">
        <f>IFERROR(VLOOKUP(B747,منتجات!$A$3:$C$350,2,0),"")</f>
        <v/>
      </c>
      <c r="D747" s="49" t="str">
        <f>IFERROR(VLOOKUP(B747,منتجات!$A$3:$C$350,3,0),"")</f>
        <v/>
      </c>
      <c r="E747" s="49"/>
      <c r="F747" s="49" t="str">
        <f>IFERROR(INDEX(منتجات!$G$3:$G$114,MATCH(B747,منتجات!$A$3:$A$115,0)),"")</f>
        <v/>
      </c>
      <c r="G747" s="51" t="str">
        <f t="shared" si="13"/>
        <v/>
      </c>
      <c r="H747" s="54"/>
    </row>
    <row r="748" spans="1:8" x14ac:dyDescent="0.35">
      <c r="A748" s="51"/>
      <c r="B748" s="51"/>
      <c r="C748" s="51" t="str">
        <f>IFERROR(VLOOKUP(B748,منتجات!$A$3:$C$350,2,0),"")</f>
        <v/>
      </c>
      <c r="D748" s="51" t="str">
        <f>IFERROR(VLOOKUP(B748,منتجات!$A$3:$C$350,3,0),"")</f>
        <v/>
      </c>
      <c r="E748" s="51"/>
      <c r="F748" s="51" t="str">
        <f>IFERROR(INDEX(منتجات!$G$3:$G$114,MATCH(B748,منتجات!$A$3:$A$115,0)),"")</f>
        <v/>
      </c>
      <c r="G748" s="51" t="str">
        <f t="shared" si="13"/>
        <v/>
      </c>
      <c r="H748" s="53"/>
    </row>
    <row r="749" spans="1:8" x14ac:dyDescent="0.35">
      <c r="A749" s="49"/>
      <c r="B749" s="49"/>
      <c r="C749" s="51" t="str">
        <f>IFERROR(VLOOKUP(B749,منتجات!$A$3:$C$350,2,0),"")</f>
        <v/>
      </c>
      <c r="D749" s="49" t="str">
        <f>IFERROR(VLOOKUP(B749,منتجات!$A$3:$C$350,3,0),"")</f>
        <v/>
      </c>
      <c r="E749" s="49"/>
      <c r="F749" s="49" t="str">
        <f>IFERROR(INDEX(منتجات!$G$3:$G$114,MATCH(B749,منتجات!$A$3:$A$115,0)),"")</f>
        <v/>
      </c>
      <c r="G749" s="51" t="str">
        <f t="shared" si="13"/>
        <v/>
      </c>
      <c r="H749" s="54"/>
    </row>
    <row r="750" spans="1:8" x14ac:dyDescent="0.35">
      <c r="A750" s="51"/>
      <c r="B750" s="51"/>
      <c r="C750" s="51" t="str">
        <f>IFERROR(VLOOKUP(B750,منتجات!$A$3:$C$350,2,0),"")</f>
        <v/>
      </c>
      <c r="D750" s="51" t="str">
        <f>IFERROR(VLOOKUP(B750,منتجات!$A$3:$C$350,3,0),"")</f>
        <v/>
      </c>
      <c r="E750" s="51"/>
      <c r="F750" s="51" t="str">
        <f>IFERROR(INDEX(منتجات!$G$3:$G$114,MATCH(B750,منتجات!$A$3:$A$115,0)),"")</f>
        <v/>
      </c>
      <c r="G750" s="51" t="str">
        <f t="shared" si="13"/>
        <v/>
      </c>
      <c r="H750" s="53"/>
    </row>
    <row r="751" spans="1:8" x14ac:dyDescent="0.35">
      <c r="A751" s="49"/>
      <c r="B751" s="49"/>
      <c r="C751" s="51" t="str">
        <f>IFERROR(VLOOKUP(B751,منتجات!$A$3:$C$350,2,0),"")</f>
        <v/>
      </c>
      <c r="D751" s="49" t="str">
        <f>IFERROR(VLOOKUP(B751,منتجات!$A$3:$C$350,3,0),"")</f>
        <v/>
      </c>
      <c r="E751" s="49"/>
      <c r="F751" s="49" t="str">
        <f>IFERROR(INDEX(منتجات!$G$3:$G$114,MATCH(B751,منتجات!$A$3:$A$115,0)),"")</f>
        <v/>
      </c>
      <c r="G751" s="51" t="str">
        <f t="shared" si="13"/>
        <v/>
      </c>
      <c r="H751" s="54"/>
    </row>
    <row r="752" spans="1:8" x14ac:dyDescent="0.35">
      <c r="A752" s="51"/>
      <c r="B752" s="51"/>
      <c r="C752" s="51" t="str">
        <f>IFERROR(VLOOKUP(B752,منتجات!$A$3:$C$350,2,0),"")</f>
        <v/>
      </c>
      <c r="D752" s="51" t="str">
        <f>IFERROR(VLOOKUP(B752,منتجات!$A$3:$C$350,3,0),"")</f>
        <v/>
      </c>
      <c r="E752" s="51"/>
      <c r="F752" s="51" t="str">
        <f>IFERROR(INDEX(منتجات!$G$3:$G$114,MATCH(B752,منتجات!$A$3:$A$115,0)),"")</f>
        <v/>
      </c>
      <c r="G752" s="51" t="str">
        <f t="shared" si="13"/>
        <v/>
      </c>
      <c r="H752" s="53"/>
    </row>
    <row r="753" spans="1:8" x14ac:dyDescent="0.35">
      <c r="A753" s="49"/>
      <c r="B753" s="49"/>
      <c r="C753" s="51" t="str">
        <f>IFERROR(VLOOKUP(B753,منتجات!$A$3:$C$350,2,0),"")</f>
        <v/>
      </c>
      <c r="D753" s="49" t="str">
        <f>IFERROR(VLOOKUP(B753,منتجات!$A$3:$C$350,3,0),"")</f>
        <v/>
      </c>
      <c r="E753" s="49"/>
      <c r="F753" s="49" t="str">
        <f>IFERROR(INDEX(منتجات!$G$3:$G$114,MATCH(B753,منتجات!$A$3:$A$115,0)),"")</f>
        <v/>
      </c>
      <c r="G753" s="51" t="str">
        <f t="shared" si="13"/>
        <v/>
      </c>
      <c r="H753" s="54"/>
    </row>
    <row r="754" spans="1:8" x14ac:dyDescent="0.35">
      <c r="A754" s="51"/>
      <c r="B754" s="51"/>
      <c r="C754" s="51" t="str">
        <f>IFERROR(VLOOKUP(B754,منتجات!$A$3:$C$350,2,0),"")</f>
        <v/>
      </c>
      <c r="D754" s="51" t="str">
        <f>IFERROR(VLOOKUP(B754,منتجات!$A$3:$C$350,3,0),"")</f>
        <v/>
      </c>
      <c r="E754" s="51"/>
      <c r="F754" s="51" t="str">
        <f>IFERROR(INDEX(منتجات!$G$3:$G$114,MATCH(B754,منتجات!$A$3:$A$115,0)),"")</f>
        <v/>
      </c>
      <c r="G754" s="51" t="str">
        <f t="shared" si="13"/>
        <v/>
      </c>
      <c r="H754" s="53"/>
    </row>
    <row r="755" spans="1:8" x14ac:dyDescent="0.35">
      <c r="A755" s="49"/>
      <c r="B755" s="49"/>
      <c r="C755" s="51" t="str">
        <f>IFERROR(VLOOKUP(B755,منتجات!$A$3:$C$350,2,0),"")</f>
        <v/>
      </c>
      <c r="D755" s="49" t="str">
        <f>IFERROR(VLOOKUP(B755,منتجات!$A$3:$C$350,3,0),"")</f>
        <v/>
      </c>
      <c r="E755" s="49"/>
      <c r="F755" s="49" t="str">
        <f>IFERROR(INDEX(منتجات!$G$3:$G$114,MATCH(B755,منتجات!$A$3:$A$115,0)),"")</f>
        <v/>
      </c>
      <c r="G755" s="51" t="str">
        <f t="shared" si="13"/>
        <v/>
      </c>
      <c r="H755" s="54"/>
    </row>
    <row r="756" spans="1:8" x14ac:dyDescent="0.35">
      <c r="A756" s="51"/>
      <c r="B756" s="51"/>
      <c r="C756" s="51" t="str">
        <f>IFERROR(VLOOKUP(B756,منتجات!$A$3:$C$350,2,0),"")</f>
        <v/>
      </c>
      <c r="D756" s="51" t="str">
        <f>IFERROR(VLOOKUP(B756,منتجات!$A$3:$C$350,3,0),"")</f>
        <v/>
      </c>
      <c r="E756" s="51"/>
      <c r="F756" s="51" t="str">
        <f>IFERROR(INDEX(منتجات!$G$3:$G$114,MATCH(B756,منتجات!$A$3:$A$115,0)),"")</f>
        <v/>
      </c>
      <c r="G756" s="51" t="str">
        <f t="shared" si="13"/>
        <v/>
      </c>
      <c r="H756" s="53"/>
    </row>
    <row r="757" spans="1:8" x14ac:dyDescent="0.35">
      <c r="A757" s="49"/>
      <c r="B757" s="49"/>
      <c r="C757" s="51" t="str">
        <f>IFERROR(VLOOKUP(B757,منتجات!$A$3:$C$350,2,0),"")</f>
        <v/>
      </c>
      <c r="D757" s="49" t="str">
        <f>IFERROR(VLOOKUP(B757,منتجات!$A$3:$C$350,3,0),"")</f>
        <v/>
      </c>
      <c r="E757" s="49"/>
      <c r="F757" s="49" t="str">
        <f>IFERROR(INDEX(منتجات!$G$3:$G$114,MATCH(B757,منتجات!$A$3:$A$115,0)),"")</f>
        <v/>
      </c>
      <c r="G757" s="51" t="str">
        <f t="shared" si="13"/>
        <v/>
      </c>
      <c r="H757" s="54"/>
    </row>
    <row r="758" spans="1:8" x14ac:dyDescent="0.35">
      <c r="A758" s="51"/>
      <c r="B758" s="51"/>
      <c r="C758" s="51" t="str">
        <f>IFERROR(VLOOKUP(B758,منتجات!$A$3:$C$350,2,0),"")</f>
        <v/>
      </c>
      <c r="D758" s="51" t="str">
        <f>IFERROR(VLOOKUP(B758,منتجات!$A$3:$C$350,3,0),"")</f>
        <v/>
      </c>
      <c r="E758" s="51"/>
      <c r="F758" s="51" t="str">
        <f>IFERROR(INDEX(منتجات!$G$3:$G$114,MATCH(B758,منتجات!$A$3:$A$115,0)),"")</f>
        <v/>
      </c>
      <c r="G758" s="51" t="str">
        <f t="shared" si="13"/>
        <v/>
      </c>
      <c r="H758" s="53"/>
    </row>
    <row r="759" spans="1:8" x14ac:dyDescent="0.35">
      <c r="A759" s="49"/>
      <c r="B759" s="49"/>
      <c r="C759" s="51" t="str">
        <f>IFERROR(VLOOKUP(B759,منتجات!$A$3:$C$350,2,0),"")</f>
        <v/>
      </c>
      <c r="D759" s="49" t="str">
        <f>IFERROR(VLOOKUP(B759,منتجات!$A$3:$C$350,3,0),"")</f>
        <v/>
      </c>
      <c r="E759" s="49"/>
      <c r="F759" s="49" t="str">
        <f>IFERROR(INDEX(منتجات!$G$3:$G$114,MATCH(B759,منتجات!$A$3:$A$115,0)),"")</f>
        <v/>
      </c>
      <c r="G759" s="51" t="str">
        <f t="shared" si="13"/>
        <v/>
      </c>
      <c r="H759" s="54"/>
    </row>
    <row r="760" spans="1:8" x14ac:dyDescent="0.35">
      <c r="A760" s="51"/>
      <c r="B760" s="51"/>
      <c r="C760" s="51" t="str">
        <f>IFERROR(VLOOKUP(B760,منتجات!$A$3:$C$350,2,0),"")</f>
        <v/>
      </c>
      <c r="D760" s="51" t="str">
        <f>IFERROR(VLOOKUP(B760,منتجات!$A$3:$C$350,3,0),"")</f>
        <v/>
      </c>
      <c r="E760" s="51"/>
      <c r="F760" s="51" t="str">
        <f>IFERROR(INDEX(منتجات!$G$3:$G$114,MATCH(B760,منتجات!$A$3:$A$115,0)),"")</f>
        <v/>
      </c>
      <c r="G760" s="51" t="str">
        <f t="shared" si="13"/>
        <v/>
      </c>
      <c r="H760" s="53"/>
    </row>
    <row r="761" spans="1:8" x14ac:dyDescent="0.35">
      <c r="A761" s="49"/>
      <c r="B761" s="49"/>
      <c r="C761" s="51" t="str">
        <f>IFERROR(VLOOKUP(B761,منتجات!$A$3:$C$350,2,0),"")</f>
        <v/>
      </c>
      <c r="D761" s="49" t="str">
        <f>IFERROR(VLOOKUP(B761,منتجات!$A$3:$C$350,3,0),"")</f>
        <v/>
      </c>
      <c r="E761" s="49"/>
      <c r="F761" s="49" t="str">
        <f>IFERROR(INDEX(منتجات!$G$3:$G$114,MATCH(B761,منتجات!$A$3:$A$115,0)),"")</f>
        <v/>
      </c>
      <c r="G761" s="51" t="str">
        <f t="shared" si="13"/>
        <v/>
      </c>
      <c r="H761" s="54"/>
    </row>
    <row r="762" spans="1:8" x14ac:dyDescent="0.35">
      <c r="A762" s="51"/>
      <c r="B762" s="51"/>
      <c r="C762" s="51" t="str">
        <f>IFERROR(VLOOKUP(B762,منتجات!$A$3:$C$350,2,0),"")</f>
        <v/>
      </c>
      <c r="D762" s="51" t="str">
        <f>IFERROR(VLOOKUP(B762,منتجات!$A$3:$C$350,3,0),"")</f>
        <v/>
      </c>
      <c r="E762" s="51"/>
      <c r="F762" s="51" t="str">
        <f>IFERROR(INDEX(منتجات!$G$3:$G$114,MATCH(B762,منتجات!$A$3:$A$115,0)),"")</f>
        <v/>
      </c>
      <c r="G762" s="51" t="str">
        <f t="shared" si="13"/>
        <v/>
      </c>
      <c r="H762" s="53"/>
    </row>
    <row r="763" spans="1:8" x14ac:dyDescent="0.35">
      <c r="A763" s="49"/>
      <c r="B763" s="49"/>
      <c r="C763" s="51" t="str">
        <f>IFERROR(VLOOKUP(B763,منتجات!$A$3:$C$350,2,0),"")</f>
        <v/>
      </c>
      <c r="D763" s="49" t="str">
        <f>IFERROR(VLOOKUP(B763,منتجات!$A$3:$C$350,3,0),"")</f>
        <v/>
      </c>
      <c r="E763" s="49"/>
      <c r="F763" s="49" t="str">
        <f>IFERROR(INDEX(منتجات!$G$3:$G$114,MATCH(B763,منتجات!$A$3:$A$115,0)),"")</f>
        <v/>
      </c>
      <c r="G763" s="51" t="str">
        <f t="shared" si="13"/>
        <v/>
      </c>
      <c r="H763" s="54"/>
    </row>
    <row r="764" spans="1:8" x14ac:dyDescent="0.35">
      <c r="A764" s="51"/>
      <c r="B764" s="51"/>
      <c r="C764" s="51" t="str">
        <f>IFERROR(VLOOKUP(B764,منتجات!$A$3:$C$350,2,0),"")</f>
        <v/>
      </c>
      <c r="D764" s="51" t="str">
        <f>IFERROR(VLOOKUP(B764,منتجات!$A$3:$C$350,3,0),"")</f>
        <v/>
      </c>
      <c r="E764" s="51"/>
      <c r="F764" s="51" t="str">
        <f>IFERROR(INDEX(منتجات!$G$3:$G$114,MATCH(B764,منتجات!$A$3:$A$115,0)),"")</f>
        <v/>
      </c>
      <c r="G764" s="51" t="str">
        <f t="shared" si="13"/>
        <v/>
      </c>
      <c r="H764" s="53"/>
    </row>
    <row r="765" spans="1:8" x14ac:dyDescent="0.35">
      <c r="A765" s="49"/>
      <c r="B765" s="49"/>
      <c r="C765" s="51" t="str">
        <f>IFERROR(VLOOKUP(B765,منتجات!$A$3:$C$350,2,0),"")</f>
        <v/>
      </c>
      <c r="D765" s="49" t="str">
        <f>IFERROR(VLOOKUP(B765,منتجات!$A$3:$C$350,3,0),"")</f>
        <v/>
      </c>
      <c r="E765" s="49"/>
      <c r="F765" s="49" t="str">
        <f>IFERROR(INDEX(منتجات!$G$3:$G$114,MATCH(B765,منتجات!$A$3:$A$115,0)),"")</f>
        <v/>
      </c>
      <c r="G765" s="51" t="str">
        <f t="shared" si="13"/>
        <v/>
      </c>
      <c r="H765" s="54"/>
    </row>
    <row r="766" spans="1:8" x14ac:dyDescent="0.35">
      <c r="A766" s="51"/>
      <c r="B766" s="51"/>
      <c r="C766" s="51" t="str">
        <f>IFERROR(VLOOKUP(B766,منتجات!$A$3:$C$350,2,0),"")</f>
        <v/>
      </c>
      <c r="D766" s="51" t="str">
        <f>IFERROR(VLOOKUP(B766,منتجات!$A$3:$C$350,3,0),"")</f>
        <v/>
      </c>
      <c r="E766" s="51"/>
      <c r="F766" s="51" t="str">
        <f>IFERROR(INDEX(منتجات!$G$3:$G$114,MATCH(B766,منتجات!$A$3:$A$115,0)),"")</f>
        <v/>
      </c>
      <c r="G766" s="51" t="str">
        <f t="shared" si="13"/>
        <v/>
      </c>
      <c r="H766" s="53"/>
    </row>
    <row r="767" spans="1:8" x14ac:dyDescent="0.35">
      <c r="A767" s="49"/>
      <c r="B767" s="49"/>
      <c r="C767" s="51" t="str">
        <f>IFERROR(VLOOKUP(B767,منتجات!$A$3:$C$350,2,0),"")</f>
        <v/>
      </c>
      <c r="D767" s="49" t="str">
        <f>IFERROR(VLOOKUP(B767,منتجات!$A$3:$C$350,3,0),"")</f>
        <v/>
      </c>
      <c r="E767" s="49"/>
      <c r="F767" s="49" t="str">
        <f>IFERROR(INDEX(منتجات!$G$3:$G$114,MATCH(B767,منتجات!$A$3:$A$115,0)),"")</f>
        <v/>
      </c>
      <c r="G767" s="51" t="str">
        <f t="shared" si="13"/>
        <v/>
      </c>
      <c r="H767" s="54"/>
    </row>
    <row r="768" spans="1:8" x14ac:dyDescent="0.35">
      <c r="A768" s="51"/>
      <c r="B768" s="51"/>
      <c r="C768" s="51" t="str">
        <f>IFERROR(VLOOKUP(B768,منتجات!$A$3:$C$350,2,0),"")</f>
        <v/>
      </c>
      <c r="D768" s="51" t="str">
        <f>IFERROR(VLOOKUP(B768,منتجات!$A$3:$C$350,3,0),"")</f>
        <v/>
      </c>
      <c r="E768" s="51"/>
      <c r="F768" s="51" t="str">
        <f>IFERROR(INDEX(منتجات!$G$3:$G$114,MATCH(B768,منتجات!$A$3:$A$115,0)),"")</f>
        <v/>
      </c>
      <c r="G768" s="51" t="str">
        <f t="shared" si="13"/>
        <v/>
      </c>
      <c r="H768" s="53"/>
    </row>
    <row r="769" spans="1:8" x14ac:dyDescent="0.35">
      <c r="A769" s="49"/>
      <c r="B769" s="49"/>
      <c r="C769" s="51" t="str">
        <f>IFERROR(VLOOKUP(B769,منتجات!$A$3:$C$350,2,0),"")</f>
        <v/>
      </c>
      <c r="D769" s="49" t="str">
        <f>IFERROR(VLOOKUP(B769,منتجات!$A$3:$C$350,3,0),"")</f>
        <v/>
      </c>
      <c r="E769" s="49"/>
      <c r="F769" s="49" t="str">
        <f>IFERROR(INDEX(منتجات!$G$3:$G$114,MATCH(B769,منتجات!$A$3:$A$115,0)),"")</f>
        <v/>
      </c>
      <c r="G769" s="51" t="str">
        <f t="shared" si="13"/>
        <v/>
      </c>
      <c r="H769" s="54"/>
    </row>
    <row r="770" spans="1:8" x14ac:dyDescent="0.35">
      <c r="A770" s="51"/>
      <c r="B770" s="51"/>
      <c r="C770" s="51" t="str">
        <f>IFERROR(VLOOKUP(B770,منتجات!$A$3:$C$350,2,0),"")</f>
        <v/>
      </c>
      <c r="D770" s="51" t="str">
        <f>IFERROR(VLOOKUP(B770,منتجات!$A$3:$C$350,3,0),"")</f>
        <v/>
      </c>
      <c r="E770" s="51"/>
      <c r="F770" s="51" t="str">
        <f>IFERROR(INDEX(منتجات!$G$3:$G$114,MATCH(B770,منتجات!$A$3:$A$115,0)),"")</f>
        <v/>
      </c>
      <c r="G770" s="51" t="str">
        <f t="shared" si="13"/>
        <v/>
      </c>
      <c r="H770" s="53"/>
    </row>
    <row r="771" spans="1:8" x14ac:dyDescent="0.35">
      <c r="A771" s="49"/>
      <c r="B771" s="49"/>
      <c r="C771" s="51" t="str">
        <f>IFERROR(VLOOKUP(B771,منتجات!$A$3:$C$350,2,0),"")</f>
        <v/>
      </c>
      <c r="D771" s="49" t="str">
        <f>IFERROR(VLOOKUP(B771,منتجات!$A$3:$C$350,3,0),"")</f>
        <v/>
      </c>
      <c r="E771" s="49"/>
      <c r="F771" s="49" t="str">
        <f>IFERROR(INDEX(منتجات!$G$3:$G$114,MATCH(B771,منتجات!$A$3:$A$115,0)),"")</f>
        <v/>
      </c>
      <c r="G771" s="51" t="str">
        <f t="shared" si="13"/>
        <v/>
      </c>
      <c r="H771" s="54"/>
    </row>
    <row r="772" spans="1:8" x14ac:dyDescent="0.35">
      <c r="A772" s="51"/>
      <c r="B772" s="51"/>
      <c r="C772" s="51" t="str">
        <f>IFERROR(VLOOKUP(B772,منتجات!$A$3:$C$350,2,0),"")</f>
        <v/>
      </c>
      <c r="D772" s="51" t="str">
        <f>IFERROR(VLOOKUP(B772,منتجات!$A$3:$C$350,3,0),"")</f>
        <v/>
      </c>
      <c r="E772" s="51"/>
      <c r="F772" s="51" t="str">
        <f>IFERROR(INDEX(منتجات!$G$3:$G$114,MATCH(B772,منتجات!$A$3:$A$115,0)),"")</f>
        <v/>
      </c>
      <c r="G772" s="51" t="str">
        <f t="shared" si="13"/>
        <v/>
      </c>
      <c r="H772" s="53"/>
    </row>
    <row r="773" spans="1:8" x14ac:dyDescent="0.35">
      <c r="A773" s="49"/>
      <c r="B773" s="49"/>
      <c r="C773" s="51" t="str">
        <f>IFERROR(VLOOKUP(B773,منتجات!$A$3:$C$350,2,0),"")</f>
        <v/>
      </c>
      <c r="D773" s="49" t="str">
        <f>IFERROR(VLOOKUP(B773,منتجات!$A$3:$C$350,3,0),"")</f>
        <v/>
      </c>
      <c r="E773" s="49"/>
      <c r="F773" s="49" t="str">
        <f>IFERROR(INDEX(منتجات!$G$3:$G$114,MATCH(B773,منتجات!$A$3:$A$115,0)),"")</f>
        <v/>
      </c>
      <c r="G773" s="51" t="str">
        <f t="shared" si="13"/>
        <v/>
      </c>
      <c r="H773" s="54"/>
    </row>
    <row r="774" spans="1:8" x14ac:dyDescent="0.35">
      <c r="A774" s="51"/>
      <c r="B774" s="51"/>
      <c r="C774" s="51" t="str">
        <f>IFERROR(VLOOKUP(B774,منتجات!$A$3:$C$350,2,0),"")</f>
        <v/>
      </c>
      <c r="D774" s="51" t="str">
        <f>IFERROR(VLOOKUP(B774,منتجات!$A$3:$C$350,3,0),"")</f>
        <v/>
      </c>
      <c r="E774" s="51"/>
      <c r="F774" s="51" t="str">
        <f>IFERROR(INDEX(منتجات!$G$3:$G$114,MATCH(B774,منتجات!$A$3:$A$115,0)),"")</f>
        <v/>
      </c>
      <c r="G774" s="51" t="str">
        <f t="shared" si="13"/>
        <v/>
      </c>
      <c r="H774" s="53"/>
    </row>
    <row r="775" spans="1:8" x14ac:dyDescent="0.35">
      <c r="A775" s="49"/>
      <c r="B775" s="49"/>
      <c r="C775" s="51" t="str">
        <f>IFERROR(VLOOKUP(B775,منتجات!$A$3:$C$350,2,0),"")</f>
        <v/>
      </c>
      <c r="D775" s="49" t="str">
        <f>IFERROR(VLOOKUP(B775,منتجات!$A$3:$C$350,3,0),"")</f>
        <v/>
      </c>
      <c r="E775" s="49"/>
      <c r="F775" s="49" t="str">
        <f>IFERROR(INDEX(منتجات!$G$3:$G$114,MATCH(B775,منتجات!$A$3:$A$115,0)),"")</f>
        <v/>
      </c>
      <c r="G775" s="51" t="str">
        <f t="shared" si="13"/>
        <v/>
      </c>
      <c r="H775" s="54"/>
    </row>
    <row r="776" spans="1:8" x14ac:dyDescent="0.35">
      <c r="A776" s="51"/>
      <c r="B776" s="51"/>
      <c r="C776" s="51" t="str">
        <f>IFERROR(VLOOKUP(B776,منتجات!$A$3:$C$350,2,0),"")</f>
        <v/>
      </c>
      <c r="D776" s="51" t="str">
        <f>IFERROR(VLOOKUP(B776,منتجات!$A$3:$C$350,3,0),"")</f>
        <v/>
      </c>
      <c r="E776" s="51"/>
      <c r="F776" s="51" t="str">
        <f>IFERROR(INDEX(منتجات!$G$3:$G$114,MATCH(B776,منتجات!$A$3:$A$115,0)),"")</f>
        <v/>
      </c>
      <c r="G776" s="51" t="str">
        <f t="shared" si="13"/>
        <v/>
      </c>
      <c r="H776" s="53"/>
    </row>
    <row r="777" spans="1:8" x14ac:dyDescent="0.35">
      <c r="A777" s="49"/>
      <c r="B777" s="49"/>
      <c r="C777" s="51" t="str">
        <f>IFERROR(VLOOKUP(B777,منتجات!$A$3:$C$350,2,0),"")</f>
        <v/>
      </c>
      <c r="D777" s="49" t="str">
        <f>IFERROR(VLOOKUP(B777,منتجات!$A$3:$C$350,3,0),"")</f>
        <v/>
      </c>
      <c r="E777" s="49"/>
      <c r="F777" s="49" t="str">
        <f>IFERROR(INDEX(منتجات!$G$3:$G$114,MATCH(B777,منتجات!$A$3:$A$115,0)),"")</f>
        <v/>
      </c>
      <c r="G777" s="51" t="str">
        <f t="shared" si="13"/>
        <v/>
      </c>
      <c r="H777" s="54"/>
    </row>
    <row r="778" spans="1:8" x14ac:dyDescent="0.35">
      <c r="A778" s="51"/>
      <c r="B778" s="51"/>
      <c r="C778" s="51" t="str">
        <f>IFERROR(VLOOKUP(B778,منتجات!$A$3:$C$350,2,0),"")</f>
        <v/>
      </c>
      <c r="D778" s="51" t="str">
        <f>IFERROR(VLOOKUP(B778,منتجات!$A$3:$C$350,3,0),"")</f>
        <v/>
      </c>
      <c r="E778" s="51"/>
      <c r="F778" s="51" t="str">
        <f>IFERROR(INDEX(منتجات!$G$3:$G$114,MATCH(B778,منتجات!$A$3:$A$115,0)),"")</f>
        <v/>
      </c>
      <c r="G778" s="51" t="str">
        <f t="shared" si="13"/>
        <v/>
      </c>
      <c r="H778" s="53"/>
    </row>
    <row r="779" spans="1:8" x14ac:dyDescent="0.35">
      <c r="A779" s="49"/>
      <c r="B779" s="49"/>
      <c r="C779" s="51" t="str">
        <f>IFERROR(VLOOKUP(B779,منتجات!$A$3:$C$350,2,0),"")</f>
        <v/>
      </c>
      <c r="D779" s="49" t="str">
        <f>IFERROR(VLOOKUP(B779,منتجات!$A$3:$C$350,3,0),"")</f>
        <v/>
      </c>
      <c r="E779" s="49"/>
      <c r="F779" s="49" t="str">
        <f>IFERROR(INDEX(منتجات!$G$3:$G$114,MATCH(B779,منتجات!$A$3:$A$115,0)),"")</f>
        <v/>
      </c>
      <c r="G779" s="51" t="str">
        <f t="shared" si="13"/>
        <v/>
      </c>
      <c r="H779" s="54"/>
    </row>
    <row r="780" spans="1:8" x14ac:dyDescent="0.35">
      <c r="A780" s="51"/>
      <c r="B780" s="51"/>
      <c r="C780" s="51" t="str">
        <f>IFERROR(VLOOKUP(B780,منتجات!$A$3:$C$350,2,0),"")</f>
        <v/>
      </c>
      <c r="D780" s="51" t="str">
        <f>IFERROR(VLOOKUP(B780,منتجات!$A$3:$C$350,3,0),"")</f>
        <v/>
      </c>
      <c r="E780" s="51"/>
      <c r="F780" s="51" t="str">
        <f>IFERROR(INDEX(منتجات!$G$3:$G$114,MATCH(B780,منتجات!$A$3:$A$115,0)),"")</f>
        <v/>
      </c>
      <c r="G780" s="51" t="str">
        <f t="shared" si="13"/>
        <v/>
      </c>
      <c r="H780" s="53"/>
    </row>
    <row r="781" spans="1:8" x14ac:dyDescent="0.35">
      <c r="A781" s="49"/>
      <c r="B781" s="49"/>
      <c r="C781" s="51" t="str">
        <f>IFERROR(VLOOKUP(B781,منتجات!$A$3:$C$350,2,0),"")</f>
        <v/>
      </c>
      <c r="D781" s="49" t="str">
        <f>IFERROR(VLOOKUP(B781,منتجات!$A$3:$C$350,3,0),"")</f>
        <v/>
      </c>
      <c r="E781" s="49"/>
      <c r="F781" s="49" t="str">
        <f>IFERROR(INDEX(منتجات!$G$3:$G$114,MATCH(B781,منتجات!$A$3:$A$115,0)),"")</f>
        <v/>
      </c>
      <c r="G781" s="51" t="str">
        <f t="shared" si="13"/>
        <v/>
      </c>
      <c r="H781" s="54"/>
    </row>
    <row r="782" spans="1:8" x14ac:dyDescent="0.35">
      <c r="A782" s="51"/>
      <c r="B782" s="51"/>
      <c r="C782" s="51" t="str">
        <f>IFERROR(VLOOKUP(B782,منتجات!$A$3:$C$350,2,0),"")</f>
        <v/>
      </c>
      <c r="D782" s="51" t="str">
        <f>IFERROR(VLOOKUP(B782,منتجات!$A$3:$C$350,3,0),"")</f>
        <v/>
      </c>
      <c r="E782" s="51"/>
      <c r="F782" s="51" t="str">
        <f>IFERROR(INDEX(منتجات!$G$3:$G$114,MATCH(B782,منتجات!$A$3:$A$115,0)),"")</f>
        <v/>
      </c>
      <c r="G782" s="51" t="str">
        <f t="shared" ref="G782:G845" si="14">IFERROR(E782*F782*D782,"")</f>
        <v/>
      </c>
      <c r="H782" s="53"/>
    </row>
    <row r="783" spans="1:8" x14ac:dyDescent="0.35">
      <c r="A783" s="49"/>
      <c r="B783" s="49"/>
      <c r="C783" s="51" t="str">
        <f>IFERROR(VLOOKUP(B783,منتجات!$A$3:$C$350,2,0),"")</f>
        <v/>
      </c>
      <c r="D783" s="49" t="str">
        <f>IFERROR(VLOOKUP(B783,منتجات!$A$3:$C$350,3,0),"")</f>
        <v/>
      </c>
      <c r="E783" s="49"/>
      <c r="F783" s="49" t="str">
        <f>IFERROR(INDEX(منتجات!$G$3:$G$114,MATCH(B783,منتجات!$A$3:$A$115,0)),"")</f>
        <v/>
      </c>
      <c r="G783" s="51" t="str">
        <f t="shared" si="14"/>
        <v/>
      </c>
      <c r="H783" s="54"/>
    </row>
    <row r="784" spans="1:8" x14ac:dyDescent="0.35">
      <c r="A784" s="51"/>
      <c r="B784" s="51"/>
      <c r="C784" s="51" t="str">
        <f>IFERROR(VLOOKUP(B784,منتجات!$A$3:$C$350,2,0),"")</f>
        <v/>
      </c>
      <c r="D784" s="51" t="str">
        <f>IFERROR(VLOOKUP(B784,منتجات!$A$3:$C$350,3,0),"")</f>
        <v/>
      </c>
      <c r="E784" s="51"/>
      <c r="F784" s="51" t="str">
        <f>IFERROR(INDEX(منتجات!$G$3:$G$114,MATCH(B784,منتجات!$A$3:$A$115,0)),"")</f>
        <v/>
      </c>
      <c r="G784" s="51" t="str">
        <f t="shared" si="14"/>
        <v/>
      </c>
      <c r="H784" s="53"/>
    </row>
    <row r="785" spans="1:8" x14ac:dyDescent="0.35">
      <c r="A785" s="49"/>
      <c r="B785" s="49"/>
      <c r="C785" s="51" t="str">
        <f>IFERROR(VLOOKUP(B785,منتجات!$A$3:$C$350,2,0),"")</f>
        <v/>
      </c>
      <c r="D785" s="49" t="str">
        <f>IFERROR(VLOOKUP(B785,منتجات!$A$3:$C$350,3,0),"")</f>
        <v/>
      </c>
      <c r="E785" s="49"/>
      <c r="F785" s="49" t="str">
        <f>IFERROR(INDEX(منتجات!$G$3:$G$114,MATCH(B785,منتجات!$A$3:$A$115,0)),"")</f>
        <v/>
      </c>
      <c r="G785" s="51" t="str">
        <f t="shared" si="14"/>
        <v/>
      </c>
      <c r="H785" s="54"/>
    </row>
    <row r="786" spans="1:8" x14ac:dyDescent="0.35">
      <c r="A786" s="51"/>
      <c r="B786" s="51"/>
      <c r="C786" s="51" t="str">
        <f>IFERROR(VLOOKUP(B786,منتجات!$A$3:$C$350,2,0),"")</f>
        <v/>
      </c>
      <c r="D786" s="51" t="str">
        <f>IFERROR(VLOOKUP(B786,منتجات!$A$3:$C$350,3,0),"")</f>
        <v/>
      </c>
      <c r="E786" s="51"/>
      <c r="F786" s="51" t="str">
        <f>IFERROR(INDEX(منتجات!$G$3:$G$114,MATCH(B786,منتجات!$A$3:$A$115,0)),"")</f>
        <v/>
      </c>
      <c r="G786" s="51" t="str">
        <f t="shared" si="14"/>
        <v/>
      </c>
      <c r="H786" s="53"/>
    </row>
    <row r="787" spans="1:8" x14ac:dyDescent="0.35">
      <c r="A787" s="49"/>
      <c r="B787" s="49"/>
      <c r="C787" s="51" t="str">
        <f>IFERROR(VLOOKUP(B787,منتجات!$A$3:$C$350,2,0),"")</f>
        <v/>
      </c>
      <c r="D787" s="49" t="str">
        <f>IFERROR(VLOOKUP(B787,منتجات!$A$3:$C$350,3,0),"")</f>
        <v/>
      </c>
      <c r="E787" s="49"/>
      <c r="F787" s="49" t="str">
        <f>IFERROR(INDEX(منتجات!$G$3:$G$114,MATCH(B787,منتجات!$A$3:$A$115,0)),"")</f>
        <v/>
      </c>
      <c r="G787" s="51" t="str">
        <f t="shared" si="14"/>
        <v/>
      </c>
      <c r="H787" s="54"/>
    </row>
    <row r="788" spans="1:8" x14ac:dyDescent="0.35">
      <c r="A788" s="51"/>
      <c r="B788" s="51"/>
      <c r="C788" s="51" t="str">
        <f>IFERROR(VLOOKUP(B788,منتجات!$A$3:$C$350,2,0),"")</f>
        <v/>
      </c>
      <c r="D788" s="51" t="str">
        <f>IFERROR(VLOOKUP(B788,منتجات!$A$3:$C$350,3,0),"")</f>
        <v/>
      </c>
      <c r="E788" s="51"/>
      <c r="F788" s="51" t="str">
        <f>IFERROR(INDEX(منتجات!$G$3:$G$114,MATCH(B788,منتجات!$A$3:$A$115,0)),"")</f>
        <v/>
      </c>
      <c r="G788" s="51" t="str">
        <f t="shared" si="14"/>
        <v/>
      </c>
      <c r="H788" s="53"/>
    </row>
    <row r="789" spans="1:8" x14ac:dyDescent="0.35">
      <c r="A789" s="49"/>
      <c r="B789" s="49"/>
      <c r="C789" s="51" t="str">
        <f>IFERROR(VLOOKUP(B789,منتجات!$A$3:$C$350,2,0),"")</f>
        <v/>
      </c>
      <c r="D789" s="49" t="str">
        <f>IFERROR(VLOOKUP(B789,منتجات!$A$3:$C$350,3,0),"")</f>
        <v/>
      </c>
      <c r="E789" s="49"/>
      <c r="F789" s="49" t="str">
        <f>IFERROR(INDEX(منتجات!$G$3:$G$114,MATCH(B789,منتجات!$A$3:$A$115,0)),"")</f>
        <v/>
      </c>
      <c r="G789" s="51" t="str">
        <f t="shared" si="14"/>
        <v/>
      </c>
      <c r="H789" s="54"/>
    </row>
    <row r="790" spans="1:8" x14ac:dyDescent="0.35">
      <c r="A790" s="51"/>
      <c r="B790" s="51"/>
      <c r="C790" s="51" t="str">
        <f>IFERROR(VLOOKUP(B790,منتجات!$A$3:$C$350,2,0),"")</f>
        <v/>
      </c>
      <c r="D790" s="51" t="str">
        <f>IFERROR(VLOOKUP(B790,منتجات!$A$3:$C$350,3,0),"")</f>
        <v/>
      </c>
      <c r="E790" s="51"/>
      <c r="F790" s="51" t="str">
        <f>IFERROR(INDEX(منتجات!$G$3:$G$114,MATCH(B790,منتجات!$A$3:$A$115,0)),"")</f>
        <v/>
      </c>
      <c r="G790" s="51" t="str">
        <f t="shared" si="14"/>
        <v/>
      </c>
      <c r="H790" s="53"/>
    </row>
    <row r="791" spans="1:8" x14ac:dyDescent="0.35">
      <c r="A791" s="49"/>
      <c r="B791" s="49"/>
      <c r="C791" s="51" t="str">
        <f>IFERROR(VLOOKUP(B791,منتجات!$A$3:$C$350,2,0),"")</f>
        <v/>
      </c>
      <c r="D791" s="49" t="str">
        <f>IFERROR(VLOOKUP(B791,منتجات!$A$3:$C$350,3,0),"")</f>
        <v/>
      </c>
      <c r="E791" s="49"/>
      <c r="F791" s="49" t="str">
        <f>IFERROR(INDEX(منتجات!$G$3:$G$114,MATCH(B791,منتجات!$A$3:$A$115,0)),"")</f>
        <v/>
      </c>
      <c r="G791" s="51" t="str">
        <f t="shared" si="14"/>
        <v/>
      </c>
      <c r="H791" s="54"/>
    </row>
    <row r="792" spans="1:8" x14ac:dyDescent="0.35">
      <c r="A792" s="51"/>
      <c r="B792" s="51"/>
      <c r="C792" s="51" t="str">
        <f>IFERROR(VLOOKUP(B792,منتجات!$A$3:$C$350,2,0),"")</f>
        <v/>
      </c>
      <c r="D792" s="51" t="str">
        <f>IFERROR(VLOOKUP(B792,منتجات!$A$3:$C$350,3,0),"")</f>
        <v/>
      </c>
      <c r="E792" s="51"/>
      <c r="F792" s="51" t="str">
        <f>IFERROR(INDEX(منتجات!$G$3:$G$114,MATCH(B792,منتجات!$A$3:$A$115,0)),"")</f>
        <v/>
      </c>
      <c r="G792" s="51" t="str">
        <f t="shared" si="14"/>
        <v/>
      </c>
      <c r="H792" s="53"/>
    </row>
    <row r="793" spans="1:8" x14ac:dyDescent="0.35">
      <c r="A793" s="49"/>
      <c r="B793" s="49"/>
      <c r="C793" s="51" t="str">
        <f>IFERROR(VLOOKUP(B793,منتجات!$A$3:$C$350,2,0),"")</f>
        <v/>
      </c>
      <c r="D793" s="49" t="str">
        <f>IFERROR(VLOOKUP(B793,منتجات!$A$3:$C$350,3,0),"")</f>
        <v/>
      </c>
      <c r="E793" s="49"/>
      <c r="F793" s="49" t="str">
        <f>IFERROR(INDEX(منتجات!$G$3:$G$114,MATCH(B793,منتجات!$A$3:$A$115,0)),"")</f>
        <v/>
      </c>
      <c r="G793" s="51" t="str">
        <f t="shared" si="14"/>
        <v/>
      </c>
      <c r="H793" s="54"/>
    </row>
    <row r="794" spans="1:8" x14ac:dyDescent="0.35">
      <c r="A794" s="51"/>
      <c r="B794" s="51"/>
      <c r="C794" s="51" t="str">
        <f>IFERROR(VLOOKUP(B794,منتجات!$A$3:$C$350,2,0),"")</f>
        <v/>
      </c>
      <c r="D794" s="51" t="str">
        <f>IFERROR(VLOOKUP(B794,منتجات!$A$3:$C$350,3,0),"")</f>
        <v/>
      </c>
      <c r="E794" s="51"/>
      <c r="F794" s="51" t="str">
        <f>IFERROR(INDEX(منتجات!$G$3:$G$114,MATCH(B794,منتجات!$A$3:$A$115,0)),"")</f>
        <v/>
      </c>
      <c r="G794" s="51" t="str">
        <f t="shared" si="14"/>
        <v/>
      </c>
      <c r="H794" s="53"/>
    </row>
    <row r="795" spans="1:8" x14ac:dyDescent="0.35">
      <c r="A795" s="49"/>
      <c r="B795" s="49"/>
      <c r="C795" s="51" t="str">
        <f>IFERROR(VLOOKUP(B795,منتجات!$A$3:$C$350,2,0),"")</f>
        <v/>
      </c>
      <c r="D795" s="49" t="str">
        <f>IFERROR(VLOOKUP(B795,منتجات!$A$3:$C$350,3,0),"")</f>
        <v/>
      </c>
      <c r="E795" s="49"/>
      <c r="F795" s="49" t="str">
        <f>IFERROR(INDEX(منتجات!$G$3:$G$114,MATCH(B795,منتجات!$A$3:$A$115,0)),"")</f>
        <v/>
      </c>
      <c r="G795" s="51" t="str">
        <f t="shared" si="14"/>
        <v/>
      </c>
      <c r="H795" s="54"/>
    </row>
    <row r="796" spans="1:8" x14ac:dyDescent="0.35">
      <c r="A796" s="51"/>
      <c r="B796" s="51"/>
      <c r="C796" s="51" t="str">
        <f>IFERROR(VLOOKUP(B796,منتجات!$A$3:$C$350,2,0),"")</f>
        <v/>
      </c>
      <c r="D796" s="51" t="str">
        <f>IFERROR(VLOOKUP(B796,منتجات!$A$3:$C$350,3,0),"")</f>
        <v/>
      </c>
      <c r="E796" s="51"/>
      <c r="F796" s="51" t="str">
        <f>IFERROR(INDEX(منتجات!$G$3:$G$114,MATCH(B796,منتجات!$A$3:$A$115,0)),"")</f>
        <v/>
      </c>
      <c r="G796" s="51" t="str">
        <f t="shared" si="14"/>
        <v/>
      </c>
      <c r="H796" s="53"/>
    </row>
    <row r="797" spans="1:8" x14ac:dyDescent="0.35">
      <c r="A797" s="49"/>
      <c r="B797" s="49"/>
      <c r="C797" s="51" t="str">
        <f>IFERROR(VLOOKUP(B797,منتجات!$A$3:$C$350,2,0),"")</f>
        <v/>
      </c>
      <c r="D797" s="49" t="str">
        <f>IFERROR(VLOOKUP(B797,منتجات!$A$3:$C$350,3,0),"")</f>
        <v/>
      </c>
      <c r="E797" s="49"/>
      <c r="F797" s="49" t="str">
        <f>IFERROR(INDEX(منتجات!$G$3:$G$114,MATCH(B797,منتجات!$A$3:$A$115,0)),"")</f>
        <v/>
      </c>
      <c r="G797" s="51" t="str">
        <f t="shared" si="14"/>
        <v/>
      </c>
      <c r="H797" s="54"/>
    </row>
    <row r="798" spans="1:8" x14ac:dyDescent="0.35">
      <c r="A798" s="51"/>
      <c r="B798" s="51"/>
      <c r="C798" s="51" t="str">
        <f>IFERROR(VLOOKUP(B798,منتجات!$A$3:$C$350,2,0),"")</f>
        <v/>
      </c>
      <c r="D798" s="51" t="str">
        <f>IFERROR(VLOOKUP(B798,منتجات!$A$3:$C$350,3,0),"")</f>
        <v/>
      </c>
      <c r="E798" s="51"/>
      <c r="F798" s="51" t="str">
        <f>IFERROR(INDEX(منتجات!$G$3:$G$114,MATCH(B798,منتجات!$A$3:$A$115,0)),"")</f>
        <v/>
      </c>
      <c r="G798" s="51" t="str">
        <f t="shared" si="14"/>
        <v/>
      </c>
      <c r="H798" s="53"/>
    </row>
    <row r="799" spans="1:8" x14ac:dyDescent="0.35">
      <c r="A799" s="49"/>
      <c r="B799" s="49"/>
      <c r="C799" s="51" t="str">
        <f>IFERROR(VLOOKUP(B799,منتجات!$A$3:$C$350,2,0),"")</f>
        <v/>
      </c>
      <c r="D799" s="49" t="str">
        <f>IFERROR(VLOOKUP(B799,منتجات!$A$3:$C$350,3,0),"")</f>
        <v/>
      </c>
      <c r="E799" s="49"/>
      <c r="F799" s="49" t="str">
        <f>IFERROR(INDEX(منتجات!$G$3:$G$114,MATCH(B799,منتجات!$A$3:$A$115,0)),"")</f>
        <v/>
      </c>
      <c r="G799" s="51" t="str">
        <f t="shared" si="14"/>
        <v/>
      </c>
      <c r="H799" s="54"/>
    </row>
    <row r="800" spans="1:8" x14ac:dyDescent="0.35">
      <c r="A800" s="51"/>
      <c r="B800" s="51"/>
      <c r="C800" s="51" t="str">
        <f>IFERROR(VLOOKUP(B800,منتجات!$A$3:$C$350,2,0),"")</f>
        <v/>
      </c>
      <c r="D800" s="51" t="str">
        <f>IFERROR(VLOOKUP(B800,منتجات!$A$3:$C$350,3,0),"")</f>
        <v/>
      </c>
      <c r="E800" s="51"/>
      <c r="F800" s="51" t="str">
        <f>IFERROR(INDEX(منتجات!$G$3:$G$114,MATCH(B800,منتجات!$A$3:$A$115,0)),"")</f>
        <v/>
      </c>
      <c r="G800" s="51" t="str">
        <f t="shared" si="14"/>
        <v/>
      </c>
      <c r="H800" s="53"/>
    </row>
    <row r="801" spans="1:8" x14ac:dyDescent="0.35">
      <c r="A801" s="49"/>
      <c r="B801" s="49"/>
      <c r="C801" s="51" t="str">
        <f>IFERROR(VLOOKUP(B801,منتجات!$A$3:$C$350,2,0),"")</f>
        <v/>
      </c>
      <c r="D801" s="49" t="str">
        <f>IFERROR(VLOOKUP(B801,منتجات!$A$3:$C$350,3,0),"")</f>
        <v/>
      </c>
      <c r="E801" s="49"/>
      <c r="F801" s="49" t="str">
        <f>IFERROR(INDEX(منتجات!$G$3:$G$114,MATCH(B801,منتجات!$A$3:$A$115,0)),"")</f>
        <v/>
      </c>
      <c r="G801" s="51" t="str">
        <f t="shared" si="14"/>
        <v/>
      </c>
      <c r="H801" s="54"/>
    </row>
    <row r="802" spans="1:8" x14ac:dyDescent="0.35">
      <c r="A802" s="51"/>
      <c r="B802" s="51"/>
      <c r="C802" s="51" t="str">
        <f>IFERROR(VLOOKUP(B802,منتجات!$A$3:$C$350,2,0),"")</f>
        <v/>
      </c>
      <c r="D802" s="51" t="str">
        <f>IFERROR(VLOOKUP(B802,منتجات!$A$3:$C$350,3,0),"")</f>
        <v/>
      </c>
      <c r="E802" s="51"/>
      <c r="F802" s="51" t="str">
        <f>IFERROR(INDEX(منتجات!$G$3:$G$114,MATCH(B802,منتجات!$A$3:$A$115,0)),"")</f>
        <v/>
      </c>
      <c r="G802" s="51" t="str">
        <f t="shared" si="14"/>
        <v/>
      </c>
      <c r="H802" s="53"/>
    </row>
    <row r="803" spans="1:8" x14ac:dyDescent="0.35">
      <c r="A803" s="49"/>
      <c r="B803" s="49"/>
      <c r="C803" s="51" t="str">
        <f>IFERROR(VLOOKUP(B803,منتجات!$A$3:$C$350,2,0),"")</f>
        <v/>
      </c>
      <c r="D803" s="49" t="str">
        <f>IFERROR(VLOOKUP(B803,منتجات!$A$3:$C$350,3,0),"")</f>
        <v/>
      </c>
      <c r="E803" s="49"/>
      <c r="F803" s="49" t="str">
        <f>IFERROR(INDEX(منتجات!$G$3:$G$114,MATCH(B803,منتجات!$A$3:$A$115,0)),"")</f>
        <v/>
      </c>
      <c r="G803" s="51" t="str">
        <f t="shared" si="14"/>
        <v/>
      </c>
      <c r="H803" s="54"/>
    </row>
    <row r="804" spans="1:8" x14ac:dyDescent="0.35">
      <c r="A804" s="51"/>
      <c r="B804" s="51"/>
      <c r="C804" s="51" t="str">
        <f>IFERROR(VLOOKUP(B804,منتجات!$A$3:$C$350,2,0),"")</f>
        <v/>
      </c>
      <c r="D804" s="51" t="str">
        <f>IFERROR(VLOOKUP(B804,منتجات!$A$3:$C$350,3,0),"")</f>
        <v/>
      </c>
      <c r="E804" s="51"/>
      <c r="F804" s="51" t="str">
        <f>IFERROR(INDEX(منتجات!$G$3:$G$114,MATCH(B804,منتجات!$A$3:$A$115,0)),"")</f>
        <v/>
      </c>
      <c r="G804" s="51" t="str">
        <f t="shared" si="14"/>
        <v/>
      </c>
      <c r="H804" s="53"/>
    </row>
    <row r="805" spans="1:8" x14ac:dyDescent="0.35">
      <c r="A805" s="49"/>
      <c r="B805" s="49"/>
      <c r="C805" s="51" t="str">
        <f>IFERROR(VLOOKUP(B805,منتجات!$A$3:$C$350,2,0),"")</f>
        <v/>
      </c>
      <c r="D805" s="49" t="str">
        <f>IFERROR(VLOOKUP(B805,منتجات!$A$3:$C$350,3,0),"")</f>
        <v/>
      </c>
      <c r="E805" s="49"/>
      <c r="F805" s="49" t="str">
        <f>IFERROR(INDEX(منتجات!$G$3:$G$114,MATCH(B805,منتجات!$A$3:$A$115,0)),"")</f>
        <v/>
      </c>
      <c r="G805" s="51" t="str">
        <f t="shared" si="14"/>
        <v/>
      </c>
      <c r="H805" s="54"/>
    </row>
    <row r="806" spans="1:8" x14ac:dyDescent="0.35">
      <c r="A806" s="51"/>
      <c r="B806" s="51"/>
      <c r="C806" s="51" t="str">
        <f>IFERROR(VLOOKUP(B806,منتجات!$A$3:$C$350,2,0),"")</f>
        <v/>
      </c>
      <c r="D806" s="51" t="str">
        <f>IFERROR(VLOOKUP(B806,منتجات!$A$3:$C$350,3,0),"")</f>
        <v/>
      </c>
      <c r="E806" s="51"/>
      <c r="F806" s="51" t="str">
        <f>IFERROR(INDEX(منتجات!$G$3:$G$114,MATCH(B806,منتجات!$A$3:$A$115,0)),"")</f>
        <v/>
      </c>
      <c r="G806" s="51" t="str">
        <f t="shared" si="14"/>
        <v/>
      </c>
      <c r="H806" s="53"/>
    </row>
    <row r="807" spans="1:8" x14ac:dyDescent="0.35">
      <c r="A807" s="49"/>
      <c r="B807" s="49"/>
      <c r="C807" s="51" t="str">
        <f>IFERROR(VLOOKUP(B807,منتجات!$A$3:$C$350,2,0),"")</f>
        <v/>
      </c>
      <c r="D807" s="49" t="str">
        <f>IFERROR(VLOOKUP(B807,منتجات!$A$3:$C$350,3,0),"")</f>
        <v/>
      </c>
      <c r="E807" s="49"/>
      <c r="F807" s="49" t="str">
        <f>IFERROR(INDEX(منتجات!$G$3:$G$114,MATCH(B807,منتجات!$A$3:$A$115,0)),"")</f>
        <v/>
      </c>
      <c r="G807" s="51" t="str">
        <f t="shared" si="14"/>
        <v/>
      </c>
      <c r="H807" s="54"/>
    </row>
    <row r="808" spans="1:8" x14ac:dyDescent="0.35">
      <c r="A808" s="51"/>
      <c r="B808" s="51"/>
      <c r="C808" s="51" t="str">
        <f>IFERROR(VLOOKUP(B808,منتجات!$A$3:$C$350,2,0),"")</f>
        <v/>
      </c>
      <c r="D808" s="51" t="str">
        <f>IFERROR(VLOOKUP(B808,منتجات!$A$3:$C$350,3,0),"")</f>
        <v/>
      </c>
      <c r="E808" s="51"/>
      <c r="F808" s="51" t="str">
        <f>IFERROR(INDEX(منتجات!$G$3:$G$114,MATCH(B808,منتجات!$A$3:$A$115,0)),"")</f>
        <v/>
      </c>
      <c r="G808" s="51" t="str">
        <f t="shared" si="14"/>
        <v/>
      </c>
      <c r="H808" s="53"/>
    </row>
    <row r="809" spans="1:8" x14ac:dyDescent="0.35">
      <c r="A809" s="49"/>
      <c r="B809" s="49"/>
      <c r="C809" s="51" t="str">
        <f>IFERROR(VLOOKUP(B809,منتجات!$A$3:$C$350,2,0),"")</f>
        <v/>
      </c>
      <c r="D809" s="49" t="str">
        <f>IFERROR(VLOOKUP(B809,منتجات!$A$3:$C$350,3,0),"")</f>
        <v/>
      </c>
      <c r="E809" s="49"/>
      <c r="F809" s="49" t="str">
        <f>IFERROR(INDEX(منتجات!$G$3:$G$114,MATCH(B809,منتجات!$A$3:$A$115,0)),"")</f>
        <v/>
      </c>
      <c r="G809" s="51" t="str">
        <f t="shared" si="14"/>
        <v/>
      </c>
      <c r="H809" s="54"/>
    </row>
    <row r="810" spans="1:8" x14ac:dyDescent="0.35">
      <c r="A810" s="51"/>
      <c r="B810" s="51"/>
      <c r="C810" s="51" t="str">
        <f>IFERROR(VLOOKUP(B810,منتجات!$A$3:$C$350,2,0),"")</f>
        <v/>
      </c>
      <c r="D810" s="51" t="str">
        <f>IFERROR(VLOOKUP(B810,منتجات!$A$3:$C$350,3,0),"")</f>
        <v/>
      </c>
      <c r="E810" s="51"/>
      <c r="F810" s="51" t="str">
        <f>IFERROR(INDEX(منتجات!$G$3:$G$114,MATCH(B810,منتجات!$A$3:$A$115,0)),"")</f>
        <v/>
      </c>
      <c r="G810" s="51" t="str">
        <f t="shared" si="14"/>
        <v/>
      </c>
      <c r="H810" s="53"/>
    </row>
    <row r="811" spans="1:8" x14ac:dyDescent="0.35">
      <c r="A811" s="49"/>
      <c r="B811" s="49"/>
      <c r="C811" s="51" t="str">
        <f>IFERROR(VLOOKUP(B811,منتجات!$A$3:$C$350,2,0),"")</f>
        <v/>
      </c>
      <c r="D811" s="49" t="str">
        <f>IFERROR(VLOOKUP(B811,منتجات!$A$3:$C$350,3,0),"")</f>
        <v/>
      </c>
      <c r="E811" s="49"/>
      <c r="F811" s="49" t="str">
        <f>IFERROR(INDEX(منتجات!$G$3:$G$114,MATCH(B811,منتجات!$A$3:$A$115,0)),"")</f>
        <v/>
      </c>
      <c r="G811" s="51" t="str">
        <f t="shared" si="14"/>
        <v/>
      </c>
      <c r="H811" s="54"/>
    </row>
    <row r="812" spans="1:8" x14ac:dyDescent="0.35">
      <c r="A812" s="51"/>
      <c r="B812" s="51"/>
      <c r="C812" s="51" t="str">
        <f>IFERROR(VLOOKUP(B812,منتجات!$A$3:$C$350,2,0),"")</f>
        <v/>
      </c>
      <c r="D812" s="51" t="str">
        <f>IFERROR(VLOOKUP(B812,منتجات!$A$3:$C$350,3,0),"")</f>
        <v/>
      </c>
      <c r="E812" s="51"/>
      <c r="F812" s="51" t="str">
        <f>IFERROR(INDEX(منتجات!$G$3:$G$114,MATCH(B812,منتجات!$A$3:$A$115,0)),"")</f>
        <v/>
      </c>
      <c r="G812" s="51" t="str">
        <f t="shared" si="14"/>
        <v/>
      </c>
      <c r="H812" s="53"/>
    </row>
    <row r="813" spans="1:8" x14ac:dyDescent="0.35">
      <c r="A813" s="49"/>
      <c r="B813" s="49"/>
      <c r="C813" s="51" t="str">
        <f>IFERROR(VLOOKUP(B813,منتجات!$A$3:$C$350,2,0),"")</f>
        <v/>
      </c>
      <c r="D813" s="49" t="str">
        <f>IFERROR(VLOOKUP(B813,منتجات!$A$3:$C$350,3,0),"")</f>
        <v/>
      </c>
      <c r="E813" s="49"/>
      <c r="F813" s="49" t="str">
        <f>IFERROR(INDEX(منتجات!$G$3:$G$114,MATCH(B813,منتجات!$A$3:$A$115,0)),"")</f>
        <v/>
      </c>
      <c r="G813" s="51" t="str">
        <f t="shared" si="14"/>
        <v/>
      </c>
      <c r="H813" s="54"/>
    </row>
    <row r="814" spans="1:8" x14ac:dyDescent="0.35">
      <c r="A814" s="51"/>
      <c r="B814" s="51"/>
      <c r="C814" s="51" t="str">
        <f>IFERROR(VLOOKUP(B814,منتجات!$A$3:$C$350,2,0),"")</f>
        <v/>
      </c>
      <c r="D814" s="51" t="str">
        <f>IFERROR(VLOOKUP(B814,منتجات!$A$3:$C$350,3,0),"")</f>
        <v/>
      </c>
      <c r="E814" s="51"/>
      <c r="F814" s="51" t="str">
        <f>IFERROR(INDEX(منتجات!$G$3:$G$114,MATCH(B814,منتجات!$A$3:$A$115,0)),"")</f>
        <v/>
      </c>
      <c r="G814" s="51" t="str">
        <f t="shared" si="14"/>
        <v/>
      </c>
      <c r="H814" s="53"/>
    </row>
    <row r="815" spans="1:8" x14ac:dyDescent="0.35">
      <c r="A815" s="49"/>
      <c r="B815" s="49"/>
      <c r="C815" s="51" t="str">
        <f>IFERROR(VLOOKUP(B815,منتجات!$A$3:$C$350,2,0),"")</f>
        <v/>
      </c>
      <c r="D815" s="49" t="str">
        <f>IFERROR(VLOOKUP(B815,منتجات!$A$3:$C$350,3,0),"")</f>
        <v/>
      </c>
      <c r="E815" s="49"/>
      <c r="F815" s="49" t="str">
        <f>IFERROR(INDEX(منتجات!$G$3:$G$114,MATCH(B815,منتجات!$A$3:$A$115,0)),"")</f>
        <v/>
      </c>
      <c r="G815" s="51" t="str">
        <f t="shared" si="14"/>
        <v/>
      </c>
      <c r="H815" s="54"/>
    </row>
    <row r="816" spans="1:8" x14ac:dyDescent="0.35">
      <c r="A816" s="51"/>
      <c r="B816" s="51"/>
      <c r="C816" s="51" t="str">
        <f>IFERROR(VLOOKUP(B816,منتجات!$A$3:$C$350,2,0),"")</f>
        <v/>
      </c>
      <c r="D816" s="51" t="str">
        <f>IFERROR(VLOOKUP(B816,منتجات!$A$3:$C$350,3,0),"")</f>
        <v/>
      </c>
      <c r="E816" s="51"/>
      <c r="F816" s="51" t="str">
        <f>IFERROR(INDEX(منتجات!$G$3:$G$114,MATCH(B816,منتجات!$A$3:$A$115,0)),"")</f>
        <v/>
      </c>
      <c r="G816" s="51" t="str">
        <f t="shared" si="14"/>
        <v/>
      </c>
      <c r="H816" s="53"/>
    </row>
    <row r="817" spans="1:8" x14ac:dyDescent="0.35">
      <c r="A817" s="49"/>
      <c r="B817" s="49"/>
      <c r="C817" s="51" t="str">
        <f>IFERROR(VLOOKUP(B817,منتجات!$A$3:$C$350,2,0),"")</f>
        <v/>
      </c>
      <c r="D817" s="49" t="str">
        <f>IFERROR(VLOOKUP(B817,منتجات!$A$3:$C$350,3,0),"")</f>
        <v/>
      </c>
      <c r="E817" s="49"/>
      <c r="F817" s="49" t="str">
        <f>IFERROR(INDEX(منتجات!$G$3:$G$114,MATCH(B817,منتجات!$A$3:$A$115,0)),"")</f>
        <v/>
      </c>
      <c r="G817" s="51" t="str">
        <f t="shared" si="14"/>
        <v/>
      </c>
      <c r="H817" s="54"/>
    </row>
    <row r="818" spans="1:8" x14ac:dyDescent="0.35">
      <c r="A818" s="51"/>
      <c r="B818" s="51"/>
      <c r="C818" s="51" t="str">
        <f>IFERROR(VLOOKUP(B818,منتجات!$A$3:$C$350,2,0),"")</f>
        <v/>
      </c>
      <c r="D818" s="51" t="str">
        <f>IFERROR(VLOOKUP(B818,منتجات!$A$3:$C$350,3,0),"")</f>
        <v/>
      </c>
      <c r="E818" s="51"/>
      <c r="F818" s="51" t="str">
        <f>IFERROR(INDEX(منتجات!$G$3:$G$114,MATCH(B818,منتجات!$A$3:$A$115,0)),"")</f>
        <v/>
      </c>
      <c r="G818" s="51" t="str">
        <f t="shared" si="14"/>
        <v/>
      </c>
      <c r="H818" s="53"/>
    </row>
    <row r="819" spans="1:8" x14ac:dyDescent="0.35">
      <c r="A819" s="49"/>
      <c r="B819" s="49"/>
      <c r="C819" s="51" t="str">
        <f>IFERROR(VLOOKUP(B819,منتجات!$A$3:$C$350,2,0),"")</f>
        <v/>
      </c>
      <c r="D819" s="49" t="str">
        <f>IFERROR(VLOOKUP(B819,منتجات!$A$3:$C$350,3,0),"")</f>
        <v/>
      </c>
      <c r="E819" s="49"/>
      <c r="F819" s="49" t="str">
        <f>IFERROR(INDEX(منتجات!$G$3:$G$114,MATCH(B819,منتجات!$A$3:$A$115,0)),"")</f>
        <v/>
      </c>
      <c r="G819" s="51" t="str">
        <f t="shared" si="14"/>
        <v/>
      </c>
      <c r="H819" s="54"/>
    </row>
    <row r="820" spans="1:8" x14ac:dyDescent="0.35">
      <c r="A820" s="51"/>
      <c r="B820" s="51"/>
      <c r="C820" s="51" t="str">
        <f>IFERROR(VLOOKUP(B820,منتجات!$A$3:$C$350,2,0),"")</f>
        <v/>
      </c>
      <c r="D820" s="51" t="str">
        <f>IFERROR(VLOOKUP(B820,منتجات!$A$3:$C$350,3,0),"")</f>
        <v/>
      </c>
      <c r="E820" s="51"/>
      <c r="F820" s="51" t="str">
        <f>IFERROR(INDEX(منتجات!$G$3:$G$114,MATCH(B820,منتجات!$A$3:$A$115,0)),"")</f>
        <v/>
      </c>
      <c r="G820" s="51" t="str">
        <f t="shared" si="14"/>
        <v/>
      </c>
      <c r="H820" s="53"/>
    </row>
    <row r="821" spans="1:8" x14ac:dyDescent="0.35">
      <c r="A821" s="49"/>
      <c r="B821" s="49"/>
      <c r="C821" s="51" t="str">
        <f>IFERROR(VLOOKUP(B821,منتجات!$A$3:$C$350,2,0),"")</f>
        <v/>
      </c>
      <c r="D821" s="49" t="str">
        <f>IFERROR(VLOOKUP(B821,منتجات!$A$3:$C$350,3,0),"")</f>
        <v/>
      </c>
      <c r="E821" s="49"/>
      <c r="F821" s="49" t="str">
        <f>IFERROR(INDEX(منتجات!$G$3:$G$114,MATCH(B821,منتجات!$A$3:$A$115,0)),"")</f>
        <v/>
      </c>
      <c r="G821" s="51" t="str">
        <f t="shared" si="14"/>
        <v/>
      </c>
      <c r="H821" s="54"/>
    </row>
    <row r="822" spans="1:8" x14ac:dyDescent="0.35">
      <c r="A822" s="51"/>
      <c r="B822" s="51"/>
      <c r="C822" s="51" t="str">
        <f>IFERROR(VLOOKUP(B822,منتجات!$A$3:$C$350,2,0),"")</f>
        <v/>
      </c>
      <c r="D822" s="51" t="str">
        <f>IFERROR(VLOOKUP(B822,منتجات!$A$3:$C$350,3,0),"")</f>
        <v/>
      </c>
      <c r="E822" s="51"/>
      <c r="F822" s="51" t="str">
        <f>IFERROR(INDEX(منتجات!$G$3:$G$114,MATCH(B822,منتجات!$A$3:$A$115,0)),"")</f>
        <v/>
      </c>
      <c r="G822" s="51" t="str">
        <f t="shared" si="14"/>
        <v/>
      </c>
      <c r="H822" s="53"/>
    </row>
    <row r="823" spans="1:8" x14ac:dyDescent="0.35">
      <c r="A823" s="49"/>
      <c r="B823" s="49"/>
      <c r="C823" s="51" t="str">
        <f>IFERROR(VLOOKUP(B823,منتجات!$A$3:$C$350,2,0),"")</f>
        <v/>
      </c>
      <c r="D823" s="49" t="str">
        <f>IFERROR(VLOOKUP(B823,منتجات!$A$3:$C$350,3,0),"")</f>
        <v/>
      </c>
      <c r="E823" s="49"/>
      <c r="F823" s="49" t="str">
        <f>IFERROR(INDEX(منتجات!$G$3:$G$114,MATCH(B823,منتجات!$A$3:$A$115,0)),"")</f>
        <v/>
      </c>
      <c r="G823" s="51" t="str">
        <f t="shared" si="14"/>
        <v/>
      </c>
      <c r="H823" s="54"/>
    </row>
    <row r="824" spans="1:8" x14ac:dyDescent="0.35">
      <c r="A824" s="51"/>
      <c r="B824" s="51"/>
      <c r="C824" s="51" t="str">
        <f>IFERROR(VLOOKUP(B824,منتجات!$A$3:$C$350,2,0),"")</f>
        <v/>
      </c>
      <c r="D824" s="51" t="str">
        <f>IFERROR(VLOOKUP(B824,منتجات!$A$3:$C$350,3,0),"")</f>
        <v/>
      </c>
      <c r="E824" s="51"/>
      <c r="F824" s="51" t="str">
        <f>IFERROR(INDEX(منتجات!$G$3:$G$114,MATCH(B824,منتجات!$A$3:$A$115,0)),"")</f>
        <v/>
      </c>
      <c r="G824" s="51" t="str">
        <f t="shared" si="14"/>
        <v/>
      </c>
      <c r="H824" s="53"/>
    </row>
    <row r="825" spans="1:8" x14ac:dyDescent="0.35">
      <c r="A825" s="49"/>
      <c r="B825" s="49"/>
      <c r="C825" s="51" t="str">
        <f>IFERROR(VLOOKUP(B825,منتجات!$A$3:$C$350,2,0),"")</f>
        <v/>
      </c>
      <c r="D825" s="49" t="str">
        <f>IFERROR(VLOOKUP(B825,منتجات!$A$3:$C$350,3,0),"")</f>
        <v/>
      </c>
      <c r="E825" s="49"/>
      <c r="F825" s="49" t="str">
        <f>IFERROR(INDEX(منتجات!$G$3:$G$114,MATCH(B825,منتجات!$A$3:$A$115,0)),"")</f>
        <v/>
      </c>
      <c r="G825" s="51" t="str">
        <f t="shared" si="14"/>
        <v/>
      </c>
      <c r="H825" s="54"/>
    </row>
    <row r="826" spans="1:8" x14ac:dyDescent="0.35">
      <c r="A826" s="51"/>
      <c r="B826" s="51"/>
      <c r="C826" s="51" t="str">
        <f>IFERROR(VLOOKUP(B826,منتجات!$A$3:$C$350,2,0),"")</f>
        <v/>
      </c>
      <c r="D826" s="51" t="str">
        <f>IFERROR(VLOOKUP(B826,منتجات!$A$3:$C$350,3,0),"")</f>
        <v/>
      </c>
      <c r="E826" s="51"/>
      <c r="F826" s="51" t="str">
        <f>IFERROR(INDEX(منتجات!$G$3:$G$114,MATCH(B826,منتجات!$A$3:$A$115,0)),"")</f>
        <v/>
      </c>
      <c r="G826" s="51" t="str">
        <f t="shared" si="14"/>
        <v/>
      </c>
      <c r="H826" s="53"/>
    </row>
    <row r="827" spans="1:8" x14ac:dyDescent="0.35">
      <c r="A827" s="49"/>
      <c r="B827" s="49"/>
      <c r="C827" s="51" t="str">
        <f>IFERROR(VLOOKUP(B827,منتجات!$A$3:$C$350,2,0),"")</f>
        <v/>
      </c>
      <c r="D827" s="49" t="str">
        <f>IFERROR(VLOOKUP(B827,منتجات!$A$3:$C$350,3,0),"")</f>
        <v/>
      </c>
      <c r="E827" s="49"/>
      <c r="F827" s="49" t="str">
        <f>IFERROR(INDEX(منتجات!$G$3:$G$114,MATCH(B827,منتجات!$A$3:$A$115,0)),"")</f>
        <v/>
      </c>
      <c r="G827" s="51" t="str">
        <f t="shared" si="14"/>
        <v/>
      </c>
      <c r="H827" s="54"/>
    </row>
    <row r="828" spans="1:8" x14ac:dyDescent="0.35">
      <c r="A828" s="51"/>
      <c r="B828" s="51"/>
      <c r="C828" s="51" t="str">
        <f>IFERROR(VLOOKUP(B828,منتجات!$A$3:$C$350,2,0),"")</f>
        <v/>
      </c>
      <c r="D828" s="51" t="str">
        <f>IFERROR(VLOOKUP(B828,منتجات!$A$3:$C$350,3,0),"")</f>
        <v/>
      </c>
      <c r="E828" s="51"/>
      <c r="F828" s="51" t="str">
        <f>IFERROR(INDEX(منتجات!$G$3:$G$114,MATCH(B828,منتجات!$A$3:$A$115,0)),"")</f>
        <v/>
      </c>
      <c r="G828" s="51" t="str">
        <f t="shared" si="14"/>
        <v/>
      </c>
      <c r="H828" s="53"/>
    </row>
    <row r="829" spans="1:8" x14ac:dyDescent="0.35">
      <c r="A829" s="49"/>
      <c r="B829" s="49"/>
      <c r="C829" s="51" t="str">
        <f>IFERROR(VLOOKUP(B829,منتجات!$A$3:$C$350,2,0),"")</f>
        <v/>
      </c>
      <c r="D829" s="49" t="str">
        <f>IFERROR(VLOOKUP(B829,منتجات!$A$3:$C$350,3,0),"")</f>
        <v/>
      </c>
      <c r="E829" s="49"/>
      <c r="F829" s="49" t="str">
        <f>IFERROR(INDEX(منتجات!$G$3:$G$114,MATCH(B829,منتجات!$A$3:$A$115,0)),"")</f>
        <v/>
      </c>
      <c r="G829" s="51" t="str">
        <f t="shared" si="14"/>
        <v/>
      </c>
      <c r="H829" s="54"/>
    </row>
    <row r="830" spans="1:8" x14ac:dyDescent="0.35">
      <c r="A830" s="51"/>
      <c r="B830" s="51"/>
      <c r="C830" s="51" t="str">
        <f>IFERROR(VLOOKUP(B830,منتجات!$A$3:$C$350,2,0),"")</f>
        <v/>
      </c>
      <c r="D830" s="51" t="str">
        <f>IFERROR(VLOOKUP(B830,منتجات!$A$3:$C$350,3,0),"")</f>
        <v/>
      </c>
      <c r="E830" s="51"/>
      <c r="F830" s="51" t="str">
        <f>IFERROR(INDEX(منتجات!$G$3:$G$114,MATCH(B830,منتجات!$A$3:$A$115,0)),"")</f>
        <v/>
      </c>
      <c r="G830" s="51" t="str">
        <f t="shared" si="14"/>
        <v/>
      </c>
      <c r="H830" s="53"/>
    </row>
    <row r="831" spans="1:8" x14ac:dyDescent="0.35">
      <c r="A831" s="49"/>
      <c r="B831" s="49"/>
      <c r="C831" s="51" t="str">
        <f>IFERROR(VLOOKUP(B831,منتجات!$A$3:$C$350,2,0),"")</f>
        <v/>
      </c>
      <c r="D831" s="49" t="str">
        <f>IFERROR(VLOOKUP(B831,منتجات!$A$3:$C$350,3,0),"")</f>
        <v/>
      </c>
      <c r="E831" s="49"/>
      <c r="F831" s="49" t="str">
        <f>IFERROR(INDEX(منتجات!$G$3:$G$114,MATCH(B831,منتجات!$A$3:$A$115,0)),"")</f>
        <v/>
      </c>
      <c r="G831" s="51" t="str">
        <f t="shared" si="14"/>
        <v/>
      </c>
      <c r="H831" s="54"/>
    </row>
    <row r="832" spans="1:8" x14ac:dyDescent="0.35">
      <c r="A832" s="51"/>
      <c r="B832" s="51"/>
      <c r="C832" s="51" t="str">
        <f>IFERROR(VLOOKUP(B832,منتجات!$A$3:$C$350,2,0),"")</f>
        <v/>
      </c>
      <c r="D832" s="51" t="str">
        <f>IFERROR(VLOOKUP(B832,منتجات!$A$3:$C$350,3,0),"")</f>
        <v/>
      </c>
      <c r="E832" s="51"/>
      <c r="F832" s="51" t="str">
        <f>IFERROR(INDEX(منتجات!$G$3:$G$114,MATCH(B832,منتجات!$A$3:$A$115,0)),"")</f>
        <v/>
      </c>
      <c r="G832" s="51" t="str">
        <f t="shared" si="14"/>
        <v/>
      </c>
      <c r="H832" s="53"/>
    </row>
    <row r="833" spans="1:8" x14ac:dyDescent="0.35">
      <c r="A833" s="49"/>
      <c r="B833" s="49"/>
      <c r="C833" s="51" t="str">
        <f>IFERROR(VLOOKUP(B833,منتجات!$A$3:$C$350,2,0),"")</f>
        <v/>
      </c>
      <c r="D833" s="49" t="str">
        <f>IFERROR(VLOOKUP(B833,منتجات!$A$3:$C$350,3,0),"")</f>
        <v/>
      </c>
      <c r="E833" s="49"/>
      <c r="F833" s="49" t="str">
        <f>IFERROR(INDEX(منتجات!$G$3:$G$114,MATCH(B833,منتجات!$A$3:$A$115,0)),"")</f>
        <v/>
      </c>
      <c r="G833" s="51" t="str">
        <f t="shared" si="14"/>
        <v/>
      </c>
      <c r="H833" s="54"/>
    </row>
    <row r="834" spans="1:8" x14ac:dyDescent="0.35">
      <c r="A834" s="51"/>
      <c r="B834" s="51"/>
      <c r="C834" s="51" t="str">
        <f>IFERROR(VLOOKUP(B834,منتجات!$A$3:$C$350,2,0),"")</f>
        <v/>
      </c>
      <c r="D834" s="51" t="str">
        <f>IFERROR(VLOOKUP(B834,منتجات!$A$3:$C$350,3,0),"")</f>
        <v/>
      </c>
      <c r="E834" s="51"/>
      <c r="F834" s="51" t="str">
        <f>IFERROR(INDEX(منتجات!$G$3:$G$114,MATCH(B834,منتجات!$A$3:$A$115,0)),"")</f>
        <v/>
      </c>
      <c r="G834" s="51" t="str">
        <f t="shared" si="14"/>
        <v/>
      </c>
      <c r="H834" s="53"/>
    </row>
    <row r="835" spans="1:8" x14ac:dyDescent="0.35">
      <c r="A835" s="49"/>
      <c r="B835" s="49"/>
      <c r="C835" s="51" t="str">
        <f>IFERROR(VLOOKUP(B835,منتجات!$A$3:$C$350,2,0),"")</f>
        <v/>
      </c>
      <c r="D835" s="49" t="str">
        <f>IFERROR(VLOOKUP(B835,منتجات!$A$3:$C$350,3,0),"")</f>
        <v/>
      </c>
      <c r="E835" s="49"/>
      <c r="F835" s="49" t="str">
        <f>IFERROR(INDEX(منتجات!$G$3:$G$114,MATCH(B835,منتجات!$A$3:$A$115,0)),"")</f>
        <v/>
      </c>
      <c r="G835" s="51" t="str">
        <f t="shared" si="14"/>
        <v/>
      </c>
      <c r="H835" s="54"/>
    </row>
    <row r="836" spans="1:8" x14ac:dyDescent="0.35">
      <c r="A836" s="51"/>
      <c r="B836" s="51"/>
      <c r="C836" s="51" t="str">
        <f>IFERROR(VLOOKUP(B836,منتجات!$A$3:$C$350,2,0),"")</f>
        <v/>
      </c>
      <c r="D836" s="51" t="str">
        <f>IFERROR(VLOOKUP(B836,منتجات!$A$3:$C$350,3,0),"")</f>
        <v/>
      </c>
      <c r="E836" s="51"/>
      <c r="F836" s="51" t="str">
        <f>IFERROR(INDEX(منتجات!$G$3:$G$114,MATCH(B836,منتجات!$A$3:$A$115,0)),"")</f>
        <v/>
      </c>
      <c r="G836" s="51" t="str">
        <f t="shared" si="14"/>
        <v/>
      </c>
      <c r="H836" s="53"/>
    </row>
    <row r="837" spans="1:8" x14ac:dyDescent="0.35">
      <c r="A837" s="49"/>
      <c r="B837" s="49"/>
      <c r="C837" s="51" t="str">
        <f>IFERROR(VLOOKUP(B837,منتجات!$A$3:$C$350,2,0),"")</f>
        <v/>
      </c>
      <c r="D837" s="49" t="str">
        <f>IFERROR(VLOOKUP(B837,منتجات!$A$3:$C$350,3,0),"")</f>
        <v/>
      </c>
      <c r="E837" s="49"/>
      <c r="F837" s="49" t="str">
        <f>IFERROR(INDEX(منتجات!$G$3:$G$114,MATCH(B837,منتجات!$A$3:$A$115,0)),"")</f>
        <v/>
      </c>
      <c r="G837" s="51" t="str">
        <f t="shared" si="14"/>
        <v/>
      </c>
      <c r="H837" s="54"/>
    </row>
    <row r="838" spans="1:8" x14ac:dyDescent="0.35">
      <c r="A838" s="51"/>
      <c r="B838" s="51"/>
      <c r="C838" s="51" t="str">
        <f>IFERROR(VLOOKUP(B838,منتجات!$A$3:$C$350,2,0),"")</f>
        <v/>
      </c>
      <c r="D838" s="51" t="str">
        <f>IFERROR(VLOOKUP(B838,منتجات!$A$3:$C$350,3,0),"")</f>
        <v/>
      </c>
      <c r="E838" s="51"/>
      <c r="F838" s="51" t="str">
        <f>IFERROR(INDEX(منتجات!$G$3:$G$114,MATCH(B838,منتجات!$A$3:$A$115,0)),"")</f>
        <v/>
      </c>
      <c r="G838" s="51" t="str">
        <f t="shared" si="14"/>
        <v/>
      </c>
      <c r="H838" s="53"/>
    </row>
    <row r="839" spans="1:8" x14ac:dyDescent="0.35">
      <c r="A839" s="49"/>
      <c r="B839" s="49"/>
      <c r="C839" s="51" t="str">
        <f>IFERROR(VLOOKUP(B839,منتجات!$A$3:$C$350,2,0),"")</f>
        <v/>
      </c>
      <c r="D839" s="49" t="str">
        <f>IFERROR(VLOOKUP(B839,منتجات!$A$3:$C$350,3,0),"")</f>
        <v/>
      </c>
      <c r="E839" s="49"/>
      <c r="F839" s="49" t="str">
        <f>IFERROR(INDEX(منتجات!$G$3:$G$114,MATCH(B839,منتجات!$A$3:$A$115,0)),"")</f>
        <v/>
      </c>
      <c r="G839" s="51" t="str">
        <f t="shared" si="14"/>
        <v/>
      </c>
      <c r="H839" s="54"/>
    </row>
    <row r="840" spans="1:8" x14ac:dyDescent="0.35">
      <c r="A840" s="51"/>
      <c r="B840" s="51"/>
      <c r="C840" s="51" t="str">
        <f>IFERROR(VLOOKUP(B840,منتجات!$A$3:$C$350,2,0),"")</f>
        <v/>
      </c>
      <c r="D840" s="51" t="str">
        <f>IFERROR(VLOOKUP(B840,منتجات!$A$3:$C$350,3,0),"")</f>
        <v/>
      </c>
      <c r="E840" s="51"/>
      <c r="F840" s="51" t="str">
        <f>IFERROR(INDEX(منتجات!$G$3:$G$114,MATCH(B840,منتجات!$A$3:$A$115,0)),"")</f>
        <v/>
      </c>
      <c r="G840" s="51" t="str">
        <f t="shared" si="14"/>
        <v/>
      </c>
      <c r="H840" s="53"/>
    </row>
    <row r="841" spans="1:8" x14ac:dyDescent="0.35">
      <c r="A841" s="49"/>
      <c r="B841" s="49"/>
      <c r="C841" s="51" t="str">
        <f>IFERROR(VLOOKUP(B841,منتجات!$A$3:$C$350,2,0),"")</f>
        <v/>
      </c>
      <c r="D841" s="49" t="str">
        <f>IFERROR(VLOOKUP(B841,منتجات!$A$3:$C$350,3,0),"")</f>
        <v/>
      </c>
      <c r="E841" s="49"/>
      <c r="F841" s="49" t="str">
        <f>IFERROR(INDEX(منتجات!$G$3:$G$114,MATCH(B841,منتجات!$A$3:$A$115,0)),"")</f>
        <v/>
      </c>
      <c r="G841" s="51" t="str">
        <f t="shared" si="14"/>
        <v/>
      </c>
      <c r="H841" s="54"/>
    </row>
    <row r="842" spans="1:8" x14ac:dyDescent="0.35">
      <c r="A842" s="51"/>
      <c r="B842" s="51"/>
      <c r="C842" s="51" t="str">
        <f>IFERROR(VLOOKUP(B842,منتجات!$A$3:$C$350,2,0),"")</f>
        <v/>
      </c>
      <c r="D842" s="51" t="str">
        <f>IFERROR(VLOOKUP(B842,منتجات!$A$3:$C$350,3,0),"")</f>
        <v/>
      </c>
      <c r="E842" s="51"/>
      <c r="F842" s="51" t="str">
        <f>IFERROR(INDEX(منتجات!$G$3:$G$114,MATCH(B842,منتجات!$A$3:$A$115,0)),"")</f>
        <v/>
      </c>
      <c r="G842" s="51" t="str">
        <f t="shared" si="14"/>
        <v/>
      </c>
      <c r="H842" s="53"/>
    </row>
    <row r="843" spans="1:8" x14ac:dyDescent="0.35">
      <c r="A843" s="49"/>
      <c r="B843" s="49"/>
      <c r="C843" s="51" t="str">
        <f>IFERROR(VLOOKUP(B843,منتجات!$A$3:$C$350,2,0),"")</f>
        <v/>
      </c>
      <c r="D843" s="49" t="str">
        <f>IFERROR(VLOOKUP(B843,منتجات!$A$3:$C$350,3,0),"")</f>
        <v/>
      </c>
      <c r="E843" s="49"/>
      <c r="F843" s="49" t="str">
        <f>IFERROR(INDEX(منتجات!$G$3:$G$114,MATCH(B843,منتجات!$A$3:$A$115,0)),"")</f>
        <v/>
      </c>
      <c r="G843" s="51" t="str">
        <f t="shared" si="14"/>
        <v/>
      </c>
      <c r="H843" s="54"/>
    </row>
    <row r="844" spans="1:8" x14ac:dyDescent="0.35">
      <c r="A844" s="51"/>
      <c r="B844" s="51"/>
      <c r="C844" s="51" t="str">
        <f>IFERROR(VLOOKUP(B844,منتجات!$A$3:$C$350,2,0),"")</f>
        <v/>
      </c>
      <c r="D844" s="51" t="str">
        <f>IFERROR(VLOOKUP(B844,منتجات!$A$3:$C$350,3,0),"")</f>
        <v/>
      </c>
      <c r="E844" s="51"/>
      <c r="F844" s="51" t="str">
        <f>IFERROR(INDEX(منتجات!$G$3:$G$114,MATCH(B844,منتجات!$A$3:$A$115,0)),"")</f>
        <v/>
      </c>
      <c r="G844" s="51" t="str">
        <f t="shared" si="14"/>
        <v/>
      </c>
      <c r="H844" s="53"/>
    </row>
    <row r="845" spans="1:8" x14ac:dyDescent="0.35">
      <c r="A845" s="49"/>
      <c r="B845" s="49"/>
      <c r="C845" s="51" t="str">
        <f>IFERROR(VLOOKUP(B845,منتجات!$A$3:$C$350,2,0),"")</f>
        <v/>
      </c>
      <c r="D845" s="49" t="str">
        <f>IFERROR(VLOOKUP(B845,منتجات!$A$3:$C$350,3,0),"")</f>
        <v/>
      </c>
      <c r="E845" s="49"/>
      <c r="F845" s="49" t="str">
        <f>IFERROR(INDEX(منتجات!$G$3:$G$114,MATCH(B845,منتجات!$A$3:$A$115,0)),"")</f>
        <v/>
      </c>
      <c r="G845" s="51" t="str">
        <f t="shared" si="14"/>
        <v/>
      </c>
      <c r="H845" s="54"/>
    </row>
    <row r="846" spans="1:8" x14ac:dyDescent="0.35">
      <c r="A846" s="51"/>
      <c r="B846" s="51"/>
      <c r="C846" s="51" t="str">
        <f>IFERROR(VLOOKUP(B846,منتجات!$A$3:$C$350,2,0),"")</f>
        <v/>
      </c>
      <c r="D846" s="51" t="str">
        <f>IFERROR(VLOOKUP(B846,منتجات!$A$3:$C$350,3,0),"")</f>
        <v/>
      </c>
      <c r="E846" s="51"/>
      <c r="F846" s="51" t="str">
        <f>IFERROR(INDEX(منتجات!$G$3:$G$114,MATCH(B846,منتجات!$A$3:$A$115,0)),"")</f>
        <v/>
      </c>
      <c r="G846" s="51" t="str">
        <f t="shared" ref="G846:G909" si="15">IFERROR(E846*F846*D846,"")</f>
        <v/>
      </c>
      <c r="H846" s="53"/>
    </row>
    <row r="847" spans="1:8" x14ac:dyDescent="0.35">
      <c r="A847" s="49"/>
      <c r="B847" s="49"/>
      <c r="C847" s="51" t="str">
        <f>IFERROR(VLOOKUP(B847,منتجات!$A$3:$C$350,2,0),"")</f>
        <v/>
      </c>
      <c r="D847" s="49" t="str">
        <f>IFERROR(VLOOKUP(B847,منتجات!$A$3:$C$350,3,0),"")</f>
        <v/>
      </c>
      <c r="E847" s="49"/>
      <c r="F847" s="49" t="str">
        <f>IFERROR(INDEX(منتجات!$G$3:$G$114,MATCH(B847,منتجات!$A$3:$A$115,0)),"")</f>
        <v/>
      </c>
      <c r="G847" s="51" t="str">
        <f t="shared" si="15"/>
        <v/>
      </c>
      <c r="H847" s="54"/>
    </row>
    <row r="848" spans="1:8" x14ac:dyDescent="0.35">
      <c r="A848" s="51"/>
      <c r="B848" s="51"/>
      <c r="C848" s="51" t="str">
        <f>IFERROR(VLOOKUP(B848,منتجات!$A$3:$C$350,2,0),"")</f>
        <v/>
      </c>
      <c r="D848" s="51" t="str">
        <f>IFERROR(VLOOKUP(B848,منتجات!$A$3:$C$350,3,0),"")</f>
        <v/>
      </c>
      <c r="E848" s="51"/>
      <c r="F848" s="51" t="str">
        <f>IFERROR(INDEX(منتجات!$G$3:$G$114,MATCH(B848,منتجات!$A$3:$A$115,0)),"")</f>
        <v/>
      </c>
      <c r="G848" s="51" t="str">
        <f t="shared" si="15"/>
        <v/>
      </c>
      <c r="H848" s="53"/>
    </row>
    <row r="849" spans="1:8" x14ac:dyDescent="0.35">
      <c r="A849" s="49"/>
      <c r="B849" s="49"/>
      <c r="C849" s="51" t="str">
        <f>IFERROR(VLOOKUP(B849,منتجات!$A$3:$C$350,2,0),"")</f>
        <v/>
      </c>
      <c r="D849" s="49" t="str">
        <f>IFERROR(VLOOKUP(B849,منتجات!$A$3:$C$350,3,0),"")</f>
        <v/>
      </c>
      <c r="E849" s="49"/>
      <c r="F849" s="49" t="str">
        <f>IFERROR(INDEX(منتجات!$G$3:$G$114,MATCH(B849,منتجات!$A$3:$A$115,0)),"")</f>
        <v/>
      </c>
      <c r="G849" s="51" t="str">
        <f t="shared" si="15"/>
        <v/>
      </c>
      <c r="H849" s="54"/>
    </row>
    <row r="850" spans="1:8" x14ac:dyDescent="0.35">
      <c r="A850" s="51"/>
      <c r="B850" s="51"/>
      <c r="C850" s="51" t="str">
        <f>IFERROR(VLOOKUP(B850,منتجات!$A$3:$C$350,2,0),"")</f>
        <v/>
      </c>
      <c r="D850" s="51" t="str">
        <f>IFERROR(VLOOKUP(B850,منتجات!$A$3:$C$350,3,0),"")</f>
        <v/>
      </c>
      <c r="E850" s="51"/>
      <c r="F850" s="51" t="str">
        <f>IFERROR(INDEX(منتجات!$G$3:$G$114,MATCH(B850,منتجات!$A$3:$A$115,0)),"")</f>
        <v/>
      </c>
      <c r="G850" s="51" t="str">
        <f t="shared" si="15"/>
        <v/>
      </c>
      <c r="H850" s="53"/>
    </row>
    <row r="851" spans="1:8" x14ac:dyDescent="0.35">
      <c r="A851" s="49"/>
      <c r="B851" s="49"/>
      <c r="C851" s="51" t="str">
        <f>IFERROR(VLOOKUP(B851,منتجات!$A$3:$C$350,2,0),"")</f>
        <v/>
      </c>
      <c r="D851" s="49" t="str">
        <f>IFERROR(VLOOKUP(B851,منتجات!$A$3:$C$350,3,0),"")</f>
        <v/>
      </c>
      <c r="E851" s="49"/>
      <c r="F851" s="49" t="str">
        <f>IFERROR(INDEX(منتجات!$G$3:$G$114,MATCH(B851,منتجات!$A$3:$A$115,0)),"")</f>
        <v/>
      </c>
      <c r="G851" s="51" t="str">
        <f t="shared" si="15"/>
        <v/>
      </c>
      <c r="H851" s="54"/>
    </row>
    <row r="852" spans="1:8" x14ac:dyDescent="0.35">
      <c r="A852" s="51"/>
      <c r="B852" s="51"/>
      <c r="C852" s="51" t="str">
        <f>IFERROR(VLOOKUP(B852,منتجات!$A$3:$C$350,2,0),"")</f>
        <v/>
      </c>
      <c r="D852" s="51" t="str">
        <f>IFERROR(VLOOKUP(B852,منتجات!$A$3:$C$350,3,0),"")</f>
        <v/>
      </c>
      <c r="E852" s="51"/>
      <c r="F852" s="51" t="str">
        <f>IFERROR(INDEX(منتجات!$G$3:$G$114,MATCH(B852,منتجات!$A$3:$A$115,0)),"")</f>
        <v/>
      </c>
      <c r="G852" s="51" t="str">
        <f t="shared" si="15"/>
        <v/>
      </c>
      <c r="H852" s="53"/>
    </row>
    <row r="853" spans="1:8" x14ac:dyDescent="0.35">
      <c r="A853" s="49"/>
      <c r="B853" s="49"/>
      <c r="C853" s="51" t="str">
        <f>IFERROR(VLOOKUP(B853,منتجات!$A$3:$C$350,2,0),"")</f>
        <v/>
      </c>
      <c r="D853" s="49" t="str">
        <f>IFERROR(VLOOKUP(B853,منتجات!$A$3:$C$350,3,0),"")</f>
        <v/>
      </c>
      <c r="E853" s="49"/>
      <c r="F853" s="49" t="str">
        <f>IFERROR(INDEX(منتجات!$G$3:$G$114,MATCH(B853,منتجات!$A$3:$A$115,0)),"")</f>
        <v/>
      </c>
      <c r="G853" s="51" t="str">
        <f t="shared" si="15"/>
        <v/>
      </c>
      <c r="H853" s="54"/>
    </row>
    <row r="854" spans="1:8" x14ac:dyDescent="0.35">
      <c r="A854" s="51"/>
      <c r="B854" s="51"/>
      <c r="C854" s="51" t="str">
        <f>IFERROR(VLOOKUP(B854,منتجات!$A$3:$C$350,2,0),"")</f>
        <v/>
      </c>
      <c r="D854" s="51" t="str">
        <f>IFERROR(VLOOKUP(B854,منتجات!$A$3:$C$350,3,0),"")</f>
        <v/>
      </c>
      <c r="E854" s="51"/>
      <c r="F854" s="51" t="str">
        <f>IFERROR(INDEX(منتجات!$G$3:$G$114,MATCH(B854,منتجات!$A$3:$A$115,0)),"")</f>
        <v/>
      </c>
      <c r="G854" s="51" t="str">
        <f t="shared" si="15"/>
        <v/>
      </c>
      <c r="H854" s="53"/>
    </row>
    <row r="855" spans="1:8" x14ac:dyDescent="0.35">
      <c r="A855" s="49"/>
      <c r="B855" s="49"/>
      <c r="C855" s="51" t="str">
        <f>IFERROR(VLOOKUP(B855,منتجات!$A$3:$C$350,2,0),"")</f>
        <v/>
      </c>
      <c r="D855" s="49" t="str">
        <f>IFERROR(VLOOKUP(B855,منتجات!$A$3:$C$350,3,0),"")</f>
        <v/>
      </c>
      <c r="E855" s="49"/>
      <c r="F855" s="49" t="str">
        <f>IFERROR(INDEX(منتجات!$G$3:$G$114,MATCH(B855,منتجات!$A$3:$A$115,0)),"")</f>
        <v/>
      </c>
      <c r="G855" s="51" t="str">
        <f t="shared" si="15"/>
        <v/>
      </c>
      <c r="H855" s="54"/>
    </row>
    <row r="856" spans="1:8" x14ac:dyDescent="0.35">
      <c r="A856" s="51"/>
      <c r="B856" s="51"/>
      <c r="C856" s="51" t="str">
        <f>IFERROR(VLOOKUP(B856,منتجات!$A$3:$C$350,2,0),"")</f>
        <v/>
      </c>
      <c r="D856" s="51" t="str">
        <f>IFERROR(VLOOKUP(B856,منتجات!$A$3:$C$350,3,0),"")</f>
        <v/>
      </c>
      <c r="E856" s="51"/>
      <c r="F856" s="51" t="str">
        <f>IFERROR(INDEX(منتجات!$G$3:$G$114,MATCH(B856,منتجات!$A$3:$A$115,0)),"")</f>
        <v/>
      </c>
      <c r="G856" s="51" t="str">
        <f t="shared" si="15"/>
        <v/>
      </c>
      <c r="H856" s="53"/>
    </row>
    <row r="857" spans="1:8" x14ac:dyDescent="0.35">
      <c r="A857" s="49"/>
      <c r="B857" s="49"/>
      <c r="C857" s="51" t="str">
        <f>IFERROR(VLOOKUP(B857,منتجات!$A$3:$C$350,2,0),"")</f>
        <v/>
      </c>
      <c r="D857" s="49" t="str">
        <f>IFERROR(VLOOKUP(B857,منتجات!$A$3:$C$350,3,0),"")</f>
        <v/>
      </c>
      <c r="E857" s="49"/>
      <c r="F857" s="49" t="str">
        <f>IFERROR(INDEX(منتجات!$G$3:$G$114,MATCH(B857,منتجات!$A$3:$A$115,0)),"")</f>
        <v/>
      </c>
      <c r="G857" s="51" t="str">
        <f t="shared" si="15"/>
        <v/>
      </c>
      <c r="H857" s="54"/>
    </row>
    <row r="858" spans="1:8" x14ac:dyDescent="0.35">
      <c r="A858" s="51"/>
      <c r="B858" s="51"/>
      <c r="C858" s="51" t="str">
        <f>IFERROR(VLOOKUP(B858,منتجات!$A$3:$C$350,2,0),"")</f>
        <v/>
      </c>
      <c r="D858" s="51" t="str">
        <f>IFERROR(VLOOKUP(B858,منتجات!$A$3:$C$350,3,0),"")</f>
        <v/>
      </c>
      <c r="E858" s="51"/>
      <c r="F858" s="51" t="str">
        <f>IFERROR(INDEX(منتجات!$G$3:$G$114,MATCH(B858,منتجات!$A$3:$A$115,0)),"")</f>
        <v/>
      </c>
      <c r="G858" s="51" t="str">
        <f t="shared" si="15"/>
        <v/>
      </c>
      <c r="H858" s="53"/>
    </row>
    <row r="859" spans="1:8" x14ac:dyDescent="0.35">
      <c r="A859" s="49"/>
      <c r="B859" s="49"/>
      <c r="C859" s="51" t="str">
        <f>IFERROR(VLOOKUP(B859,منتجات!$A$3:$C$350,2,0),"")</f>
        <v/>
      </c>
      <c r="D859" s="49" t="str">
        <f>IFERROR(VLOOKUP(B859,منتجات!$A$3:$C$350,3,0),"")</f>
        <v/>
      </c>
      <c r="E859" s="49"/>
      <c r="F859" s="49" t="str">
        <f>IFERROR(INDEX(منتجات!$G$3:$G$114,MATCH(B859,منتجات!$A$3:$A$115,0)),"")</f>
        <v/>
      </c>
      <c r="G859" s="51" t="str">
        <f t="shared" si="15"/>
        <v/>
      </c>
      <c r="H859" s="54"/>
    </row>
    <row r="860" spans="1:8" x14ac:dyDescent="0.35">
      <c r="A860" s="51"/>
      <c r="B860" s="51"/>
      <c r="C860" s="51" t="str">
        <f>IFERROR(VLOOKUP(B860,منتجات!$A$3:$C$350,2,0),"")</f>
        <v/>
      </c>
      <c r="D860" s="51" t="str">
        <f>IFERROR(VLOOKUP(B860,منتجات!$A$3:$C$350,3,0),"")</f>
        <v/>
      </c>
      <c r="E860" s="51"/>
      <c r="F860" s="51" t="str">
        <f>IFERROR(INDEX(منتجات!$G$3:$G$114,MATCH(B860,منتجات!$A$3:$A$115,0)),"")</f>
        <v/>
      </c>
      <c r="G860" s="51" t="str">
        <f t="shared" si="15"/>
        <v/>
      </c>
      <c r="H860" s="53"/>
    </row>
    <row r="861" spans="1:8" x14ac:dyDescent="0.35">
      <c r="A861" s="49"/>
      <c r="B861" s="49"/>
      <c r="C861" s="51" t="str">
        <f>IFERROR(VLOOKUP(B861,منتجات!$A$3:$C$350,2,0),"")</f>
        <v/>
      </c>
      <c r="D861" s="49" t="str">
        <f>IFERROR(VLOOKUP(B861,منتجات!$A$3:$C$350,3,0),"")</f>
        <v/>
      </c>
      <c r="E861" s="49"/>
      <c r="F861" s="49" t="str">
        <f>IFERROR(INDEX(منتجات!$G$3:$G$114,MATCH(B861,منتجات!$A$3:$A$115,0)),"")</f>
        <v/>
      </c>
      <c r="G861" s="51" t="str">
        <f t="shared" si="15"/>
        <v/>
      </c>
      <c r="H861" s="54"/>
    </row>
    <row r="862" spans="1:8" x14ac:dyDescent="0.35">
      <c r="A862" s="51"/>
      <c r="B862" s="51"/>
      <c r="C862" s="51" t="str">
        <f>IFERROR(VLOOKUP(B862,منتجات!$A$3:$C$350,2,0),"")</f>
        <v/>
      </c>
      <c r="D862" s="51" t="str">
        <f>IFERROR(VLOOKUP(B862,منتجات!$A$3:$C$350,3,0),"")</f>
        <v/>
      </c>
      <c r="E862" s="51"/>
      <c r="F862" s="51" t="str">
        <f>IFERROR(INDEX(منتجات!$G$3:$G$114,MATCH(B862,منتجات!$A$3:$A$115,0)),"")</f>
        <v/>
      </c>
      <c r="G862" s="51" t="str">
        <f t="shared" si="15"/>
        <v/>
      </c>
      <c r="H862" s="53"/>
    </row>
    <row r="863" spans="1:8" x14ac:dyDescent="0.35">
      <c r="A863" s="49"/>
      <c r="B863" s="49"/>
      <c r="C863" s="51" t="str">
        <f>IFERROR(VLOOKUP(B863,منتجات!$A$3:$C$350,2,0),"")</f>
        <v/>
      </c>
      <c r="D863" s="49" t="str">
        <f>IFERROR(VLOOKUP(B863,منتجات!$A$3:$C$350,3,0),"")</f>
        <v/>
      </c>
      <c r="E863" s="49"/>
      <c r="F863" s="49" t="str">
        <f>IFERROR(INDEX(منتجات!$G$3:$G$114,MATCH(B863,منتجات!$A$3:$A$115,0)),"")</f>
        <v/>
      </c>
      <c r="G863" s="51" t="str">
        <f t="shared" si="15"/>
        <v/>
      </c>
      <c r="H863" s="54"/>
    </row>
    <row r="864" spans="1:8" x14ac:dyDescent="0.35">
      <c r="A864" s="51"/>
      <c r="B864" s="51"/>
      <c r="C864" s="51" t="str">
        <f>IFERROR(VLOOKUP(B864,منتجات!$A$3:$C$350,2,0),"")</f>
        <v/>
      </c>
      <c r="D864" s="51" t="str">
        <f>IFERROR(VLOOKUP(B864,منتجات!$A$3:$C$350,3,0),"")</f>
        <v/>
      </c>
      <c r="E864" s="51"/>
      <c r="F864" s="51" t="str">
        <f>IFERROR(INDEX(منتجات!$G$3:$G$114,MATCH(B864,منتجات!$A$3:$A$115,0)),"")</f>
        <v/>
      </c>
      <c r="G864" s="51" t="str">
        <f t="shared" si="15"/>
        <v/>
      </c>
      <c r="H864" s="53"/>
    </row>
    <row r="865" spans="1:8" x14ac:dyDescent="0.35">
      <c r="A865" s="49"/>
      <c r="B865" s="49"/>
      <c r="C865" s="51" t="str">
        <f>IFERROR(VLOOKUP(B865,منتجات!$A$3:$C$350,2,0),"")</f>
        <v/>
      </c>
      <c r="D865" s="49" t="str">
        <f>IFERROR(VLOOKUP(B865,منتجات!$A$3:$C$350,3,0),"")</f>
        <v/>
      </c>
      <c r="E865" s="49"/>
      <c r="F865" s="49" t="str">
        <f>IFERROR(INDEX(منتجات!$G$3:$G$114,MATCH(B865,منتجات!$A$3:$A$115,0)),"")</f>
        <v/>
      </c>
      <c r="G865" s="51" t="str">
        <f t="shared" si="15"/>
        <v/>
      </c>
      <c r="H865" s="54"/>
    </row>
    <row r="866" spans="1:8" x14ac:dyDescent="0.35">
      <c r="A866" s="51"/>
      <c r="B866" s="51"/>
      <c r="C866" s="51" t="str">
        <f>IFERROR(VLOOKUP(B866,منتجات!$A$3:$C$350,2,0),"")</f>
        <v/>
      </c>
      <c r="D866" s="51" t="str">
        <f>IFERROR(VLOOKUP(B866,منتجات!$A$3:$C$350,3,0),"")</f>
        <v/>
      </c>
      <c r="E866" s="51"/>
      <c r="F866" s="51" t="str">
        <f>IFERROR(INDEX(منتجات!$G$3:$G$114,MATCH(B866,منتجات!$A$3:$A$115,0)),"")</f>
        <v/>
      </c>
      <c r="G866" s="51" t="str">
        <f t="shared" si="15"/>
        <v/>
      </c>
      <c r="H866" s="53"/>
    </row>
    <row r="867" spans="1:8" x14ac:dyDescent="0.35">
      <c r="A867" s="49"/>
      <c r="B867" s="49"/>
      <c r="C867" s="51" t="str">
        <f>IFERROR(VLOOKUP(B867,منتجات!$A$3:$C$350,2,0),"")</f>
        <v/>
      </c>
      <c r="D867" s="49" t="str">
        <f>IFERROR(VLOOKUP(B867,منتجات!$A$3:$C$350,3,0),"")</f>
        <v/>
      </c>
      <c r="E867" s="49"/>
      <c r="F867" s="49" t="str">
        <f>IFERROR(INDEX(منتجات!$G$3:$G$114,MATCH(B867,منتجات!$A$3:$A$115,0)),"")</f>
        <v/>
      </c>
      <c r="G867" s="51" t="str">
        <f t="shared" si="15"/>
        <v/>
      </c>
      <c r="H867" s="54"/>
    </row>
    <row r="868" spans="1:8" x14ac:dyDescent="0.35">
      <c r="A868" s="51"/>
      <c r="B868" s="51"/>
      <c r="C868" s="51" t="str">
        <f>IFERROR(VLOOKUP(B868,منتجات!$A$3:$C$350,2,0),"")</f>
        <v/>
      </c>
      <c r="D868" s="51" t="str">
        <f>IFERROR(VLOOKUP(B868,منتجات!$A$3:$C$350,3,0),"")</f>
        <v/>
      </c>
      <c r="E868" s="51"/>
      <c r="F868" s="51" t="str">
        <f>IFERROR(INDEX(منتجات!$G$3:$G$114,MATCH(B868,منتجات!$A$3:$A$115,0)),"")</f>
        <v/>
      </c>
      <c r="G868" s="51" t="str">
        <f t="shared" si="15"/>
        <v/>
      </c>
      <c r="H868" s="53"/>
    </row>
    <row r="869" spans="1:8" x14ac:dyDescent="0.35">
      <c r="A869" s="49"/>
      <c r="B869" s="49"/>
      <c r="C869" s="51" t="str">
        <f>IFERROR(VLOOKUP(B869,منتجات!$A$3:$C$350,2,0),"")</f>
        <v/>
      </c>
      <c r="D869" s="49" t="str">
        <f>IFERROR(VLOOKUP(B869,منتجات!$A$3:$C$350,3,0),"")</f>
        <v/>
      </c>
      <c r="E869" s="49"/>
      <c r="F869" s="49" t="str">
        <f>IFERROR(INDEX(منتجات!$G$3:$G$114,MATCH(B869,منتجات!$A$3:$A$115,0)),"")</f>
        <v/>
      </c>
      <c r="G869" s="51" t="str">
        <f t="shared" si="15"/>
        <v/>
      </c>
      <c r="H869" s="54"/>
    </row>
    <row r="870" spans="1:8" x14ac:dyDescent="0.35">
      <c r="A870" s="51"/>
      <c r="B870" s="51"/>
      <c r="C870" s="51" t="str">
        <f>IFERROR(VLOOKUP(B870,منتجات!$A$3:$C$350,2,0),"")</f>
        <v/>
      </c>
      <c r="D870" s="51" t="str">
        <f>IFERROR(VLOOKUP(B870,منتجات!$A$3:$C$350,3,0),"")</f>
        <v/>
      </c>
      <c r="E870" s="51"/>
      <c r="F870" s="51" t="str">
        <f>IFERROR(INDEX(منتجات!$G$3:$G$114,MATCH(B870,منتجات!$A$3:$A$115,0)),"")</f>
        <v/>
      </c>
      <c r="G870" s="51" t="str">
        <f t="shared" si="15"/>
        <v/>
      </c>
      <c r="H870" s="53"/>
    </row>
    <row r="871" spans="1:8" x14ac:dyDescent="0.35">
      <c r="A871" s="49"/>
      <c r="B871" s="49"/>
      <c r="C871" s="51" t="str">
        <f>IFERROR(VLOOKUP(B871,منتجات!$A$3:$C$350,2,0),"")</f>
        <v/>
      </c>
      <c r="D871" s="49" t="str">
        <f>IFERROR(VLOOKUP(B871,منتجات!$A$3:$C$350,3,0),"")</f>
        <v/>
      </c>
      <c r="E871" s="49"/>
      <c r="F871" s="49" t="str">
        <f>IFERROR(INDEX(منتجات!$G$3:$G$114,MATCH(B871,منتجات!$A$3:$A$115,0)),"")</f>
        <v/>
      </c>
      <c r="G871" s="51" t="str">
        <f t="shared" si="15"/>
        <v/>
      </c>
      <c r="H871" s="54"/>
    </row>
    <row r="872" spans="1:8" x14ac:dyDescent="0.35">
      <c r="A872" s="51"/>
      <c r="B872" s="51"/>
      <c r="C872" s="51" t="str">
        <f>IFERROR(VLOOKUP(B872,منتجات!$A$3:$C$350,2,0),"")</f>
        <v/>
      </c>
      <c r="D872" s="51" t="str">
        <f>IFERROR(VLOOKUP(B872,منتجات!$A$3:$C$350,3,0),"")</f>
        <v/>
      </c>
      <c r="E872" s="51"/>
      <c r="F872" s="51" t="str">
        <f>IFERROR(INDEX(منتجات!$G$3:$G$114,MATCH(B872,منتجات!$A$3:$A$115,0)),"")</f>
        <v/>
      </c>
      <c r="G872" s="51" t="str">
        <f t="shared" si="15"/>
        <v/>
      </c>
      <c r="H872" s="53"/>
    </row>
    <row r="873" spans="1:8" x14ac:dyDescent="0.35">
      <c r="A873" s="49"/>
      <c r="B873" s="49"/>
      <c r="C873" s="51" t="str">
        <f>IFERROR(VLOOKUP(B873,منتجات!$A$3:$C$350,2,0),"")</f>
        <v/>
      </c>
      <c r="D873" s="49" t="str">
        <f>IFERROR(VLOOKUP(B873,منتجات!$A$3:$C$350,3,0),"")</f>
        <v/>
      </c>
      <c r="E873" s="49"/>
      <c r="F873" s="49" t="str">
        <f>IFERROR(INDEX(منتجات!$G$3:$G$114,MATCH(B873,منتجات!$A$3:$A$115,0)),"")</f>
        <v/>
      </c>
      <c r="G873" s="51" t="str">
        <f t="shared" si="15"/>
        <v/>
      </c>
      <c r="H873" s="54"/>
    </row>
    <row r="874" spans="1:8" x14ac:dyDescent="0.35">
      <c r="A874" s="51"/>
      <c r="B874" s="51"/>
      <c r="C874" s="51" t="str">
        <f>IFERROR(VLOOKUP(B874,منتجات!$A$3:$C$350,2,0),"")</f>
        <v/>
      </c>
      <c r="D874" s="51" t="str">
        <f>IFERROR(VLOOKUP(B874,منتجات!$A$3:$C$350,3,0),"")</f>
        <v/>
      </c>
      <c r="E874" s="51"/>
      <c r="F874" s="51" t="str">
        <f>IFERROR(INDEX(منتجات!$G$3:$G$114,MATCH(B874,منتجات!$A$3:$A$115,0)),"")</f>
        <v/>
      </c>
      <c r="G874" s="51" t="str">
        <f t="shared" si="15"/>
        <v/>
      </c>
      <c r="H874" s="53"/>
    </row>
    <row r="875" spans="1:8" x14ac:dyDescent="0.35">
      <c r="A875" s="49"/>
      <c r="B875" s="49"/>
      <c r="C875" s="51" t="str">
        <f>IFERROR(VLOOKUP(B875,منتجات!$A$3:$C$350,2,0),"")</f>
        <v/>
      </c>
      <c r="D875" s="49" t="str">
        <f>IFERROR(VLOOKUP(B875,منتجات!$A$3:$C$350,3,0),"")</f>
        <v/>
      </c>
      <c r="E875" s="49"/>
      <c r="F875" s="49" t="str">
        <f>IFERROR(INDEX(منتجات!$G$3:$G$114,MATCH(B875,منتجات!$A$3:$A$115,0)),"")</f>
        <v/>
      </c>
      <c r="G875" s="51" t="str">
        <f t="shared" si="15"/>
        <v/>
      </c>
      <c r="H875" s="54"/>
    </row>
    <row r="876" spans="1:8" x14ac:dyDescent="0.35">
      <c r="A876" s="51"/>
      <c r="B876" s="51"/>
      <c r="C876" s="51" t="str">
        <f>IFERROR(VLOOKUP(B876,منتجات!$A$3:$C$350,2,0),"")</f>
        <v/>
      </c>
      <c r="D876" s="51" t="str">
        <f>IFERROR(VLOOKUP(B876,منتجات!$A$3:$C$350,3,0),"")</f>
        <v/>
      </c>
      <c r="E876" s="51"/>
      <c r="F876" s="51" t="str">
        <f>IFERROR(INDEX(منتجات!$G$3:$G$114,MATCH(B876,منتجات!$A$3:$A$115,0)),"")</f>
        <v/>
      </c>
      <c r="G876" s="51" t="str">
        <f t="shared" si="15"/>
        <v/>
      </c>
      <c r="H876" s="53"/>
    </row>
    <row r="877" spans="1:8" x14ac:dyDescent="0.35">
      <c r="A877" s="49"/>
      <c r="B877" s="49"/>
      <c r="C877" s="51" t="str">
        <f>IFERROR(VLOOKUP(B877,منتجات!$A$3:$C$350,2,0),"")</f>
        <v/>
      </c>
      <c r="D877" s="49" t="str">
        <f>IFERROR(VLOOKUP(B877,منتجات!$A$3:$C$350,3,0),"")</f>
        <v/>
      </c>
      <c r="E877" s="49"/>
      <c r="F877" s="49" t="str">
        <f>IFERROR(INDEX(منتجات!$G$3:$G$114,MATCH(B877,منتجات!$A$3:$A$115,0)),"")</f>
        <v/>
      </c>
      <c r="G877" s="51" t="str">
        <f t="shared" si="15"/>
        <v/>
      </c>
      <c r="H877" s="54"/>
    </row>
    <row r="878" spans="1:8" x14ac:dyDescent="0.35">
      <c r="A878" s="51"/>
      <c r="B878" s="51"/>
      <c r="C878" s="51" t="str">
        <f>IFERROR(VLOOKUP(B878,منتجات!$A$3:$C$350,2,0),"")</f>
        <v/>
      </c>
      <c r="D878" s="51" t="str">
        <f>IFERROR(VLOOKUP(B878,منتجات!$A$3:$C$350,3,0),"")</f>
        <v/>
      </c>
      <c r="E878" s="51"/>
      <c r="F878" s="51" t="str">
        <f>IFERROR(INDEX(منتجات!$G$3:$G$114,MATCH(B878,منتجات!$A$3:$A$115,0)),"")</f>
        <v/>
      </c>
      <c r="G878" s="51" t="str">
        <f t="shared" si="15"/>
        <v/>
      </c>
      <c r="H878" s="53"/>
    </row>
    <row r="879" spans="1:8" x14ac:dyDescent="0.35">
      <c r="A879" s="49"/>
      <c r="B879" s="49"/>
      <c r="C879" s="51" t="str">
        <f>IFERROR(VLOOKUP(B879,منتجات!$A$3:$C$350,2,0),"")</f>
        <v/>
      </c>
      <c r="D879" s="49" t="str">
        <f>IFERROR(VLOOKUP(B879,منتجات!$A$3:$C$350,3,0),"")</f>
        <v/>
      </c>
      <c r="E879" s="49"/>
      <c r="F879" s="49" t="str">
        <f>IFERROR(INDEX(منتجات!$G$3:$G$114,MATCH(B879,منتجات!$A$3:$A$115,0)),"")</f>
        <v/>
      </c>
      <c r="G879" s="51" t="str">
        <f t="shared" si="15"/>
        <v/>
      </c>
      <c r="H879" s="54"/>
    </row>
    <row r="880" spans="1:8" x14ac:dyDescent="0.35">
      <c r="A880" s="51"/>
      <c r="B880" s="51"/>
      <c r="C880" s="51" t="str">
        <f>IFERROR(VLOOKUP(B880,منتجات!$A$3:$C$350,2,0),"")</f>
        <v/>
      </c>
      <c r="D880" s="51" t="str">
        <f>IFERROR(VLOOKUP(B880,منتجات!$A$3:$C$350,3,0),"")</f>
        <v/>
      </c>
      <c r="E880" s="51"/>
      <c r="F880" s="51" t="str">
        <f>IFERROR(INDEX(منتجات!$G$3:$G$114,MATCH(B880,منتجات!$A$3:$A$115,0)),"")</f>
        <v/>
      </c>
      <c r="G880" s="51" t="str">
        <f t="shared" si="15"/>
        <v/>
      </c>
      <c r="H880" s="53"/>
    </row>
    <row r="881" spans="1:8" x14ac:dyDescent="0.35">
      <c r="A881" s="49"/>
      <c r="B881" s="49"/>
      <c r="C881" s="51" t="str">
        <f>IFERROR(VLOOKUP(B881,منتجات!$A$3:$C$350,2,0),"")</f>
        <v/>
      </c>
      <c r="D881" s="49" t="str">
        <f>IFERROR(VLOOKUP(B881,منتجات!$A$3:$C$350,3,0),"")</f>
        <v/>
      </c>
      <c r="E881" s="49"/>
      <c r="F881" s="49" t="str">
        <f>IFERROR(INDEX(منتجات!$G$3:$G$114,MATCH(B881,منتجات!$A$3:$A$115,0)),"")</f>
        <v/>
      </c>
      <c r="G881" s="51" t="str">
        <f t="shared" si="15"/>
        <v/>
      </c>
      <c r="H881" s="54"/>
    </row>
    <row r="882" spans="1:8" x14ac:dyDescent="0.35">
      <c r="A882" s="51"/>
      <c r="B882" s="51"/>
      <c r="C882" s="51" t="str">
        <f>IFERROR(VLOOKUP(B882,منتجات!$A$3:$C$350,2,0),"")</f>
        <v/>
      </c>
      <c r="D882" s="51" t="str">
        <f>IFERROR(VLOOKUP(B882,منتجات!$A$3:$C$350,3,0),"")</f>
        <v/>
      </c>
      <c r="E882" s="51"/>
      <c r="F882" s="51" t="str">
        <f>IFERROR(INDEX(منتجات!$G$3:$G$114,MATCH(B882,منتجات!$A$3:$A$115,0)),"")</f>
        <v/>
      </c>
      <c r="G882" s="51" t="str">
        <f t="shared" si="15"/>
        <v/>
      </c>
      <c r="H882" s="53"/>
    </row>
    <row r="883" spans="1:8" x14ac:dyDescent="0.35">
      <c r="A883" s="49"/>
      <c r="B883" s="49"/>
      <c r="C883" s="51" t="str">
        <f>IFERROR(VLOOKUP(B883,منتجات!$A$3:$C$350,2,0),"")</f>
        <v/>
      </c>
      <c r="D883" s="49" t="str">
        <f>IFERROR(VLOOKUP(B883,منتجات!$A$3:$C$350,3,0),"")</f>
        <v/>
      </c>
      <c r="E883" s="49"/>
      <c r="F883" s="49" t="str">
        <f>IFERROR(INDEX(منتجات!$G$3:$G$114,MATCH(B883,منتجات!$A$3:$A$115,0)),"")</f>
        <v/>
      </c>
      <c r="G883" s="51" t="str">
        <f t="shared" si="15"/>
        <v/>
      </c>
      <c r="H883" s="54"/>
    </row>
    <row r="884" spans="1:8" x14ac:dyDescent="0.35">
      <c r="A884" s="51"/>
      <c r="B884" s="51"/>
      <c r="C884" s="51" t="str">
        <f>IFERROR(VLOOKUP(B884,منتجات!$A$3:$C$350,2,0),"")</f>
        <v/>
      </c>
      <c r="D884" s="51" t="str">
        <f>IFERROR(VLOOKUP(B884,منتجات!$A$3:$C$350,3,0),"")</f>
        <v/>
      </c>
      <c r="E884" s="51"/>
      <c r="F884" s="51" t="str">
        <f>IFERROR(INDEX(منتجات!$G$3:$G$114,MATCH(B884,منتجات!$A$3:$A$115,0)),"")</f>
        <v/>
      </c>
      <c r="G884" s="51" t="str">
        <f t="shared" si="15"/>
        <v/>
      </c>
      <c r="H884" s="53"/>
    </row>
    <row r="885" spans="1:8" x14ac:dyDescent="0.35">
      <c r="A885" s="49"/>
      <c r="B885" s="49"/>
      <c r="C885" s="51" t="str">
        <f>IFERROR(VLOOKUP(B885,منتجات!$A$3:$C$350,2,0),"")</f>
        <v/>
      </c>
      <c r="D885" s="49" t="str">
        <f>IFERROR(VLOOKUP(B885,منتجات!$A$3:$C$350,3,0),"")</f>
        <v/>
      </c>
      <c r="E885" s="49"/>
      <c r="F885" s="49" t="str">
        <f>IFERROR(INDEX(منتجات!$G$3:$G$114,MATCH(B885,منتجات!$A$3:$A$115,0)),"")</f>
        <v/>
      </c>
      <c r="G885" s="51" t="str">
        <f t="shared" si="15"/>
        <v/>
      </c>
      <c r="H885" s="54"/>
    </row>
    <row r="886" spans="1:8" x14ac:dyDescent="0.35">
      <c r="A886" s="51"/>
      <c r="B886" s="51"/>
      <c r="C886" s="51" t="str">
        <f>IFERROR(VLOOKUP(B886,منتجات!$A$3:$C$350,2,0),"")</f>
        <v/>
      </c>
      <c r="D886" s="51" t="str">
        <f>IFERROR(VLOOKUP(B886,منتجات!$A$3:$C$350,3,0),"")</f>
        <v/>
      </c>
      <c r="E886" s="51"/>
      <c r="F886" s="51" t="str">
        <f>IFERROR(INDEX(منتجات!$G$3:$G$114,MATCH(B886,منتجات!$A$3:$A$115,0)),"")</f>
        <v/>
      </c>
      <c r="G886" s="51" t="str">
        <f t="shared" si="15"/>
        <v/>
      </c>
      <c r="H886" s="53"/>
    </row>
    <row r="887" spans="1:8" x14ac:dyDescent="0.35">
      <c r="A887" s="49"/>
      <c r="B887" s="49"/>
      <c r="C887" s="51" t="str">
        <f>IFERROR(VLOOKUP(B887,منتجات!$A$3:$C$350,2,0),"")</f>
        <v/>
      </c>
      <c r="D887" s="49" t="str">
        <f>IFERROR(VLOOKUP(B887,منتجات!$A$3:$C$350,3,0),"")</f>
        <v/>
      </c>
      <c r="E887" s="49"/>
      <c r="F887" s="49" t="str">
        <f>IFERROR(INDEX(منتجات!$G$3:$G$114,MATCH(B887,منتجات!$A$3:$A$115,0)),"")</f>
        <v/>
      </c>
      <c r="G887" s="51" t="str">
        <f t="shared" si="15"/>
        <v/>
      </c>
      <c r="H887" s="54"/>
    </row>
    <row r="888" spans="1:8" x14ac:dyDescent="0.35">
      <c r="A888" s="51"/>
      <c r="B888" s="51"/>
      <c r="C888" s="51" t="str">
        <f>IFERROR(VLOOKUP(B888,منتجات!$A$3:$C$350,2,0),"")</f>
        <v/>
      </c>
      <c r="D888" s="51" t="str">
        <f>IFERROR(VLOOKUP(B888,منتجات!$A$3:$C$350,3,0),"")</f>
        <v/>
      </c>
      <c r="E888" s="51"/>
      <c r="F888" s="51" t="str">
        <f>IFERROR(INDEX(منتجات!$G$3:$G$114,MATCH(B888,منتجات!$A$3:$A$115,0)),"")</f>
        <v/>
      </c>
      <c r="G888" s="51" t="str">
        <f t="shared" si="15"/>
        <v/>
      </c>
      <c r="H888" s="53"/>
    </row>
    <row r="889" spans="1:8" x14ac:dyDescent="0.35">
      <c r="A889" s="49"/>
      <c r="B889" s="49"/>
      <c r="C889" s="51" t="str">
        <f>IFERROR(VLOOKUP(B889,منتجات!$A$3:$C$350,2,0),"")</f>
        <v/>
      </c>
      <c r="D889" s="49" t="str">
        <f>IFERROR(VLOOKUP(B889,منتجات!$A$3:$C$350,3,0),"")</f>
        <v/>
      </c>
      <c r="E889" s="49"/>
      <c r="F889" s="49" t="str">
        <f>IFERROR(INDEX(منتجات!$G$3:$G$114,MATCH(B889,منتجات!$A$3:$A$115,0)),"")</f>
        <v/>
      </c>
      <c r="G889" s="51" t="str">
        <f t="shared" si="15"/>
        <v/>
      </c>
      <c r="H889" s="54"/>
    </row>
    <row r="890" spans="1:8" x14ac:dyDescent="0.35">
      <c r="A890" s="51"/>
      <c r="B890" s="51"/>
      <c r="C890" s="51" t="str">
        <f>IFERROR(VLOOKUP(B890,منتجات!$A$3:$C$350,2,0),"")</f>
        <v/>
      </c>
      <c r="D890" s="51" t="str">
        <f>IFERROR(VLOOKUP(B890,منتجات!$A$3:$C$350,3,0),"")</f>
        <v/>
      </c>
      <c r="E890" s="51"/>
      <c r="F890" s="51" t="str">
        <f>IFERROR(INDEX(منتجات!$G$3:$G$114,MATCH(B890,منتجات!$A$3:$A$115,0)),"")</f>
        <v/>
      </c>
      <c r="G890" s="51" t="str">
        <f t="shared" si="15"/>
        <v/>
      </c>
      <c r="H890" s="53"/>
    </row>
    <row r="891" spans="1:8" x14ac:dyDescent="0.35">
      <c r="A891" s="49"/>
      <c r="B891" s="49"/>
      <c r="C891" s="51" t="str">
        <f>IFERROR(VLOOKUP(B891,منتجات!$A$3:$C$350,2,0),"")</f>
        <v/>
      </c>
      <c r="D891" s="49" t="str">
        <f>IFERROR(VLOOKUP(B891,منتجات!$A$3:$C$350,3,0),"")</f>
        <v/>
      </c>
      <c r="E891" s="49"/>
      <c r="F891" s="49" t="str">
        <f>IFERROR(INDEX(منتجات!$G$3:$G$114,MATCH(B891,منتجات!$A$3:$A$115,0)),"")</f>
        <v/>
      </c>
      <c r="G891" s="51" t="str">
        <f t="shared" si="15"/>
        <v/>
      </c>
      <c r="H891" s="54"/>
    </row>
    <row r="892" spans="1:8" x14ac:dyDescent="0.35">
      <c r="A892" s="51"/>
      <c r="B892" s="51"/>
      <c r="C892" s="51" t="str">
        <f>IFERROR(VLOOKUP(B892,منتجات!$A$3:$C$350,2,0),"")</f>
        <v/>
      </c>
      <c r="D892" s="51" t="str">
        <f>IFERROR(VLOOKUP(B892,منتجات!$A$3:$C$350,3,0),"")</f>
        <v/>
      </c>
      <c r="E892" s="51"/>
      <c r="F892" s="51" t="str">
        <f>IFERROR(INDEX(منتجات!$G$3:$G$114,MATCH(B892,منتجات!$A$3:$A$115,0)),"")</f>
        <v/>
      </c>
      <c r="G892" s="51" t="str">
        <f t="shared" si="15"/>
        <v/>
      </c>
      <c r="H892" s="53"/>
    </row>
    <row r="893" spans="1:8" x14ac:dyDescent="0.35">
      <c r="A893" s="49"/>
      <c r="B893" s="49"/>
      <c r="C893" s="51" t="str">
        <f>IFERROR(VLOOKUP(B893,منتجات!$A$3:$C$350,2,0),"")</f>
        <v/>
      </c>
      <c r="D893" s="49" t="str">
        <f>IFERROR(VLOOKUP(B893,منتجات!$A$3:$C$350,3,0),"")</f>
        <v/>
      </c>
      <c r="E893" s="49"/>
      <c r="F893" s="49" t="str">
        <f>IFERROR(INDEX(منتجات!$G$3:$G$114,MATCH(B893,منتجات!$A$3:$A$115,0)),"")</f>
        <v/>
      </c>
      <c r="G893" s="51" t="str">
        <f t="shared" si="15"/>
        <v/>
      </c>
      <c r="H893" s="54"/>
    </row>
    <row r="894" spans="1:8" x14ac:dyDescent="0.35">
      <c r="A894" s="51"/>
      <c r="B894" s="51"/>
      <c r="C894" s="51" t="str">
        <f>IFERROR(VLOOKUP(B894,منتجات!$A$3:$C$350,2,0),"")</f>
        <v/>
      </c>
      <c r="D894" s="51" t="str">
        <f>IFERROR(VLOOKUP(B894,منتجات!$A$3:$C$350,3,0),"")</f>
        <v/>
      </c>
      <c r="E894" s="51"/>
      <c r="F894" s="51" t="str">
        <f>IFERROR(INDEX(منتجات!$G$3:$G$114,MATCH(B894,منتجات!$A$3:$A$115,0)),"")</f>
        <v/>
      </c>
      <c r="G894" s="51" t="str">
        <f t="shared" si="15"/>
        <v/>
      </c>
      <c r="H894" s="53"/>
    </row>
    <row r="895" spans="1:8" x14ac:dyDescent="0.35">
      <c r="A895" s="49"/>
      <c r="B895" s="49"/>
      <c r="C895" s="51" t="str">
        <f>IFERROR(VLOOKUP(B895,منتجات!$A$3:$C$350,2,0),"")</f>
        <v/>
      </c>
      <c r="D895" s="49" t="str">
        <f>IFERROR(VLOOKUP(B895,منتجات!$A$3:$C$350,3,0),"")</f>
        <v/>
      </c>
      <c r="E895" s="49"/>
      <c r="F895" s="49" t="str">
        <f>IFERROR(INDEX(منتجات!$G$3:$G$114,MATCH(B895,منتجات!$A$3:$A$115,0)),"")</f>
        <v/>
      </c>
      <c r="G895" s="51" t="str">
        <f t="shared" si="15"/>
        <v/>
      </c>
      <c r="H895" s="54"/>
    </row>
    <row r="896" spans="1:8" x14ac:dyDescent="0.35">
      <c r="A896" s="51"/>
      <c r="B896" s="51"/>
      <c r="C896" s="51" t="str">
        <f>IFERROR(VLOOKUP(B896,منتجات!$A$3:$C$350,2,0),"")</f>
        <v/>
      </c>
      <c r="D896" s="51" t="str">
        <f>IFERROR(VLOOKUP(B896,منتجات!$A$3:$C$350,3,0),"")</f>
        <v/>
      </c>
      <c r="E896" s="51"/>
      <c r="F896" s="51" t="str">
        <f>IFERROR(INDEX(منتجات!$G$3:$G$114,MATCH(B896,منتجات!$A$3:$A$115,0)),"")</f>
        <v/>
      </c>
      <c r="G896" s="51" t="str">
        <f t="shared" si="15"/>
        <v/>
      </c>
      <c r="H896" s="53"/>
    </row>
    <row r="897" spans="1:8" x14ac:dyDescent="0.35">
      <c r="A897" s="49"/>
      <c r="B897" s="49"/>
      <c r="C897" s="51" t="str">
        <f>IFERROR(VLOOKUP(B897,منتجات!$A$3:$C$350,2,0),"")</f>
        <v/>
      </c>
      <c r="D897" s="49" t="str">
        <f>IFERROR(VLOOKUP(B897,منتجات!$A$3:$C$350,3,0),"")</f>
        <v/>
      </c>
      <c r="E897" s="49"/>
      <c r="F897" s="49" t="str">
        <f>IFERROR(INDEX(منتجات!$G$3:$G$114,MATCH(B897,منتجات!$A$3:$A$115,0)),"")</f>
        <v/>
      </c>
      <c r="G897" s="51" t="str">
        <f t="shared" si="15"/>
        <v/>
      </c>
      <c r="H897" s="54"/>
    </row>
    <row r="898" spans="1:8" x14ac:dyDescent="0.35">
      <c r="A898" s="51"/>
      <c r="B898" s="51"/>
      <c r="C898" s="51" t="str">
        <f>IFERROR(VLOOKUP(B898,منتجات!$A$3:$C$350,2,0),"")</f>
        <v/>
      </c>
      <c r="D898" s="51" t="str">
        <f>IFERROR(VLOOKUP(B898,منتجات!$A$3:$C$350,3,0),"")</f>
        <v/>
      </c>
      <c r="E898" s="51"/>
      <c r="F898" s="51" t="str">
        <f>IFERROR(INDEX(منتجات!$G$3:$G$114,MATCH(B898,منتجات!$A$3:$A$115,0)),"")</f>
        <v/>
      </c>
      <c r="G898" s="51" t="str">
        <f t="shared" si="15"/>
        <v/>
      </c>
      <c r="H898" s="53"/>
    </row>
    <row r="899" spans="1:8" x14ac:dyDescent="0.35">
      <c r="A899" s="49"/>
      <c r="B899" s="49"/>
      <c r="C899" s="51" t="str">
        <f>IFERROR(VLOOKUP(B899,منتجات!$A$3:$C$350,2,0),"")</f>
        <v/>
      </c>
      <c r="D899" s="49" t="str">
        <f>IFERROR(VLOOKUP(B899,منتجات!$A$3:$C$350,3,0),"")</f>
        <v/>
      </c>
      <c r="E899" s="49"/>
      <c r="F899" s="49" t="str">
        <f>IFERROR(INDEX(منتجات!$G$3:$G$114,MATCH(B899,منتجات!$A$3:$A$115,0)),"")</f>
        <v/>
      </c>
      <c r="G899" s="51" t="str">
        <f t="shared" si="15"/>
        <v/>
      </c>
      <c r="H899" s="54"/>
    </row>
    <row r="900" spans="1:8" x14ac:dyDescent="0.35">
      <c r="A900" s="51"/>
      <c r="B900" s="51"/>
      <c r="C900" s="51" t="str">
        <f>IFERROR(VLOOKUP(B900,منتجات!$A$3:$C$350,2,0),"")</f>
        <v/>
      </c>
      <c r="D900" s="51" t="str">
        <f>IFERROR(VLOOKUP(B900,منتجات!$A$3:$C$350,3,0),"")</f>
        <v/>
      </c>
      <c r="E900" s="51"/>
      <c r="F900" s="51" t="str">
        <f>IFERROR(INDEX(منتجات!$G$3:$G$114,MATCH(B900,منتجات!$A$3:$A$115,0)),"")</f>
        <v/>
      </c>
      <c r="G900" s="51" t="str">
        <f t="shared" si="15"/>
        <v/>
      </c>
      <c r="H900" s="53"/>
    </row>
    <row r="901" spans="1:8" x14ac:dyDescent="0.35">
      <c r="A901" s="49"/>
      <c r="B901" s="49"/>
      <c r="C901" s="51" t="str">
        <f>IFERROR(VLOOKUP(B901,منتجات!$A$3:$C$350,2,0),"")</f>
        <v/>
      </c>
      <c r="D901" s="49" t="str">
        <f>IFERROR(VLOOKUP(B901,منتجات!$A$3:$C$350,3,0),"")</f>
        <v/>
      </c>
      <c r="E901" s="49"/>
      <c r="F901" s="49" t="str">
        <f>IFERROR(INDEX(منتجات!$G$3:$G$114,MATCH(B901,منتجات!$A$3:$A$115,0)),"")</f>
        <v/>
      </c>
      <c r="G901" s="51" t="str">
        <f t="shared" si="15"/>
        <v/>
      </c>
      <c r="H901" s="54"/>
    </row>
    <row r="902" spans="1:8" x14ac:dyDescent="0.35">
      <c r="A902" s="51"/>
      <c r="B902" s="51"/>
      <c r="C902" s="51" t="str">
        <f>IFERROR(VLOOKUP(B902,منتجات!$A$3:$C$350,2,0),"")</f>
        <v/>
      </c>
      <c r="D902" s="51" t="str">
        <f>IFERROR(VLOOKUP(B902,منتجات!$A$3:$C$350,3,0),"")</f>
        <v/>
      </c>
      <c r="E902" s="51"/>
      <c r="F902" s="51" t="str">
        <f>IFERROR(INDEX(منتجات!$G$3:$G$114,MATCH(B902,منتجات!$A$3:$A$115,0)),"")</f>
        <v/>
      </c>
      <c r="G902" s="51" t="str">
        <f t="shared" si="15"/>
        <v/>
      </c>
      <c r="H902" s="53"/>
    </row>
    <row r="903" spans="1:8" x14ac:dyDescent="0.35">
      <c r="A903" s="49"/>
      <c r="B903" s="49"/>
      <c r="C903" s="51" t="str">
        <f>IFERROR(VLOOKUP(B903,منتجات!$A$3:$C$350,2,0),"")</f>
        <v/>
      </c>
      <c r="D903" s="49" t="str">
        <f>IFERROR(VLOOKUP(B903,منتجات!$A$3:$C$350,3,0),"")</f>
        <v/>
      </c>
      <c r="E903" s="49"/>
      <c r="F903" s="49" t="str">
        <f>IFERROR(INDEX(منتجات!$G$3:$G$114,MATCH(B903,منتجات!$A$3:$A$115,0)),"")</f>
        <v/>
      </c>
      <c r="G903" s="51" t="str">
        <f t="shared" si="15"/>
        <v/>
      </c>
      <c r="H903" s="54"/>
    </row>
    <row r="904" spans="1:8" x14ac:dyDescent="0.35">
      <c r="A904" s="51"/>
      <c r="B904" s="51"/>
      <c r="C904" s="51" t="str">
        <f>IFERROR(VLOOKUP(B904,منتجات!$A$3:$C$350,2,0),"")</f>
        <v/>
      </c>
      <c r="D904" s="51" t="str">
        <f>IFERROR(VLOOKUP(B904,منتجات!$A$3:$C$350,3,0),"")</f>
        <v/>
      </c>
      <c r="E904" s="51"/>
      <c r="F904" s="51" t="str">
        <f>IFERROR(INDEX(منتجات!$G$3:$G$114,MATCH(B904,منتجات!$A$3:$A$115,0)),"")</f>
        <v/>
      </c>
      <c r="G904" s="51" t="str">
        <f t="shared" si="15"/>
        <v/>
      </c>
      <c r="H904" s="53"/>
    </row>
    <row r="905" spans="1:8" x14ac:dyDescent="0.35">
      <c r="A905" s="49"/>
      <c r="B905" s="49"/>
      <c r="C905" s="51" t="str">
        <f>IFERROR(VLOOKUP(B905,منتجات!$A$3:$C$350,2,0),"")</f>
        <v/>
      </c>
      <c r="D905" s="49" t="str">
        <f>IFERROR(VLOOKUP(B905,منتجات!$A$3:$C$350,3,0),"")</f>
        <v/>
      </c>
      <c r="E905" s="49"/>
      <c r="F905" s="49" t="str">
        <f>IFERROR(INDEX(منتجات!$G$3:$G$114,MATCH(B905,منتجات!$A$3:$A$115,0)),"")</f>
        <v/>
      </c>
      <c r="G905" s="51" t="str">
        <f t="shared" si="15"/>
        <v/>
      </c>
      <c r="H905" s="54"/>
    </row>
    <row r="906" spans="1:8" x14ac:dyDescent="0.35">
      <c r="A906" s="51"/>
      <c r="B906" s="51"/>
      <c r="C906" s="51" t="str">
        <f>IFERROR(VLOOKUP(B906,منتجات!$A$3:$C$350,2,0),"")</f>
        <v/>
      </c>
      <c r="D906" s="51" t="str">
        <f>IFERROR(VLOOKUP(B906,منتجات!$A$3:$C$350,3,0),"")</f>
        <v/>
      </c>
      <c r="E906" s="51"/>
      <c r="F906" s="51" t="str">
        <f>IFERROR(INDEX(منتجات!$G$3:$G$114,MATCH(B906,منتجات!$A$3:$A$115,0)),"")</f>
        <v/>
      </c>
      <c r="G906" s="51" t="str">
        <f t="shared" si="15"/>
        <v/>
      </c>
      <c r="H906" s="53"/>
    </row>
    <row r="907" spans="1:8" x14ac:dyDescent="0.35">
      <c r="A907" s="49"/>
      <c r="B907" s="49"/>
      <c r="C907" s="51" t="str">
        <f>IFERROR(VLOOKUP(B907,منتجات!$A$3:$C$350,2,0),"")</f>
        <v/>
      </c>
      <c r="D907" s="49" t="str">
        <f>IFERROR(VLOOKUP(B907,منتجات!$A$3:$C$350,3,0),"")</f>
        <v/>
      </c>
      <c r="E907" s="49"/>
      <c r="F907" s="49" t="str">
        <f>IFERROR(INDEX(منتجات!$G$3:$G$114,MATCH(B907,منتجات!$A$3:$A$115,0)),"")</f>
        <v/>
      </c>
      <c r="G907" s="51" t="str">
        <f t="shared" si="15"/>
        <v/>
      </c>
      <c r="H907" s="54"/>
    </row>
    <row r="908" spans="1:8" x14ac:dyDescent="0.35">
      <c r="A908" s="51"/>
      <c r="B908" s="51"/>
      <c r="C908" s="51" t="str">
        <f>IFERROR(VLOOKUP(B908,منتجات!$A$3:$C$350,2,0),"")</f>
        <v/>
      </c>
      <c r="D908" s="51" t="str">
        <f>IFERROR(VLOOKUP(B908,منتجات!$A$3:$C$350,3,0),"")</f>
        <v/>
      </c>
      <c r="E908" s="51"/>
      <c r="F908" s="51" t="str">
        <f>IFERROR(INDEX(منتجات!$G$3:$G$114,MATCH(B908,منتجات!$A$3:$A$115,0)),"")</f>
        <v/>
      </c>
      <c r="G908" s="51" t="str">
        <f t="shared" si="15"/>
        <v/>
      </c>
      <c r="H908" s="53"/>
    </row>
    <row r="909" spans="1:8" x14ac:dyDescent="0.35">
      <c r="A909" s="49"/>
      <c r="B909" s="49"/>
      <c r="C909" s="51" t="str">
        <f>IFERROR(VLOOKUP(B909,منتجات!$A$3:$C$350,2,0),"")</f>
        <v/>
      </c>
      <c r="D909" s="49" t="str">
        <f>IFERROR(VLOOKUP(B909,منتجات!$A$3:$C$350,3,0),"")</f>
        <v/>
      </c>
      <c r="E909" s="49"/>
      <c r="F909" s="49" t="str">
        <f>IFERROR(INDEX(منتجات!$G$3:$G$114,MATCH(B909,منتجات!$A$3:$A$115,0)),"")</f>
        <v/>
      </c>
      <c r="G909" s="51" t="str">
        <f t="shared" si="15"/>
        <v/>
      </c>
      <c r="H909" s="54"/>
    </row>
    <row r="910" spans="1:8" x14ac:dyDescent="0.35">
      <c r="A910" s="51"/>
      <c r="B910" s="51"/>
      <c r="C910" s="51" t="str">
        <f>IFERROR(VLOOKUP(B910,منتجات!$A$3:$C$350,2,0),"")</f>
        <v/>
      </c>
      <c r="D910" s="51" t="str">
        <f>IFERROR(VLOOKUP(B910,منتجات!$A$3:$C$350,3,0),"")</f>
        <v/>
      </c>
      <c r="E910" s="51"/>
      <c r="F910" s="51" t="str">
        <f>IFERROR(INDEX(منتجات!$G$3:$G$114,MATCH(B910,منتجات!$A$3:$A$115,0)),"")</f>
        <v/>
      </c>
      <c r="G910" s="51" t="str">
        <f t="shared" ref="G910:G973" si="16">IFERROR(E910*F910*D910,"")</f>
        <v/>
      </c>
      <c r="H910" s="53"/>
    </row>
    <row r="911" spans="1:8" x14ac:dyDescent="0.35">
      <c r="A911" s="49"/>
      <c r="B911" s="49"/>
      <c r="C911" s="51" t="str">
        <f>IFERROR(VLOOKUP(B911,منتجات!$A$3:$C$350,2,0),"")</f>
        <v/>
      </c>
      <c r="D911" s="49" t="str">
        <f>IFERROR(VLOOKUP(B911,منتجات!$A$3:$C$350,3,0),"")</f>
        <v/>
      </c>
      <c r="E911" s="49"/>
      <c r="F911" s="49" t="str">
        <f>IFERROR(INDEX(منتجات!$G$3:$G$114,MATCH(B911,منتجات!$A$3:$A$115,0)),"")</f>
        <v/>
      </c>
      <c r="G911" s="51" t="str">
        <f t="shared" si="16"/>
        <v/>
      </c>
      <c r="H911" s="54"/>
    </row>
    <row r="912" spans="1:8" x14ac:dyDescent="0.35">
      <c r="A912" s="51"/>
      <c r="B912" s="51"/>
      <c r="C912" s="51" t="str">
        <f>IFERROR(VLOOKUP(B912,منتجات!$A$3:$C$350,2,0),"")</f>
        <v/>
      </c>
      <c r="D912" s="51" t="str">
        <f>IFERROR(VLOOKUP(B912,منتجات!$A$3:$C$350,3,0),"")</f>
        <v/>
      </c>
      <c r="E912" s="51"/>
      <c r="F912" s="51" t="str">
        <f>IFERROR(INDEX(منتجات!$G$3:$G$114,MATCH(B912,منتجات!$A$3:$A$115,0)),"")</f>
        <v/>
      </c>
      <c r="G912" s="51" t="str">
        <f t="shared" si="16"/>
        <v/>
      </c>
      <c r="H912" s="53"/>
    </row>
    <row r="913" spans="1:8" x14ac:dyDescent="0.35">
      <c r="A913" s="49"/>
      <c r="B913" s="49"/>
      <c r="C913" s="51" t="str">
        <f>IFERROR(VLOOKUP(B913,منتجات!$A$3:$C$350,2,0),"")</f>
        <v/>
      </c>
      <c r="D913" s="49" t="str">
        <f>IFERROR(VLOOKUP(B913,منتجات!$A$3:$C$350,3,0),"")</f>
        <v/>
      </c>
      <c r="E913" s="49"/>
      <c r="F913" s="49" t="str">
        <f>IFERROR(INDEX(منتجات!$G$3:$G$114,MATCH(B913,منتجات!$A$3:$A$115,0)),"")</f>
        <v/>
      </c>
      <c r="G913" s="51" t="str">
        <f t="shared" si="16"/>
        <v/>
      </c>
      <c r="H913" s="54"/>
    </row>
    <row r="914" spans="1:8" x14ac:dyDescent="0.35">
      <c r="A914" s="51"/>
      <c r="B914" s="51"/>
      <c r="C914" s="51" t="str">
        <f>IFERROR(VLOOKUP(B914,منتجات!$A$3:$C$350,2,0),"")</f>
        <v/>
      </c>
      <c r="D914" s="51" t="str">
        <f>IFERROR(VLOOKUP(B914,منتجات!$A$3:$C$350,3,0),"")</f>
        <v/>
      </c>
      <c r="E914" s="51"/>
      <c r="F914" s="51" t="str">
        <f>IFERROR(INDEX(منتجات!$G$3:$G$114,MATCH(B914,منتجات!$A$3:$A$115,0)),"")</f>
        <v/>
      </c>
      <c r="G914" s="51" t="str">
        <f t="shared" si="16"/>
        <v/>
      </c>
      <c r="H914" s="53"/>
    </row>
    <row r="915" spans="1:8" x14ac:dyDescent="0.35">
      <c r="A915" s="49"/>
      <c r="B915" s="49"/>
      <c r="C915" s="51" t="str">
        <f>IFERROR(VLOOKUP(B915,منتجات!$A$3:$C$350,2,0),"")</f>
        <v/>
      </c>
      <c r="D915" s="49" t="str">
        <f>IFERROR(VLOOKUP(B915,منتجات!$A$3:$C$350,3,0),"")</f>
        <v/>
      </c>
      <c r="E915" s="49"/>
      <c r="F915" s="49" t="str">
        <f>IFERROR(INDEX(منتجات!$G$3:$G$114,MATCH(B915,منتجات!$A$3:$A$115,0)),"")</f>
        <v/>
      </c>
      <c r="G915" s="51" t="str">
        <f t="shared" si="16"/>
        <v/>
      </c>
      <c r="H915" s="54"/>
    </row>
    <row r="916" spans="1:8" x14ac:dyDescent="0.35">
      <c r="A916" s="51"/>
      <c r="B916" s="51"/>
      <c r="C916" s="51" t="str">
        <f>IFERROR(VLOOKUP(B916,منتجات!$A$3:$C$350,2,0),"")</f>
        <v/>
      </c>
      <c r="D916" s="51" t="str">
        <f>IFERROR(VLOOKUP(B916,منتجات!$A$3:$C$350,3,0),"")</f>
        <v/>
      </c>
      <c r="E916" s="51"/>
      <c r="F916" s="51" t="str">
        <f>IFERROR(INDEX(منتجات!$G$3:$G$114,MATCH(B916,منتجات!$A$3:$A$115,0)),"")</f>
        <v/>
      </c>
      <c r="G916" s="51" t="str">
        <f t="shared" si="16"/>
        <v/>
      </c>
      <c r="H916" s="53"/>
    </row>
    <row r="917" spans="1:8" x14ac:dyDescent="0.35">
      <c r="A917" s="49"/>
      <c r="B917" s="49"/>
      <c r="C917" s="51" t="str">
        <f>IFERROR(VLOOKUP(B917,منتجات!$A$3:$C$350,2,0),"")</f>
        <v/>
      </c>
      <c r="D917" s="49" t="str">
        <f>IFERROR(VLOOKUP(B917,منتجات!$A$3:$C$350,3,0),"")</f>
        <v/>
      </c>
      <c r="E917" s="49"/>
      <c r="F917" s="49" t="str">
        <f>IFERROR(INDEX(منتجات!$G$3:$G$114,MATCH(B917,منتجات!$A$3:$A$115,0)),"")</f>
        <v/>
      </c>
      <c r="G917" s="51" t="str">
        <f t="shared" si="16"/>
        <v/>
      </c>
      <c r="H917" s="54"/>
    </row>
    <row r="918" spans="1:8" x14ac:dyDescent="0.35">
      <c r="A918" s="51"/>
      <c r="B918" s="51"/>
      <c r="C918" s="51" t="str">
        <f>IFERROR(VLOOKUP(B918,منتجات!$A$3:$C$350,2,0),"")</f>
        <v/>
      </c>
      <c r="D918" s="51" t="str">
        <f>IFERROR(VLOOKUP(B918,منتجات!$A$3:$C$350,3,0),"")</f>
        <v/>
      </c>
      <c r="E918" s="51"/>
      <c r="F918" s="51" t="str">
        <f>IFERROR(INDEX(منتجات!$G$3:$G$114,MATCH(B918,منتجات!$A$3:$A$115,0)),"")</f>
        <v/>
      </c>
      <c r="G918" s="51" t="str">
        <f t="shared" si="16"/>
        <v/>
      </c>
      <c r="H918" s="53"/>
    </row>
    <row r="919" spans="1:8" x14ac:dyDescent="0.35">
      <c r="A919" s="49"/>
      <c r="B919" s="49"/>
      <c r="C919" s="51" t="str">
        <f>IFERROR(VLOOKUP(B919,منتجات!$A$3:$C$350,2,0),"")</f>
        <v/>
      </c>
      <c r="D919" s="49" t="str">
        <f>IFERROR(VLOOKUP(B919,منتجات!$A$3:$C$350,3,0),"")</f>
        <v/>
      </c>
      <c r="E919" s="49"/>
      <c r="F919" s="49" t="str">
        <f>IFERROR(INDEX(منتجات!$G$3:$G$114,MATCH(B919,منتجات!$A$3:$A$115,0)),"")</f>
        <v/>
      </c>
      <c r="G919" s="51" t="str">
        <f t="shared" si="16"/>
        <v/>
      </c>
      <c r="H919" s="54"/>
    </row>
    <row r="920" spans="1:8" x14ac:dyDescent="0.35">
      <c r="A920" s="51"/>
      <c r="B920" s="51"/>
      <c r="C920" s="51" t="str">
        <f>IFERROR(VLOOKUP(B920,منتجات!$A$3:$C$350,2,0),"")</f>
        <v/>
      </c>
      <c r="D920" s="51" t="str">
        <f>IFERROR(VLOOKUP(B920,منتجات!$A$3:$C$350,3,0),"")</f>
        <v/>
      </c>
      <c r="E920" s="51"/>
      <c r="F920" s="51" t="str">
        <f>IFERROR(INDEX(منتجات!$G$3:$G$114,MATCH(B920,منتجات!$A$3:$A$115,0)),"")</f>
        <v/>
      </c>
      <c r="G920" s="51" t="str">
        <f t="shared" si="16"/>
        <v/>
      </c>
      <c r="H920" s="53"/>
    </row>
    <row r="921" spans="1:8" x14ac:dyDescent="0.35">
      <c r="A921" s="49"/>
      <c r="B921" s="49"/>
      <c r="C921" s="51" t="str">
        <f>IFERROR(VLOOKUP(B921,منتجات!$A$3:$C$350,2,0),"")</f>
        <v/>
      </c>
      <c r="D921" s="49" t="str">
        <f>IFERROR(VLOOKUP(B921,منتجات!$A$3:$C$350,3,0),"")</f>
        <v/>
      </c>
      <c r="E921" s="49"/>
      <c r="F921" s="49" t="str">
        <f>IFERROR(INDEX(منتجات!$G$3:$G$114,MATCH(B921,منتجات!$A$3:$A$115,0)),"")</f>
        <v/>
      </c>
      <c r="G921" s="51" t="str">
        <f t="shared" si="16"/>
        <v/>
      </c>
      <c r="H921" s="54"/>
    </row>
    <row r="922" spans="1:8" x14ac:dyDescent="0.35">
      <c r="A922" s="51"/>
      <c r="B922" s="51"/>
      <c r="C922" s="51" t="str">
        <f>IFERROR(VLOOKUP(B922,منتجات!$A$3:$C$350,2,0),"")</f>
        <v/>
      </c>
      <c r="D922" s="51" t="str">
        <f>IFERROR(VLOOKUP(B922,منتجات!$A$3:$C$350,3,0),"")</f>
        <v/>
      </c>
      <c r="E922" s="51"/>
      <c r="F922" s="51" t="str">
        <f>IFERROR(INDEX(منتجات!$G$3:$G$114,MATCH(B922,منتجات!$A$3:$A$115,0)),"")</f>
        <v/>
      </c>
      <c r="G922" s="51" t="str">
        <f t="shared" si="16"/>
        <v/>
      </c>
      <c r="H922" s="53"/>
    </row>
    <row r="923" spans="1:8" x14ac:dyDescent="0.35">
      <c r="A923" s="49"/>
      <c r="B923" s="49"/>
      <c r="C923" s="51" t="str">
        <f>IFERROR(VLOOKUP(B923,منتجات!$A$3:$C$350,2,0),"")</f>
        <v/>
      </c>
      <c r="D923" s="49" t="str">
        <f>IFERROR(VLOOKUP(B923,منتجات!$A$3:$C$350,3,0),"")</f>
        <v/>
      </c>
      <c r="E923" s="49"/>
      <c r="F923" s="49" t="str">
        <f>IFERROR(INDEX(منتجات!$G$3:$G$114,MATCH(B923,منتجات!$A$3:$A$115,0)),"")</f>
        <v/>
      </c>
      <c r="G923" s="51" t="str">
        <f t="shared" si="16"/>
        <v/>
      </c>
      <c r="H923" s="54"/>
    </row>
    <row r="924" spans="1:8" x14ac:dyDescent="0.35">
      <c r="A924" s="51"/>
      <c r="B924" s="51"/>
      <c r="C924" s="51" t="str">
        <f>IFERROR(VLOOKUP(B924,منتجات!$A$3:$C$350,2,0),"")</f>
        <v/>
      </c>
      <c r="D924" s="51" t="str">
        <f>IFERROR(VLOOKUP(B924,منتجات!$A$3:$C$350,3,0),"")</f>
        <v/>
      </c>
      <c r="E924" s="51"/>
      <c r="F924" s="51" t="str">
        <f>IFERROR(INDEX(منتجات!$G$3:$G$114,MATCH(B924,منتجات!$A$3:$A$115,0)),"")</f>
        <v/>
      </c>
      <c r="G924" s="51" t="str">
        <f t="shared" si="16"/>
        <v/>
      </c>
      <c r="H924" s="53"/>
    </row>
    <row r="925" spans="1:8" x14ac:dyDescent="0.35">
      <c r="A925" s="49"/>
      <c r="B925" s="49"/>
      <c r="C925" s="51" t="str">
        <f>IFERROR(VLOOKUP(B925,منتجات!$A$3:$C$350,2,0),"")</f>
        <v/>
      </c>
      <c r="D925" s="49" t="str">
        <f>IFERROR(VLOOKUP(B925,منتجات!$A$3:$C$350,3,0),"")</f>
        <v/>
      </c>
      <c r="E925" s="49"/>
      <c r="F925" s="49" t="str">
        <f>IFERROR(INDEX(منتجات!$G$3:$G$114,MATCH(B925,منتجات!$A$3:$A$115,0)),"")</f>
        <v/>
      </c>
      <c r="G925" s="51" t="str">
        <f t="shared" si="16"/>
        <v/>
      </c>
      <c r="H925" s="54"/>
    </row>
    <row r="926" spans="1:8" x14ac:dyDescent="0.35">
      <c r="A926" s="51"/>
      <c r="B926" s="51"/>
      <c r="C926" s="51" t="str">
        <f>IFERROR(VLOOKUP(B926,منتجات!$A$3:$C$350,2,0),"")</f>
        <v/>
      </c>
      <c r="D926" s="51" t="str">
        <f>IFERROR(VLOOKUP(B926,منتجات!$A$3:$C$350,3,0),"")</f>
        <v/>
      </c>
      <c r="E926" s="51"/>
      <c r="F926" s="51" t="str">
        <f>IFERROR(INDEX(منتجات!$G$3:$G$114,MATCH(B926,منتجات!$A$3:$A$115,0)),"")</f>
        <v/>
      </c>
      <c r="G926" s="51" t="str">
        <f t="shared" si="16"/>
        <v/>
      </c>
      <c r="H926" s="53"/>
    </row>
    <row r="927" spans="1:8" x14ac:dyDescent="0.35">
      <c r="A927" s="49"/>
      <c r="B927" s="49"/>
      <c r="C927" s="51" t="str">
        <f>IFERROR(VLOOKUP(B927,منتجات!$A$3:$C$350,2,0),"")</f>
        <v/>
      </c>
      <c r="D927" s="49" t="str">
        <f>IFERROR(VLOOKUP(B927,منتجات!$A$3:$C$350,3,0),"")</f>
        <v/>
      </c>
      <c r="E927" s="49"/>
      <c r="F927" s="49" t="str">
        <f>IFERROR(INDEX(منتجات!$G$3:$G$114,MATCH(B927,منتجات!$A$3:$A$115,0)),"")</f>
        <v/>
      </c>
      <c r="G927" s="51" t="str">
        <f t="shared" si="16"/>
        <v/>
      </c>
      <c r="H927" s="54"/>
    </row>
    <row r="928" spans="1:8" x14ac:dyDescent="0.35">
      <c r="A928" s="51"/>
      <c r="B928" s="51"/>
      <c r="C928" s="51" t="str">
        <f>IFERROR(VLOOKUP(B928,منتجات!$A$3:$C$350,2,0),"")</f>
        <v/>
      </c>
      <c r="D928" s="51" t="str">
        <f>IFERROR(VLOOKUP(B928,منتجات!$A$3:$C$350,3,0),"")</f>
        <v/>
      </c>
      <c r="E928" s="51"/>
      <c r="F928" s="51" t="str">
        <f>IFERROR(INDEX(منتجات!$G$3:$G$114,MATCH(B928,منتجات!$A$3:$A$115,0)),"")</f>
        <v/>
      </c>
      <c r="G928" s="51" t="str">
        <f t="shared" si="16"/>
        <v/>
      </c>
      <c r="H928" s="53"/>
    </row>
    <row r="929" spans="1:8" x14ac:dyDescent="0.35">
      <c r="A929" s="49"/>
      <c r="B929" s="49"/>
      <c r="C929" s="51" t="str">
        <f>IFERROR(VLOOKUP(B929,منتجات!$A$3:$C$350,2,0),"")</f>
        <v/>
      </c>
      <c r="D929" s="49" t="str">
        <f>IFERROR(VLOOKUP(B929,منتجات!$A$3:$C$350,3,0),"")</f>
        <v/>
      </c>
      <c r="E929" s="49"/>
      <c r="F929" s="49" t="str">
        <f>IFERROR(INDEX(منتجات!$G$3:$G$114,MATCH(B929,منتجات!$A$3:$A$115,0)),"")</f>
        <v/>
      </c>
      <c r="G929" s="51" t="str">
        <f t="shared" si="16"/>
        <v/>
      </c>
      <c r="H929" s="54"/>
    </row>
    <row r="930" spans="1:8" x14ac:dyDescent="0.35">
      <c r="A930" s="51"/>
      <c r="B930" s="51"/>
      <c r="C930" s="51" t="str">
        <f>IFERROR(VLOOKUP(B930,منتجات!$A$3:$C$350,2,0),"")</f>
        <v/>
      </c>
      <c r="D930" s="51" t="str">
        <f>IFERROR(VLOOKUP(B930,منتجات!$A$3:$C$350,3,0),"")</f>
        <v/>
      </c>
      <c r="E930" s="51"/>
      <c r="F930" s="51" t="str">
        <f>IFERROR(INDEX(منتجات!$G$3:$G$114,MATCH(B930,منتجات!$A$3:$A$115,0)),"")</f>
        <v/>
      </c>
      <c r="G930" s="51" t="str">
        <f t="shared" si="16"/>
        <v/>
      </c>
      <c r="H930" s="53"/>
    </row>
    <row r="931" spans="1:8" x14ac:dyDescent="0.35">
      <c r="A931" s="49"/>
      <c r="B931" s="49"/>
      <c r="C931" s="51" t="str">
        <f>IFERROR(VLOOKUP(B931,منتجات!$A$3:$C$350,2,0),"")</f>
        <v/>
      </c>
      <c r="D931" s="49" t="str">
        <f>IFERROR(VLOOKUP(B931,منتجات!$A$3:$C$350,3,0),"")</f>
        <v/>
      </c>
      <c r="E931" s="49"/>
      <c r="F931" s="49" t="str">
        <f>IFERROR(INDEX(منتجات!$G$3:$G$114,MATCH(B931,منتجات!$A$3:$A$115,0)),"")</f>
        <v/>
      </c>
      <c r="G931" s="51" t="str">
        <f t="shared" si="16"/>
        <v/>
      </c>
      <c r="H931" s="54"/>
    </row>
    <row r="932" spans="1:8" x14ac:dyDescent="0.35">
      <c r="A932" s="51"/>
      <c r="B932" s="51"/>
      <c r="C932" s="51" t="str">
        <f>IFERROR(VLOOKUP(B932,منتجات!$A$3:$C$350,2,0),"")</f>
        <v/>
      </c>
      <c r="D932" s="51" t="str">
        <f>IFERROR(VLOOKUP(B932,منتجات!$A$3:$C$350,3,0),"")</f>
        <v/>
      </c>
      <c r="E932" s="51"/>
      <c r="F932" s="51" t="str">
        <f>IFERROR(INDEX(منتجات!$G$3:$G$114,MATCH(B932,منتجات!$A$3:$A$115,0)),"")</f>
        <v/>
      </c>
      <c r="G932" s="51" t="str">
        <f t="shared" si="16"/>
        <v/>
      </c>
      <c r="H932" s="53"/>
    </row>
    <row r="933" spans="1:8" x14ac:dyDescent="0.35">
      <c r="A933" s="49"/>
      <c r="B933" s="49"/>
      <c r="C933" s="51" t="str">
        <f>IFERROR(VLOOKUP(B933,منتجات!$A$3:$C$350,2,0),"")</f>
        <v/>
      </c>
      <c r="D933" s="49" t="str">
        <f>IFERROR(VLOOKUP(B933,منتجات!$A$3:$C$350,3,0),"")</f>
        <v/>
      </c>
      <c r="E933" s="49"/>
      <c r="F933" s="49" t="str">
        <f>IFERROR(INDEX(منتجات!$G$3:$G$114,MATCH(B933,منتجات!$A$3:$A$115,0)),"")</f>
        <v/>
      </c>
      <c r="G933" s="51" t="str">
        <f t="shared" si="16"/>
        <v/>
      </c>
      <c r="H933" s="54"/>
    </row>
    <row r="934" spans="1:8" x14ac:dyDescent="0.35">
      <c r="A934" s="51"/>
      <c r="B934" s="51"/>
      <c r="C934" s="51" t="str">
        <f>IFERROR(VLOOKUP(B934,منتجات!$A$3:$C$350,2,0),"")</f>
        <v/>
      </c>
      <c r="D934" s="51" t="str">
        <f>IFERROR(VLOOKUP(B934,منتجات!$A$3:$C$350,3,0),"")</f>
        <v/>
      </c>
      <c r="E934" s="51"/>
      <c r="F934" s="51" t="str">
        <f>IFERROR(INDEX(منتجات!$G$3:$G$114,MATCH(B934,منتجات!$A$3:$A$115,0)),"")</f>
        <v/>
      </c>
      <c r="G934" s="51" t="str">
        <f t="shared" si="16"/>
        <v/>
      </c>
      <c r="H934" s="53"/>
    </row>
    <row r="935" spans="1:8" x14ac:dyDescent="0.35">
      <c r="A935" s="49"/>
      <c r="B935" s="49"/>
      <c r="C935" s="51" t="str">
        <f>IFERROR(VLOOKUP(B935,منتجات!$A$3:$C$350,2,0),"")</f>
        <v/>
      </c>
      <c r="D935" s="49" t="str">
        <f>IFERROR(VLOOKUP(B935,منتجات!$A$3:$C$350,3,0),"")</f>
        <v/>
      </c>
      <c r="E935" s="49"/>
      <c r="F935" s="49" t="str">
        <f>IFERROR(INDEX(منتجات!$G$3:$G$114,MATCH(B935,منتجات!$A$3:$A$115,0)),"")</f>
        <v/>
      </c>
      <c r="G935" s="51" t="str">
        <f t="shared" si="16"/>
        <v/>
      </c>
      <c r="H935" s="54"/>
    </row>
    <row r="936" spans="1:8" x14ac:dyDescent="0.35">
      <c r="A936" s="51"/>
      <c r="B936" s="51"/>
      <c r="C936" s="51" t="str">
        <f>IFERROR(VLOOKUP(B936,منتجات!$A$3:$C$350,2,0),"")</f>
        <v/>
      </c>
      <c r="D936" s="51" t="str">
        <f>IFERROR(VLOOKUP(B936,منتجات!$A$3:$C$350,3,0),"")</f>
        <v/>
      </c>
      <c r="E936" s="51"/>
      <c r="F936" s="51" t="str">
        <f>IFERROR(INDEX(منتجات!$G$3:$G$114,MATCH(B936,منتجات!$A$3:$A$115,0)),"")</f>
        <v/>
      </c>
      <c r="G936" s="51" t="str">
        <f t="shared" si="16"/>
        <v/>
      </c>
      <c r="H936" s="53"/>
    </row>
    <row r="937" spans="1:8" x14ac:dyDescent="0.35">
      <c r="A937" s="49"/>
      <c r="B937" s="49"/>
      <c r="C937" s="51" t="str">
        <f>IFERROR(VLOOKUP(B937,منتجات!$A$3:$C$350,2,0),"")</f>
        <v/>
      </c>
      <c r="D937" s="49" t="str">
        <f>IFERROR(VLOOKUP(B937,منتجات!$A$3:$C$350,3,0),"")</f>
        <v/>
      </c>
      <c r="E937" s="49"/>
      <c r="F937" s="49" t="str">
        <f>IFERROR(INDEX(منتجات!$G$3:$G$114,MATCH(B937,منتجات!$A$3:$A$115,0)),"")</f>
        <v/>
      </c>
      <c r="G937" s="51" t="str">
        <f t="shared" si="16"/>
        <v/>
      </c>
      <c r="H937" s="54"/>
    </row>
    <row r="938" spans="1:8" x14ac:dyDescent="0.35">
      <c r="A938" s="51"/>
      <c r="B938" s="51"/>
      <c r="C938" s="51" t="str">
        <f>IFERROR(VLOOKUP(B938,منتجات!$A$3:$C$350,2,0),"")</f>
        <v/>
      </c>
      <c r="D938" s="51" t="str">
        <f>IFERROR(VLOOKUP(B938,منتجات!$A$3:$C$350,3,0),"")</f>
        <v/>
      </c>
      <c r="E938" s="51"/>
      <c r="F938" s="51" t="str">
        <f>IFERROR(INDEX(منتجات!$G$3:$G$114,MATCH(B938,منتجات!$A$3:$A$115,0)),"")</f>
        <v/>
      </c>
      <c r="G938" s="51" t="str">
        <f t="shared" si="16"/>
        <v/>
      </c>
      <c r="H938" s="53"/>
    </row>
    <row r="939" spans="1:8" x14ac:dyDescent="0.35">
      <c r="A939" s="49"/>
      <c r="B939" s="49"/>
      <c r="C939" s="51" t="str">
        <f>IFERROR(VLOOKUP(B939,منتجات!$A$3:$C$350,2,0),"")</f>
        <v/>
      </c>
      <c r="D939" s="49" t="str">
        <f>IFERROR(VLOOKUP(B939,منتجات!$A$3:$C$350,3,0),"")</f>
        <v/>
      </c>
      <c r="E939" s="49"/>
      <c r="F939" s="49" t="str">
        <f>IFERROR(INDEX(منتجات!$G$3:$G$114,MATCH(B939,منتجات!$A$3:$A$115,0)),"")</f>
        <v/>
      </c>
      <c r="G939" s="51" t="str">
        <f t="shared" si="16"/>
        <v/>
      </c>
      <c r="H939" s="54"/>
    </row>
    <row r="940" spans="1:8" x14ac:dyDescent="0.35">
      <c r="A940" s="51"/>
      <c r="B940" s="51"/>
      <c r="C940" s="51" t="str">
        <f>IFERROR(VLOOKUP(B940,منتجات!$A$3:$C$350,2,0),"")</f>
        <v/>
      </c>
      <c r="D940" s="51" t="str">
        <f>IFERROR(VLOOKUP(B940,منتجات!$A$3:$C$350,3,0),"")</f>
        <v/>
      </c>
      <c r="E940" s="51"/>
      <c r="F940" s="51" t="str">
        <f>IFERROR(INDEX(منتجات!$G$3:$G$114,MATCH(B940,منتجات!$A$3:$A$115,0)),"")</f>
        <v/>
      </c>
      <c r="G940" s="51" t="str">
        <f t="shared" si="16"/>
        <v/>
      </c>
      <c r="H940" s="53"/>
    </row>
    <row r="941" spans="1:8" x14ac:dyDescent="0.35">
      <c r="A941" s="49"/>
      <c r="B941" s="49"/>
      <c r="C941" s="51" t="str">
        <f>IFERROR(VLOOKUP(B941,منتجات!$A$3:$C$350,2,0),"")</f>
        <v/>
      </c>
      <c r="D941" s="49" t="str">
        <f>IFERROR(VLOOKUP(B941,منتجات!$A$3:$C$350,3,0),"")</f>
        <v/>
      </c>
      <c r="E941" s="49"/>
      <c r="F941" s="49" t="str">
        <f>IFERROR(INDEX(منتجات!$G$3:$G$114,MATCH(B941,منتجات!$A$3:$A$115,0)),"")</f>
        <v/>
      </c>
      <c r="G941" s="51" t="str">
        <f t="shared" si="16"/>
        <v/>
      </c>
      <c r="H941" s="54"/>
    </row>
    <row r="942" spans="1:8" x14ac:dyDescent="0.35">
      <c r="A942" s="51"/>
      <c r="B942" s="51"/>
      <c r="C942" s="51" t="str">
        <f>IFERROR(VLOOKUP(B942,منتجات!$A$3:$C$350,2,0),"")</f>
        <v/>
      </c>
      <c r="D942" s="51" t="str">
        <f>IFERROR(VLOOKUP(B942,منتجات!$A$3:$C$350,3,0),"")</f>
        <v/>
      </c>
      <c r="E942" s="51"/>
      <c r="F942" s="51" t="str">
        <f>IFERROR(INDEX(منتجات!$G$3:$G$114,MATCH(B942,منتجات!$A$3:$A$115,0)),"")</f>
        <v/>
      </c>
      <c r="G942" s="51" t="str">
        <f t="shared" si="16"/>
        <v/>
      </c>
      <c r="H942" s="53"/>
    </row>
    <row r="943" spans="1:8" x14ac:dyDescent="0.35">
      <c r="A943" s="49"/>
      <c r="B943" s="49"/>
      <c r="C943" s="51" t="str">
        <f>IFERROR(VLOOKUP(B943,منتجات!$A$3:$C$350,2,0),"")</f>
        <v/>
      </c>
      <c r="D943" s="49" t="str">
        <f>IFERROR(VLOOKUP(B943,منتجات!$A$3:$C$350,3,0),"")</f>
        <v/>
      </c>
      <c r="E943" s="49"/>
      <c r="F943" s="49" t="str">
        <f>IFERROR(INDEX(منتجات!$G$3:$G$114,MATCH(B943,منتجات!$A$3:$A$115,0)),"")</f>
        <v/>
      </c>
      <c r="G943" s="51" t="str">
        <f t="shared" si="16"/>
        <v/>
      </c>
      <c r="H943" s="54"/>
    </row>
    <row r="944" spans="1:8" x14ac:dyDescent="0.35">
      <c r="A944" s="51"/>
      <c r="B944" s="51"/>
      <c r="C944" s="51" t="str">
        <f>IFERROR(VLOOKUP(B944,منتجات!$A$3:$C$350,2,0),"")</f>
        <v/>
      </c>
      <c r="D944" s="51" t="str">
        <f>IFERROR(VLOOKUP(B944,منتجات!$A$3:$C$350,3,0),"")</f>
        <v/>
      </c>
      <c r="E944" s="51"/>
      <c r="F944" s="51" t="str">
        <f>IFERROR(INDEX(منتجات!$G$3:$G$114,MATCH(B944,منتجات!$A$3:$A$115,0)),"")</f>
        <v/>
      </c>
      <c r="G944" s="51" t="str">
        <f t="shared" si="16"/>
        <v/>
      </c>
      <c r="H944" s="53"/>
    </row>
    <row r="945" spans="1:8" x14ac:dyDescent="0.35">
      <c r="A945" s="49"/>
      <c r="B945" s="49"/>
      <c r="C945" s="51" t="str">
        <f>IFERROR(VLOOKUP(B945,منتجات!$A$3:$C$350,2,0),"")</f>
        <v/>
      </c>
      <c r="D945" s="49" t="str">
        <f>IFERROR(VLOOKUP(B945,منتجات!$A$3:$C$350,3,0),"")</f>
        <v/>
      </c>
      <c r="E945" s="49"/>
      <c r="F945" s="49" t="str">
        <f>IFERROR(INDEX(منتجات!$G$3:$G$114,MATCH(B945,منتجات!$A$3:$A$115,0)),"")</f>
        <v/>
      </c>
      <c r="G945" s="51" t="str">
        <f t="shared" si="16"/>
        <v/>
      </c>
      <c r="H945" s="54"/>
    </row>
    <row r="946" spans="1:8" x14ac:dyDescent="0.35">
      <c r="A946" s="51"/>
      <c r="B946" s="51"/>
      <c r="C946" s="51" t="str">
        <f>IFERROR(VLOOKUP(B946,منتجات!$A$3:$C$350,2,0),"")</f>
        <v/>
      </c>
      <c r="D946" s="51" t="str">
        <f>IFERROR(VLOOKUP(B946,منتجات!$A$3:$C$350,3,0),"")</f>
        <v/>
      </c>
      <c r="E946" s="51"/>
      <c r="F946" s="51" t="str">
        <f>IFERROR(INDEX(منتجات!$G$3:$G$114,MATCH(B946,منتجات!$A$3:$A$115,0)),"")</f>
        <v/>
      </c>
      <c r="G946" s="51" t="str">
        <f t="shared" si="16"/>
        <v/>
      </c>
      <c r="H946" s="53"/>
    </row>
    <row r="947" spans="1:8" x14ac:dyDescent="0.35">
      <c r="A947" s="49"/>
      <c r="B947" s="49"/>
      <c r="C947" s="51" t="str">
        <f>IFERROR(VLOOKUP(B947,منتجات!$A$3:$C$350,2,0),"")</f>
        <v/>
      </c>
      <c r="D947" s="49" t="str">
        <f>IFERROR(VLOOKUP(B947,منتجات!$A$3:$C$350,3,0),"")</f>
        <v/>
      </c>
      <c r="E947" s="49"/>
      <c r="F947" s="49" t="str">
        <f>IFERROR(INDEX(منتجات!$G$3:$G$114,MATCH(B947,منتجات!$A$3:$A$115,0)),"")</f>
        <v/>
      </c>
      <c r="G947" s="51" t="str">
        <f t="shared" si="16"/>
        <v/>
      </c>
      <c r="H947" s="54"/>
    </row>
    <row r="948" spans="1:8" x14ac:dyDescent="0.35">
      <c r="A948" s="51"/>
      <c r="B948" s="51"/>
      <c r="C948" s="51" t="str">
        <f>IFERROR(VLOOKUP(B948,منتجات!$A$3:$C$350,2,0),"")</f>
        <v/>
      </c>
      <c r="D948" s="51" t="str">
        <f>IFERROR(VLOOKUP(B948,منتجات!$A$3:$C$350,3,0),"")</f>
        <v/>
      </c>
      <c r="E948" s="51"/>
      <c r="F948" s="51" t="str">
        <f>IFERROR(INDEX(منتجات!$G$3:$G$114,MATCH(B948,منتجات!$A$3:$A$115,0)),"")</f>
        <v/>
      </c>
      <c r="G948" s="51" t="str">
        <f t="shared" si="16"/>
        <v/>
      </c>
      <c r="H948" s="53"/>
    </row>
    <row r="949" spans="1:8" x14ac:dyDescent="0.35">
      <c r="A949" s="49"/>
      <c r="B949" s="49"/>
      <c r="C949" s="51" t="str">
        <f>IFERROR(VLOOKUP(B949,منتجات!$A$3:$C$350,2,0),"")</f>
        <v/>
      </c>
      <c r="D949" s="49" t="str">
        <f>IFERROR(VLOOKUP(B949,منتجات!$A$3:$C$350,3,0),"")</f>
        <v/>
      </c>
      <c r="E949" s="49"/>
      <c r="F949" s="49" t="str">
        <f>IFERROR(INDEX(منتجات!$G$3:$G$114,MATCH(B949,منتجات!$A$3:$A$115,0)),"")</f>
        <v/>
      </c>
      <c r="G949" s="51" t="str">
        <f t="shared" si="16"/>
        <v/>
      </c>
      <c r="H949" s="54"/>
    </row>
    <row r="950" spans="1:8" x14ac:dyDescent="0.35">
      <c r="A950" s="51"/>
      <c r="B950" s="51"/>
      <c r="C950" s="51" t="str">
        <f>IFERROR(VLOOKUP(B950,منتجات!$A$3:$C$350,2,0),"")</f>
        <v/>
      </c>
      <c r="D950" s="51" t="str">
        <f>IFERROR(VLOOKUP(B950,منتجات!$A$3:$C$350,3,0),"")</f>
        <v/>
      </c>
      <c r="E950" s="51"/>
      <c r="F950" s="51" t="str">
        <f>IFERROR(INDEX(منتجات!$G$3:$G$114,MATCH(B950,منتجات!$A$3:$A$115,0)),"")</f>
        <v/>
      </c>
      <c r="G950" s="51" t="str">
        <f t="shared" si="16"/>
        <v/>
      </c>
      <c r="H950" s="53"/>
    </row>
    <row r="951" spans="1:8" x14ac:dyDescent="0.35">
      <c r="A951" s="49"/>
      <c r="B951" s="49"/>
      <c r="C951" s="51" t="str">
        <f>IFERROR(VLOOKUP(B951,منتجات!$A$3:$C$350,2,0),"")</f>
        <v/>
      </c>
      <c r="D951" s="49" t="str">
        <f>IFERROR(VLOOKUP(B951,منتجات!$A$3:$C$350,3,0),"")</f>
        <v/>
      </c>
      <c r="E951" s="49"/>
      <c r="F951" s="49" t="str">
        <f>IFERROR(INDEX(منتجات!$G$3:$G$114,MATCH(B951,منتجات!$A$3:$A$115,0)),"")</f>
        <v/>
      </c>
      <c r="G951" s="51" t="str">
        <f t="shared" si="16"/>
        <v/>
      </c>
      <c r="H951" s="54"/>
    </row>
    <row r="952" spans="1:8" x14ac:dyDescent="0.35">
      <c r="A952" s="51"/>
      <c r="B952" s="51"/>
      <c r="C952" s="51" t="str">
        <f>IFERROR(VLOOKUP(B952,منتجات!$A$3:$C$350,2,0),"")</f>
        <v/>
      </c>
      <c r="D952" s="51" t="str">
        <f>IFERROR(VLOOKUP(B952,منتجات!$A$3:$C$350,3,0),"")</f>
        <v/>
      </c>
      <c r="E952" s="51"/>
      <c r="F952" s="51" t="str">
        <f>IFERROR(INDEX(منتجات!$G$3:$G$114,MATCH(B952,منتجات!$A$3:$A$115,0)),"")</f>
        <v/>
      </c>
      <c r="G952" s="51" t="str">
        <f t="shared" si="16"/>
        <v/>
      </c>
      <c r="H952" s="53"/>
    </row>
    <row r="953" spans="1:8" x14ac:dyDescent="0.35">
      <c r="A953" s="49"/>
      <c r="B953" s="49"/>
      <c r="C953" s="51" t="str">
        <f>IFERROR(VLOOKUP(B953,منتجات!$A$3:$C$350,2,0),"")</f>
        <v/>
      </c>
      <c r="D953" s="49" t="str">
        <f>IFERROR(VLOOKUP(B953,منتجات!$A$3:$C$350,3,0),"")</f>
        <v/>
      </c>
      <c r="E953" s="49"/>
      <c r="F953" s="49" t="str">
        <f>IFERROR(INDEX(منتجات!$G$3:$G$114,MATCH(B953,منتجات!$A$3:$A$115,0)),"")</f>
        <v/>
      </c>
      <c r="G953" s="51" t="str">
        <f t="shared" si="16"/>
        <v/>
      </c>
      <c r="H953" s="54"/>
    </row>
    <row r="954" spans="1:8" x14ac:dyDescent="0.35">
      <c r="A954" s="51"/>
      <c r="B954" s="51"/>
      <c r="C954" s="51" t="str">
        <f>IFERROR(VLOOKUP(B954,منتجات!$A$3:$C$350,2,0),"")</f>
        <v/>
      </c>
      <c r="D954" s="51" t="str">
        <f>IFERROR(VLOOKUP(B954,منتجات!$A$3:$C$350,3,0),"")</f>
        <v/>
      </c>
      <c r="E954" s="51"/>
      <c r="F954" s="51" t="str">
        <f>IFERROR(INDEX(منتجات!$G$3:$G$114,MATCH(B954,منتجات!$A$3:$A$115,0)),"")</f>
        <v/>
      </c>
      <c r="G954" s="51" t="str">
        <f t="shared" si="16"/>
        <v/>
      </c>
      <c r="H954" s="53"/>
    </row>
    <row r="955" spans="1:8" x14ac:dyDescent="0.35">
      <c r="A955" s="49"/>
      <c r="B955" s="49"/>
      <c r="C955" s="51" t="str">
        <f>IFERROR(VLOOKUP(B955,منتجات!$A$3:$C$350,2,0),"")</f>
        <v/>
      </c>
      <c r="D955" s="49" t="str">
        <f>IFERROR(VLOOKUP(B955,منتجات!$A$3:$C$350,3,0),"")</f>
        <v/>
      </c>
      <c r="E955" s="49"/>
      <c r="F955" s="49" t="str">
        <f>IFERROR(INDEX(منتجات!$G$3:$G$114,MATCH(B955,منتجات!$A$3:$A$115,0)),"")</f>
        <v/>
      </c>
      <c r="G955" s="51" t="str">
        <f t="shared" si="16"/>
        <v/>
      </c>
      <c r="H955" s="54"/>
    </row>
    <row r="956" spans="1:8" x14ac:dyDescent="0.35">
      <c r="A956" s="51"/>
      <c r="B956" s="51"/>
      <c r="C956" s="51" t="str">
        <f>IFERROR(VLOOKUP(B956,منتجات!$A$3:$C$350,2,0),"")</f>
        <v/>
      </c>
      <c r="D956" s="51" t="str">
        <f>IFERROR(VLOOKUP(B956,منتجات!$A$3:$C$350,3,0),"")</f>
        <v/>
      </c>
      <c r="E956" s="51"/>
      <c r="F956" s="51" t="str">
        <f>IFERROR(INDEX(منتجات!$G$3:$G$114,MATCH(B956,منتجات!$A$3:$A$115,0)),"")</f>
        <v/>
      </c>
      <c r="G956" s="51" t="str">
        <f t="shared" si="16"/>
        <v/>
      </c>
      <c r="H956" s="53"/>
    </row>
    <row r="957" spans="1:8" x14ac:dyDescent="0.35">
      <c r="A957" s="49"/>
      <c r="B957" s="49"/>
      <c r="C957" s="51" t="str">
        <f>IFERROR(VLOOKUP(B957,منتجات!$A$3:$C$350,2,0),"")</f>
        <v/>
      </c>
      <c r="D957" s="49" t="str">
        <f>IFERROR(VLOOKUP(B957,منتجات!$A$3:$C$350,3,0),"")</f>
        <v/>
      </c>
      <c r="E957" s="49"/>
      <c r="F957" s="49" t="str">
        <f>IFERROR(INDEX(منتجات!$G$3:$G$114,MATCH(B957,منتجات!$A$3:$A$115,0)),"")</f>
        <v/>
      </c>
      <c r="G957" s="51" t="str">
        <f t="shared" si="16"/>
        <v/>
      </c>
      <c r="H957" s="54"/>
    </row>
    <row r="958" spans="1:8" x14ac:dyDescent="0.35">
      <c r="A958" s="51"/>
      <c r="B958" s="51"/>
      <c r="C958" s="51" t="str">
        <f>IFERROR(VLOOKUP(B958,منتجات!$A$3:$C$350,2,0),"")</f>
        <v/>
      </c>
      <c r="D958" s="51" t="str">
        <f>IFERROR(VLOOKUP(B958,منتجات!$A$3:$C$350,3,0),"")</f>
        <v/>
      </c>
      <c r="E958" s="51"/>
      <c r="F958" s="51" t="str">
        <f>IFERROR(INDEX(منتجات!$G$3:$G$114,MATCH(B958,منتجات!$A$3:$A$115,0)),"")</f>
        <v/>
      </c>
      <c r="G958" s="51" t="str">
        <f t="shared" si="16"/>
        <v/>
      </c>
      <c r="H958" s="53"/>
    </row>
    <row r="959" spans="1:8" x14ac:dyDescent="0.35">
      <c r="A959" s="49"/>
      <c r="B959" s="49"/>
      <c r="C959" s="51" t="str">
        <f>IFERROR(VLOOKUP(B959,منتجات!$A$3:$C$350,2,0),"")</f>
        <v/>
      </c>
      <c r="D959" s="49" t="str">
        <f>IFERROR(VLOOKUP(B959,منتجات!$A$3:$C$350,3,0),"")</f>
        <v/>
      </c>
      <c r="E959" s="49"/>
      <c r="F959" s="49" t="str">
        <f>IFERROR(INDEX(منتجات!$G$3:$G$114,MATCH(B959,منتجات!$A$3:$A$115,0)),"")</f>
        <v/>
      </c>
      <c r="G959" s="51" t="str">
        <f t="shared" si="16"/>
        <v/>
      </c>
      <c r="H959" s="54"/>
    </row>
    <row r="960" spans="1:8" x14ac:dyDescent="0.35">
      <c r="A960" s="51"/>
      <c r="B960" s="51"/>
      <c r="C960" s="51" t="str">
        <f>IFERROR(VLOOKUP(B960,منتجات!$A$3:$C$350,2,0),"")</f>
        <v/>
      </c>
      <c r="D960" s="51" t="str">
        <f>IFERROR(VLOOKUP(B960,منتجات!$A$3:$C$350,3,0),"")</f>
        <v/>
      </c>
      <c r="E960" s="51"/>
      <c r="F960" s="51" t="str">
        <f>IFERROR(INDEX(منتجات!$G$3:$G$114,MATCH(B960,منتجات!$A$3:$A$115,0)),"")</f>
        <v/>
      </c>
      <c r="G960" s="51" t="str">
        <f t="shared" si="16"/>
        <v/>
      </c>
      <c r="H960" s="53"/>
    </row>
    <row r="961" spans="1:8" x14ac:dyDescent="0.35">
      <c r="A961" s="49"/>
      <c r="B961" s="49"/>
      <c r="C961" s="51" t="str">
        <f>IFERROR(VLOOKUP(B961,منتجات!$A$3:$C$350,2,0),"")</f>
        <v/>
      </c>
      <c r="D961" s="49" t="str">
        <f>IFERROR(VLOOKUP(B961,منتجات!$A$3:$C$350,3,0),"")</f>
        <v/>
      </c>
      <c r="E961" s="49"/>
      <c r="F961" s="49" t="str">
        <f>IFERROR(INDEX(منتجات!$G$3:$G$114,MATCH(B961,منتجات!$A$3:$A$115,0)),"")</f>
        <v/>
      </c>
      <c r="G961" s="51" t="str">
        <f t="shared" si="16"/>
        <v/>
      </c>
      <c r="H961" s="54"/>
    </row>
    <row r="962" spans="1:8" x14ac:dyDescent="0.35">
      <c r="A962" s="51"/>
      <c r="B962" s="51"/>
      <c r="C962" s="51" t="str">
        <f>IFERROR(VLOOKUP(B962,منتجات!$A$3:$C$350,2,0),"")</f>
        <v/>
      </c>
      <c r="D962" s="51" t="str">
        <f>IFERROR(VLOOKUP(B962,منتجات!$A$3:$C$350,3,0),"")</f>
        <v/>
      </c>
      <c r="E962" s="51"/>
      <c r="F962" s="51" t="str">
        <f>IFERROR(INDEX(منتجات!$G$3:$G$114,MATCH(B962,منتجات!$A$3:$A$115,0)),"")</f>
        <v/>
      </c>
      <c r="G962" s="51" t="str">
        <f t="shared" si="16"/>
        <v/>
      </c>
      <c r="H962" s="53"/>
    </row>
    <row r="963" spans="1:8" x14ac:dyDescent="0.35">
      <c r="A963" s="49"/>
      <c r="B963" s="49"/>
      <c r="C963" s="51" t="str">
        <f>IFERROR(VLOOKUP(B963,منتجات!$A$3:$C$350,2,0),"")</f>
        <v/>
      </c>
      <c r="D963" s="49" t="str">
        <f>IFERROR(VLOOKUP(B963,منتجات!$A$3:$C$350,3,0),"")</f>
        <v/>
      </c>
      <c r="E963" s="49"/>
      <c r="F963" s="49" t="str">
        <f>IFERROR(INDEX(منتجات!$G$3:$G$114,MATCH(B963,منتجات!$A$3:$A$115,0)),"")</f>
        <v/>
      </c>
      <c r="G963" s="51" t="str">
        <f t="shared" si="16"/>
        <v/>
      </c>
      <c r="H963" s="54"/>
    </row>
    <row r="964" spans="1:8" x14ac:dyDescent="0.35">
      <c r="A964" s="51"/>
      <c r="B964" s="51"/>
      <c r="C964" s="51" t="str">
        <f>IFERROR(VLOOKUP(B964,منتجات!$A$3:$C$350,2,0),"")</f>
        <v/>
      </c>
      <c r="D964" s="51" t="str">
        <f>IFERROR(VLOOKUP(B964,منتجات!$A$3:$C$350,3,0),"")</f>
        <v/>
      </c>
      <c r="E964" s="51"/>
      <c r="F964" s="51" t="str">
        <f>IFERROR(INDEX(منتجات!$G$3:$G$114,MATCH(B964,منتجات!$A$3:$A$115,0)),"")</f>
        <v/>
      </c>
      <c r="G964" s="51" t="str">
        <f t="shared" si="16"/>
        <v/>
      </c>
      <c r="H964" s="53"/>
    </row>
    <row r="965" spans="1:8" x14ac:dyDescent="0.35">
      <c r="A965" s="49"/>
      <c r="B965" s="49"/>
      <c r="C965" s="51" t="str">
        <f>IFERROR(VLOOKUP(B965,منتجات!$A$3:$C$350,2,0),"")</f>
        <v/>
      </c>
      <c r="D965" s="49" t="str">
        <f>IFERROR(VLOOKUP(B965,منتجات!$A$3:$C$350,3,0),"")</f>
        <v/>
      </c>
      <c r="E965" s="49"/>
      <c r="F965" s="49" t="str">
        <f>IFERROR(INDEX(منتجات!$G$3:$G$114,MATCH(B965,منتجات!$A$3:$A$115,0)),"")</f>
        <v/>
      </c>
      <c r="G965" s="51" t="str">
        <f t="shared" si="16"/>
        <v/>
      </c>
      <c r="H965" s="54"/>
    </row>
    <row r="966" spans="1:8" x14ac:dyDescent="0.35">
      <c r="A966" s="51"/>
      <c r="B966" s="51"/>
      <c r="C966" s="51" t="str">
        <f>IFERROR(VLOOKUP(B966,منتجات!$A$3:$C$350,2,0),"")</f>
        <v/>
      </c>
      <c r="D966" s="51" t="str">
        <f>IFERROR(VLOOKUP(B966,منتجات!$A$3:$C$350,3,0),"")</f>
        <v/>
      </c>
      <c r="E966" s="51"/>
      <c r="F966" s="51" t="str">
        <f>IFERROR(INDEX(منتجات!$G$3:$G$114,MATCH(B966,منتجات!$A$3:$A$115,0)),"")</f>
        <v/>
      </c>
      <c r="G966" s="51" t="str">
        <f t="shared" si="16"/>
        <v/>
      </c>
      <c r="H966" s="53"/>
    </row>
    <row r="967" spans="1:8" x14ac:dyDescent="0.35">
      <c r="A967" s="49"/>
      <c r="B967" s="49"/>
      <c r="C967" s="51" t="str">
        <f>IFERROR(VLOOKUP(B967,منتجات!$A$3:$C$350,2,0),"")</f>
        <v/>
      </c>
      <c r="D967" s="49" t="str">
        <f>IFERROR(VLOOKUP(B967,منتجات!$A$3:$C$350,3,0),"")</f>
        <v/>
      </c>
      <c r="E967" s="49"/>
      <c r="F967" s="49" t="str">
        <f>IFERROR(INDEX(منتجات!$G$3:$G$114,MATCH(B967,منتجات!$A$3:$A$115,0)),"")</f>
        <v/>
      </c>
      <c r="G967" s="51" t="str">
        <f t="shared" si="16"/>
        <v/>
      </c>
      <c r="H967" s="54"/>
    </row>
    <row r="968" spans="1:8" x14ac:dyDescent="0.35">
      <c r="A968" s="51"/>
      <c r="B968" s="51"/>
      <c r="C968" s="51" t="str">
        <f>IFERROR(VLOOKUP(B968,منتجات!$A$3:$C$350,2,0),"")</f>
        <v/>
      </c>
      <c r="D968" s="51" t="str">
        <f>IFERROR(VLOOKUP(B968,منتجات!$A$3:$C$350,3,0),"")</f>
        <v/>
      </c>
      <c r="E968" s="51"/>
      <c r="F968" s="51" t="str">
        <f>IFERROR(INDEX(منتجات!$G$3:$G$114,MATCH(B968,منتجات!$A$3:$A$115,0)),"")</f>
        <v/>
      </c>
      <c r="G968" s="51" t="str">
        <f t="shared" si="16"/>
        <v/>
      </c>
      <c r="H968" s="53"/>
    </row>
    <row r="969" spans="1:8" x14ac:dyDescent="0.35">
      <c r="A969" s="49"/>
      <c r="B969" s="49"/>
      <c r="C969" s="51" t="str">
        <f>IFERROR(VLOOKUP(B969,منتجات!$A$3:$C$350,2,0),"")</f>
        <v/>
      </c>
      <c r="D969" s="49" t="str">
        <f>IFERROR(VLOOKUP(B969,منتجات!$A$3:$C$350,3,0),"")</f>
        <v/>
      </c>
      <c r="E969" s="49"/>
      <c r="F969" s="49" t="str">
        <f>IFERROR(INDEX(منتجات!$G$3:$G$114,MATCH(B969,منتجات!$A$3:$A$115,0)),"")</f>
        <v/>
      </c>
      <c r="G969" s="51" t="str">
        <f t="shared" si="16"/>
        <v/>
      </c>
      <c r="H969" s="54"/>
    </row>
    <row r="970" spans="1:8" x14ac:dyDescent="0.35">
      <c r="A970" s="51"/>
      <c r="B970" s="51"/>
      <c r="C970" s="51" t="str">
        <f>IFERROR(VLOOKUP(B970,منتجات!$A$3:$C$350,2,0),"")</f>
        <v/>
      </c>
      <c r="D970" s="51" t="str">
        <f>IFERROR(VLOOKUP(B970,منتجات!$A$3:$C$350,3,0),"")</f>
        <v/>
      </c>
      <c r="E970" s="51"/>
      <c r="F970" s="51" t="str">
        <f>IFERROR(INDEX(منتجات!$G$3:$G$114,MATCH(B970,منتجات!$A$3:$A$115,0)),"")</f>
        <v/>
      </c>
      <c r="G970" s="51" t="str">
        <f t="shared" si="16"/>
        <v/>
      </c>
      <c r="H970" s="53"/>
    </row>
    <row r="971" spans="1:8" x14ac:dyDescent="0.35">
      <c r="A971" s="49"/>
      <c r="B971" s="49"/>
      <c r="C971" s="51" t="str">
        <f>IFERROR(VLOOKUP(B971,منتجات!$A$3:$C$350,2,0),"")</f>
        <v/>
      </c>
      <c r="D971" s="49" t="str">
        <f>IFERROR(VLOOKUP(B971,منتجات!$A$3:$C$350,3,0),"")</f>
        <v/>
      </c>
      <c r="E971" s="49"/>
      <c r="F971" s="49" t="str">
        <f>IFERROR(INDEX(منتجات!$G$3:$G$114,MATCH(B971,منتجات!$A$3:$A$115,0)),"")</f>
        <v/>
      </c>
      <c r="G971" s="51" t="str">
        <f t="shared" si="16"/>
        <v/>
      </c>
      <c r="H971" s="54"/>
    </row>
    <row r="972" spans="1:8" x14ac:dyDescent="0.35">
      <c r="A972" s="51"/>
      <c r="B972" s="51"/>
      <c r="C972" s="51" t="str">
        <f>IFERROR(VLOOKUP(B972,منتجات!$A$3:$C$350,2,0),"")</f>
        <v/>
      </c>
      <c r="D972" s="51" t="str">
        <f>IFERROR(VLOOKUP(B972,منتجات!$A$3:$C$350,3,0),"")</f>
        <v/>
      </c>
      <c r="E972" s="51"/>
      <c r="F972" s="51" t="str">
        <f>IFERROR(INDEX(منتجات!$G$3:$G$114,MATCH(B972,منتجات!$A$3:$A$115,0)),"")</f>
        <v/>
      </c>
      <c r="G972" s="51" t="str">
        <f t="shared" si="16"/>
        <v/>
      </c>
      <c r="H972" s="53"/>
    </row>
    <row r="973" spans="1:8" x14ac:dyDescent="0.35">
      <c r="A973" s="49"/>
      <c r="B973" s="49"/>
      <c r="C973" s="51" t="str">
        <f>IFERROR(VLOOKUP(B973,منتجات!$A$3:$C$350,2,0),"")</f>
        <v/>
      </c>
      <c r="D973" s="49" t="str">
        <f>IFERROR(VLOOKUP(B973,منتجات!$A$3:$C$350,3,0),"")</f>
        <v/>
      </c>
      <c r="E973" s="49"/>
      <c r="F973" s="49" t="str">
        <f>IFERROR(INDEX(منتجات!$G$3:$G$114,MATCH(B973,منتجات!$A$3:$A$115,0)),"")</f>
        <v/>
      </c>
      <c r="G973" s="51" t="str">
        <f t="shared" si="16"/>
        <v/>
      </c>
      <c r="H973" s="54"/>
    </row>
    <row r="974" spans="1:8" x14ac:dyDescent="0.35">
      <c r="A974" s="51"/>
      <c r="B974" s="51"/>
      <c r="C974" s="51" t="str">
        <f>IFERROR(VLOOKUP(B974,منتجات!$A$3:$C$350,2,0),"")</f>
        <v/>
      </c>
      <c r="D974" s="51" t="str">
        <f>IFERROR(VLOOKUP(B974,منتجات!$A$3:$C$350,3,0),"")</f>
        <v/>
      </c>
      <c r="E974" s="51"/>
      <c r="F974" s="51" t="str">
        <f>IFERROR(INDEX(منتجات!$G$3:$G$114,MATCH(B974,منتجات!$A$3:$A$115,0)),"")</f>
        <v/>
      </c>
      <c r="G974" s="51" t="str">
        <f t="shared" ref="G974:G1037" si="17">IFERROR(E974*F974*D974,"")</f>
        <v/>
      </c>
      <c r="H974" s="53"/>
    </row>
    <row r="975" spans="1:8" x14ac:dyDescent="0.35">
      <c r="A975" s="49"/>
      <c r="B975" s="49"/>
      <c r="C975" s="51" t="str">
        <f>IFERROR(VLOOKUP(B975,منتجات!$A$3:$C$350,2,0),"")</f>
        <v/>
      </c>
      <c r="D975" s="49" t="str">
        <f>IFERROR(VLOOKUP(B975,منتجات!$A$3:$C$350,3,0),"")</f>
        <v/>
      </c>
      <c r="E975" s="49"/>
      <c r="F975" s="49" t="str">
        <f>IFERROR(INDEX(منتجات!$G$3:$G$114,MATCH(B975,منتجات!$A$3:$A$115,0)),"")</f>
        <v/>
      </c>
      <c r="G975" s="51" t="str">
        <f t="shared" si="17"/>
        <v/>
      </c>
      <c r="H975" s="54"/>
    </row>
    <row r="976" spans="1:8" x14ac:dyDescent="0.35">
      <c r="A976" s="51"/>
      <c r="B976" s="51"/>
      <c r="C976" s="51" t="str">
        <f>IFERROR(VLOOKUP(B976,منتجات!$A$3:$C$350,2,0),"")</f>
        <v/>
      </c>
      <c r="D976" s="51" t="str">
        <f>IFERROR(VLOOKUP(B976,منتجات!$A$3:$C$350,3,0),"")</f>
        <v/>
      </c>
      <c r="E976" s="51"/>
      <c r="F976" s="51" t="str">
        <f>IFERROR(INDEX(منتجات!$G$3:$G$114,MATCH(B976,منتجات!$A$3:$A$115,0)),"")</f>
        <v/>
      </c>
      <c r="G976" s="51" t="str">
        <f t="shared" si="17"/>
        <v/>
      </c>
      <c r="H976" s="53"/>
    </row>
    <row r="977" spans="1:8" x14ac:dyDescent="0.35">
      <c r="A977" s="49"/>
      <c r="B977" s="49"/>
      <c r="C977" s="51" t="str">
        <f>IFERROR(VLOOKUP(B977,منتجات!$A$3:$C$350,2,0),"")</f>
        <v/>
      </c>
      <c r="D977" s="49" t="str">
        <f>IFERROR(VLOOKUP(B977,منتجات!$A$3:$C$350,3,0),"")</f>
        <v/>
      </c>
      <c r="E977" s="49"/>
      <c r="F977" s="49" t="str">
        <f>IFERROR(INDEX(منتجات!$G$3:$G$114,MATCH(B977,منتجات!$A$3:$A$115,0)),"")</f>
        <v/>
      </c>
      <c r="G977" s="51" t="str">
        <f t="shared" si="17"/>
        <v/>
      </c>
      <c r="H977" s="54"/>
    </row>
    <row r="978" spans="1:8" x14ac:dyDescent="0.35">
      <c r="A978" s="51"/>
      <c r="B978" s="51"/>
      <c r="C978" s="51" t="str">
        <f>IFERROR(VLOOKUP(B978,منتجات!$A$3:$C$350,2,0),"")</f>
        <v/>
      </c>
      <c r="D978" s="51" t="str">
        <f>IFERROR(VLOOKUP(B978,منتجات!$A$3:$C$350,3,0),"")</f>
        <v/>
      </c>
      <c r="E978" s="51"/>
      <c r="F978" s="51" t="str">
        <f>IFERROR(INDEX(منتجات!$G$3:$G$114,MATCH(B978,منتجات!$A$3:$A$115,0)),"")</f>
        <v/>
      </c>
      <c r="G978" s="51" t="str">
        <f t="shared" si="17"/>
        <v/>
      </c>
      <c r="H978" s="53"/>
    </row>
    <row r="979" spans="1:8" x14ac:dyDescent="0.35">
      <c r="A979" s="49"/>
      <c r="B979" s="49"/>
      <c r="C979" s="51" t="str">
        <f>IFERROR(VLOOKUP(B979,منتجات!$A$3:$C$350,2,0),"")</f>
        <v/>
      </c>
      <c r="D979" s="49" t="str">
        <f>IFERROR(VLOOKUP(B979,منتجات!$A$3:$C$350,3,0),"")</f>
        <v/>
      </c>
      <c r="E979" s="49"/>
      <c r="F979" s="49" t="str">
        <f>IFERROR(INDEX(منتجات!$G$3:$G$114,MATCH(B979,منتجات!$A$3:$A$115,0)),"")</f>
        <v/>
      </c>
      <c r="G979" s="51" t="str">
        <f t="shared" si="17"/>
        <v/>
      </c>
      <c r="H979" s="54"/>
    </row>
    <row r="980" spans="1:8" x14ac:dyDescent="0.35">
      <c r="A980" s="51"/>
      <c r="B980" s="51"/>
      <c r="C980" s="51" t="str">
        <f>IFERROR(VLOOKUP(B980,منتجات!$A$3:$C$350,2,0),"")</f>
        <v/>
      </c>
      <c r="D980" s="51" t="str">
        <f>IFERROR(VLOOKUP(B980,منتجات!$A$3:$C$350,3,0),"")</f>
        <v/>
      </c>
      <c r="E980" s="51"/>
      <c r="F980" s="51" t="str">
        <f>IFERROR(INDEX(منتجات!$G$3:$G$114,MATCH(B980,منتجات!$A$3:$A$115,0)),"")</f>
        <v/>
      </c>
      <c r="G980" s="51" t="str">
        <f t="shared" si="17"/>
        <v/>
      </c>
      <c r="H980" s="53"/>
    </row>
    <row r="981" spans="1:8" x14ac:dyDescent="0.35">
      <c r="A981" s="49"/>
      <c r="B981" s="49"/>
      <c r="C981" s="51" t="str">
        <f>IFERROR(VLOOKUP(B981,منتجات!$A$3:$C$350,2,0),"")</f>
        <v/>
      </c>
      <c r="D981" s="49" t="str">
        <f>IFERROR(VLOOKUP(B981,منتجات!$A$3:$C$350,3,0),"")</f>
        <v/>
      </c>
      <c r="E981" s="49"/>
      <c r="F981" s="49" t="str">
        <f>IFERROR(INDEX(منتجات!$G$3:$G$114,MATCH(B981,منتجات!$A$3:$A$115,0)),"")</f>
        <v/>
      </c>
      <c r="G981" s="51" t="str">
        <f t="shared" si="17"/>
        <v/>
      </c>
      <c r="H981" s="54"/>
    </row>
    <row r="982" spans="1:8" x14ac:dyDescent="0.35">
      <c r="A982" s="51"/>
      <c r="B982" s="51"/>
      <c r="C982" s="51" t="str">
        <f>IFERROR(VLOOKUP(B982,منتجات!$A$3:$C$350,2,0),"")</f>
        <v/>
      </c>
      <c r="D982" s="51" t="str">
        <f>IFERROR(VLOOKUP(B982,منتجات!$A$3:$C$350,3,0),"")</f>
        <v/>
      </c>
      <c r="E982" s="51"/>
      <c r="F982" s="51" t="str">
        <f>IFERROR(INDEX(منتجات!$G$3:$G$114,MATCH(B982,منتجات!$A$3:$A$115,0)),"")</f>
        <v/>
      </c>
      <c r="G982" s="51" t="str">
        <f t="shared" si="17"/>
        <v/>
      </c>
      <c r="H982" s="53"/>
    </row>
    <row r="983" spans="1:8" x14ac:dyDescent="0.35">
      <c r="A983" s="49"/>
      <c r="B983" s="49"/>
      <c r="C983" s="51" t="str">
        <f>IFERROR(VLOOKUP(B983,منتجات!$A$3:$C$350,2,0),"")</f>
        <v/>
      </c>
      <c r="D983" s="49" t="str">
        <f>IFERROR(VLOOKUP(B983,منتجات!$A$3:$C$350,3,0),"")</f>
        <v/>
      </c>
      <c r="E983" s="49"/>
      <c r="F983" s="49" t="str">
        <f>IFERROR(INDEX(منتجات!$G$3:$G$114,MATCH(B983,منتجات!$A$3:$A$115,0)),"")</f>
        <v/>
      </c>
      <c r="G983" s="51" t="str">
        <f t="shared" si="17"/>
        <v/>
      </c>
      <c r="H983" s="54"/>
    </row>
    <row r="984" spans="1:8" x14ac:dyDescent="0.35">
      <c r="A984" s="51"/>
      <c r="B984" s="51"/>
      <c r="C984" s="51" t="str">
        <f>IFERROR(VLOOKUP(B984,منتجات!$A$3:$C$350,2,0),"")</f>
        <v/>
      </c>
      <c r="D984" s="51" t="str">
        <f>IFERROR(VLOOKUP(B984,منتجات!$A$3:$C$350,3,0),"")</f>
        <v/>
      </c>
      <c r="E984" s="51"/>
      <c r="F984" s="51" t="str">
        <f>IFERROR(INDEX(منتجات!$G$3:$G$114,MATCH(B984,منتجات!$A$3:$A$115,0)),"")</f>
        <v/>
      </c>
      <c r="G984" s="51" t="str">
        <f t="shared" si="17"/>
        <v/>
      </c>
      <c r="H984" s="53"/>
    </row>
    <row r="985" spans="1:8" x14ac:dyDescent="0.35">
      <c r="A985" s="49"/>
      <c r="B985" s="49"/>
      <c r="C985" s="51" t="str">
        <f>IFERROR(VLOOKUP(B985,منتجات!$A$3:$C$350,2,0),"")</f>
        <v/>
      </c>
      <c r="D985" s="49" t="str">
        <f>IFERROR(VLOOKUP(B985,منتجات!$A$3:$C$350,3,0),"")</f>
        <v/>
      </c>
      <c r="E985" s="49"/>
      <c r="F985" s="49" t="str">
        <f>IFERROR(INDEX(منتجات!$G$3:$G$114,MATCH(B985,منتجات!$A$3:$A$115,0)),"")</f>
        <v/>
      </c>
      <c r="G985" s="51" t="str">
        <f t="shared" si="17"/>
        <v/>
      </c>
      <c r="H985" s="54"/>
    </row>
    <row r="986" spans="1:8" x14ac:dyDescent="0.35">
      <c r="A986" s="51"/>
      <c r="B986" s="51"/>
      <c r="C986" s="51" t="str">
        <f>IFERROR(VLOOKUP(B986,منتجات!$A$3:$C$350,2,0),"")</f>
        <v/>
      </c>
      <c r="D986" s="51" t="str">
        <f>IFERROR(VLOOKUP(B986,منتجات!$A$3:$C$350,3,0),"")</f>
        <v/>
      </c>
      <c r="E986" s="51"/>
      <c r="F986" s="51" t="str">
        <f>IFERROR(INDEX(منتجات!$G$3:$G$114,MATCH(B986,منتجات!$A$3:$A$115,0)),"")</f>
        <v/>
      </c>
      <c r="G986" s="51" t="str">
        <f t="shared" si="17"/>
        <v/>
      </c>
      <c r="H986" s="53"/>
    </row>
    <row r="987" spans="1:8" x14ac:dyDescent="0.35">
      <c r="A987" s="49"/>
      <c r="B987" s="49"/>
      <c r="C987" s="51" t="str">
        <f>IFERROR(VLOOKUP(B987,منتجات!$A$3:$C$350,2,0),"")</f>
        <v/>
      </c>
      <c r="D987" s="49" t="str">
        <f>IFERROR(VLOOKUP(B987,منتجات!$A$3:$C$350,3,0),"")</f>
        <v/>
      </c>
      <c r="E987" s="49"/>
      <c r="F987" s="49" t="str">
        <f>IFERROR(INDEX(منتجات!$G$3:$G$114,MATCH(B987,منتجات!$A$3:$A$115,0)),"")</f>
        <v/>
      </c>
      <c r="G987" s="51" t="str">
        <f t="shared" si="17"/>
        <v/>
      </c>
      <c r="H987" s="54"/>
    </row>
    <row r="988" spans="1:8" x14ac:dyDescent="0.35">
      <c r="A988" s="51"/>
      <c r="B988" s="51"/>
      <c r="C988" s="51" t="str">
        <f>IFERROR(VLOOKUP(B988,منتجات!$A$3:$C$350,2,0),"")</f>
        <v/>
      </c>
      <c r="D988" s="51" t="str">
        <f>IFERROR(VLOOKUP(B988,منتجات!$A$3:$C$350,3,0),"")</f>
        <v/>
      </c>
      <c r="E988" s="51"/>
      <c r="F988" s="51" t="str">
        <f>IFERROR(INDEX(منتجات!$G$3:$G$114,MATCH(B988,منتجات!$A$3:$A$115,0)),"")</f>
        <v/>
      </c>
      <c r="G988" s="51" t="str">
        <f t="shared" si="17"/>
        <v/>
      </c>
      <c r="H988" s="53"/>
    </row>
    <row r="989" spans="1:8" x14ac:dyDescent="0.35">
      <c r="A989" s="49"/>
      <c r="B989" s="49"/>
      <c r="C989" s="51" t="str">
        <f>IFERROR(VLOOKUP(B989,منتجات!$A$3:$C$350,2,0),"")</f>
        <v/>
      </c>
      <c r="D989" s="49" t="str">
        <f>IFERROR(VLOOKUP(B989,منتجات!$A$3:$C$350,3,0),"")</f>
        <v/>
      </c>
      <c r="E989" s="49"/>
      <c r="F989" s="49" t="str">
        <f>IFERROR(INDEX(منتجات!$G$3:$G$114,MATCH(B989,منتجات!$A$3:$A$115,0)),"")</f>
        <v/>
      </c>
      <c r="G989" s="51" t="str">
        <f t="shared" si="17"/>
        <v/>
      </c>
      <c r="H989" s="54"/>
    </row>
    <row r="990" spans="1:8" x14ac:dyDescent="0.35">
      <c r="A990" s="51"/>
      <c r="B990" s="51"/>
      <c r="C990" s="51" t="str">
        <f>IFERROR(VLOOKUP(B990,منتجات!$A$3:$C$350,2,0),"")</f>
        <v/>
      </c>
      <c r="D990" s="51" t="str">
        <f>IFERROR(VLOOKUP(B990,منتجات!$A$3:$C$350,3,0),"")</f>
        <v/>
      </c>
      <c r="E990" s="51"/>
      <c r="F990" s="51" t="str">
        <f>IFERROR(INDEX(منتجات!$G$3:$G$114,MATCH(B990,منتجات!$A$3:$A$115,0)),"")</f>
        <v/>
      </c>
      <c r="G990" s="51" t="str">
        <f t="shared" si="17"/>
        <v/>
      </c>
      <c r="H990" s="53"/>
    </row>
    <row r="991" spans="1:8" x14ac:dyDescent="0.35">
      <c r="A991" s="49"/>
      <c r="B991" s="49"/>
      <c r="C991" s="51" t="str">
        <f>IFERROR(VLOOKUP(B991,منتجات!$A$3:$C$350,2,0),"")</f>
        <v/>
      </c>
      <c r="D991" s="49" t="str">
        <f>IFERROR(VLOOKUP(B991,منتجات!$A$3:$C$350,3,0),"")</f>
        <v/>
      </c>
      <c r="E991" s="49"/>
      <c r="F991" s="49" t="str">
        <f>IFERROR(INDEX(منتجات!$G$3:$G$114,MATCH(B991,منتجات!$A$3:$A$115,0)),"")</f>
        <v/>
      </c>
      <c r="G991" s="51" t="str">
        <f t="shared" si="17"/>
        <v/>
      </c>
      <c r="H991" s="54"/>
    </row>
    <row r="992" spans="1:8" x14ac:dyDescent="0.35">
      <c r="A992" s="51"/>
      <c r="B992" s="51"/>
      <c r="C992" s="51" t="str">
        <f>IFERROR(VLOOKUP(B992,منتجات!$A$3:$C$350,2,0),"")</f>
        <v/>
      </c>
      <c r="D992" s="51" t="str">
        <f>IFERROR(VLOOKUP(B992,منتجات!$A$3:$C$350,3,0),"")</f>
        <v/>
      </c>
      <c r="E992" s="51"/>
      <c r="F992" s="51" t="str">
        <f>IFERROR(INDEX(منتجات!$G$3:$G$114,MATCH(B992,منتجات!$A$3:$A$115,0)),"")</f>
        <v/>
      </c>
      <c r="G992" s="51" t="str">
        <f t="shared" si="17"/>
        <v/>
      </c>
      <c r="H992" s="53"/>
    </row>
    <row r="993" spans="1:8" x14ac:dyDescent="0.35">
      <c r="A993" s="49"/>
      <c r="B993" s="49"/>
      <c r="C993" s="51" t="str">
        <f>IFERROR(VLOOKUP(B993,منتجات!$A$3:$C$350,2,0),"")</f>
        <v/>
      </c>
      <c r="D993" s="49" t="str">
        <f>IFERROR(VLOOKUP(B993,منتجات!$A$3:$C$350,3,0),"")</f>
        <v/>
      </c>
      <c r="E993" s="49"/>
      <c r="F993" s="49" t="str">
        <f>IFERROR(INDEX(منتجات!$G$3:$G$114,MATCH(B993,منتجات!$A$3:$A$115,0)),"")</f>
        <v/>
      </c>
      <c r="G993" s="51" t="str">
        <f t="shared" si="17"/>
        <v/>
      </c>
      <c r="H993" s="54"/>
    </row>
    <row r="994" spans="1:8" x14ac:dyDescent="0.35">
      <c r="A994" s="51"/>
      <c r="B994" s="51"/>
      <c r="C994" s="51" t="str">
        <f>IFERROR(VLOOKUP(B994,منتجات!$A$3:$C$350,2,0),"")</f>
        <v/>
      </c>
      <c r="D994" s="51" t="str">
        <f>IFERROR(VLOOKUP(B994,منتجات!$A$3:$C$350,3,0),"")</f>
        <v/>
      </c>
      <c r="E994" s="51"/>
      <c r="F994" s="51" t="str">
        <f>IFERROR(INDEX(منتجات!$G$3:$G$114,MATCH(B994,منتجات!$A$3:$A$115,0)),"")</f>
        <v/>
      </c>
      <c r="G994" s="51" t="str">
        <f t="shared" si="17"/>
        <v/>
      </c>
      <c r="H994" s="53"/>
    </row>
    <row r="995" spans="1:8" x14ac:dyDescent="0.35">
      <c r="A995" s="49"/>
      <c r="B995" s="49"/>
      <c r="C995" s="51" t="str">
        <f>IFERROR(VLOOKUP(B995,منتجات!$A$3:$C$350,2,0),"")</f>
        <v/>
      </c>
      <c r="D995" s="49" t="str">
        <f>IFERROR(VLOOKUP(B995,منتجات!$A$3:$C$350,3,0),"")</f>
        <v/>
      </c>
      <c r="E995" s="49"/>
      <c r="F995" s="49" t="str">
        <f>IFERROR(INDEX(منتجات!$G$3:$G$114,MATCH(B995,منتجات!$A$3:$A$115,0)),"")</f>
        <v/>
      </c>
      <c r="G995" s="51" t="str">
        <f t="shared" si="17"/>
        <v/>
      </c>
      <c r="H995" s="54"/>
    </row>
    <row r="996" spans="1:8" x14ac:dyDescent="0.35">
      <c r="A996" s="51"/>
      <c r="B996" s="51"/>
      <c r="C996" s="51" t="str">
        <f>IFERROR(VLOOKUP(B996,منتجات!$A$3:$C$350,2,0),"")</f>
        <v/>
      </c>
      <c r="D996" s="51" t="str">
        <f>IFERROR(VLOOKUP(B996,منتجات!$A$3:$C$350,3,0),"")</f>
        <v/>
      </c>
      <c r="E996" s="51"/>
      <c r="F996" s="51" t="str">
        <f>IFERROR(INDEX(منتجات!$G$3:$G$114,MATCH(B996,منتجات!$A$3:$A$115,0)),"")</f>
        <v/>
      </c>
      <c r="G996" s="51" t="str">
        <f t="shared" si="17"/>
        <v/>
      </c>
      <c r="H996" s="53"/>
    </row>
    <row r="997" spans="1:8" x14ac:dyDescent="0.35">
      <c r="A997" s="49"/>
      <c r="B997" s="49"/>
      <c r="C997" s="51" t="str">
        <f>IFERROR(VLOOKUP(B997,منتجات!$A$3:$C$350,2,0),"")</f>
        <v/>
      </c>
      <c r="D997" s="49" t="str">
        <f>IFERROR(VLOOKUP(B997,منتجات!$A$3:$C$350,3,0),"")</f>
        <v/>
      </c>
      <c r="E997" s="49"/>
      <c r="F997" s="49" t="str">
        <f>IFERROR(INDEX(منتجات!$G$3:$G$114,MATCH(B997,منتجات!$A$3:$A$115,0)),"")</f>
        <v/>
      </c>
      <c r="G997" s="51" t="str">
        <f t="shared" si="17"/>
        <v/>
      </c>
      <c r="H997" s="54"/>
    </row>
    <row r="998" spans="1:8" x14ac:dyDescent="0.35">
      <c r="A998" s="51"/>
      <c r="B998" s="51"/>
      <c r="C998" s="51" t="str">
        <f>IFERROR(VLOOKUP(B998,منتجات!$A$3:$C$350,2,0),"")</f>
        <v/>
      </c>
      <c r="D998" s="51" t="str">
        <f>IFERROR(VLOOKUP(B998,منتجات!$A$3:$C$350,3,0),"")</f>
        <v/>
      </c>
      <c r="E998" s="51"/>
      <c r="F998" s="51" t="str">
        <f>IFERROR(INDEX(منتجات!$G$3:$G$114,MATCH(B998,منتجات!$A$3:$A$115,0)),"")</f>
        <v/>
      </c>
      <c r="G998" s="51" t="str">
        <f t="shared" si="17"/>
        <v/>
      </c>
      <c r="H998" s="53"/>
    </row>
    <row r="999" spans="1:8" x14ac:dyDescent="0.35">
      <c r="A999" s="49"/>
      <c r="B999" s="49"/>
      <c r="C999" s="51" t="str">
        <f>IFERROR(VLOOKUP(B999,منتجات!$A$3:$C$350,2,0),"")</f>
        <v/>
      </c>
      <c r="D999" s="49" t="str">
        <f>IFERROR(VLOOKUP(B999,منتجات!$A$3:$C$350,3,0),"")</f>
        <v/>
      </c>
      <c r="E999" s="49"/>
      <c r="F999" s="49" t="str">
        <f>IFERROR(INDEX(منتجات!$G$3:$G$114,MATCH(B999,منتجات!$A$3:$A$115,0)),"")</f>
        <v/>
      </c>
      <c r="G999" s="51" t="str">
        <f t="shared" si="17"/>
        <v/>
      </c>
      <c r="H999" s="54"/>
    </row>
    <row r="1000" spans="1:8" x14ac:dyDescent="0.35">
      <c r="A1000" s="51"/>
      <c r="B1000" s="51"/>
      <c r="C1000" s="51" t="str">
        <f>IFERROR(VLOOKUP(B1000,منتجات!$A$3:$C$350,2,0),"")</f>
        <v/>
      </c>
      <c r="D1000" s="51" t="str">
        <f>IFERROR(VLOOKUP(B1000,منتجات!$A$3:$C$350,3,0),"")</f>
        <v/>
      </c>
      <c r="E1000" s="51"/>
      <c r="F1000" s="51" t="str">
        <f>IFERROR(INDEX(منتجات!$G$3:$G$114,MATCH(B1000,منتجات!$A$3:$A$115,0)),"")</f>
        <v/>
      </c>
      <c r="G1000" s="51" t="str">
        <f t="shared" si="17"/>
        <v/>
      </c>
      <c r="H1000" s="53"/>
    </row>
    <row r="1001" spans="1:8" x14ac:dyDescent="0.35">
      <c r="A1001" s="49"/>
      <c r="B1001" s="49"/>
      <c r="C1001" s="51" t="str">
        <f>IFERROR(VLOOKUP(B1001,منتجات!$A$3:$C$350,2,0),"")</f>
        <v/>
      </c>
      <c r="D1001" s="49" t="str">
        <f>IFERROR(VLOOKUP(B1001,منتجات!$A$3:$C$350,3,0),"")</f>
        <v/>
      </c>
      <c r="E1001" s="49"/>
      <c r="F1001" s="49" t="str">
        <f>IFERROR(INDEX(منتجات!$G$3:$G$114,MATCH(B1001,منتجات!$A$3:$A$115,0)),"")</f>
        <v/>
      </c>
      <c r="G1001" s="51" t="str">
        <f t="shared" si="17"/>
        <v/>
      </c>
      <c r="H1001" s="54"/>
    </row>
    <row r="1002" spans="1:8" x14ac:dyDescent="0.35">
      <c r="A1002" s="51"/>
      <c r="B1002" s="51"/>
      <c r="C1002" s="51" t="str">
        <f>IFERROR(VLOOKUP(B1002,منتجات!$A$3:$C$350,2,0),"")</f>
        <v/>
      </c>
      <c r="D1002" s="51" t="str">
        <f>IFERROR(VLOOKUP(B1002,منتجات!$A$3:$C$350,3,0),"")</f>
        <v/>
      </c>
      <c r="E1002" s="51"/>
      <c r="F1002" s="51" t="str">
        <f>IFERROR(INDEX(منتجات!$G$3:$G$114,MATCH(B1002,منتجات!$A$3:$A$115,0)),"")</f>
        <v/>
      </c>
      <c r="G1002" s="51" t="str">
        <f t="shared" si="17"/>
        <v/>
      </c>
      <c r="H1002" s="53"/>
    </row>
    <row r="1003" spans="1:8" x14ac:dyDescent="0.35">
      <c r="A1003" s="49"/>
      <c r="B1003" s="49"/>
      <c r="C1003" s="51" t="str">
        <f>IFERROR(VLOOKUP(B1003,منتجات!$A$3:$C$350,2,0),"")</f>
        <v/>
      </c>
      <c r="D1003" s="49" t="str">
        <f>IFERROR(VLOOKUP(B1003,منتجات!$A$3:$C$350,3,0),"")</f>
        <v/>
      </c>
      <c r="E1003" s="49"/>
      <c r="F1003" s="49" t="str">
        <f>IFERROR(INDEX(منتجات!$G$3:$G$114,MATCH(B1003,منتجات!$A$3:$A$115,0)),"")</f>
        <v/>
      </c>
      <c r="G1003" s="51" t="str">
        <f t="shared" si="17"/>
        <v/>
      </c>
      <c r="H1003" s="54"/>
    </row>
    <row r="1004" spans="1:8" x14ac:dyDescent="0.35">
      <c r="A1004" s="51"/>
      <c r="B1004" s="51"/>
      <c r="C1004" s="51" t="str">
        <f>IFERROR(VLOOKUP(B1004,منتجات!$A$3:$C$350,2,0),"")</f>
        <v/>
      </c>
      <c r="D1004" s="51" t="str">
        <f>IFERROR(VLOOKUP(B1004,منتجات!$A$3:$C$350,3,0),"")</f>
        <v/>
      </c>
      <c r="E1004" s="51"/>
      <c r="F1004" s="51" t="str">
        <f>IFERROR(INDEX(منتجات!$G$3:$G$114,MATCH(B1004,منتجات!$A$3:$A$115,0)),"")</f>
        <v/>
      </c>
      <c r="G1004" s="51" t="str">
        <f t="shared" si="17"/>
        <v/>
      </c>
      <c r="H1004" s="53"/>
    </row>
    <row r="1005" spans="1:8" x14ac:dyDescent="0.35">
      <c r="A1005" s="49"/>
      <c r="B1005" s="49"/>
      <c r="C1005" s="51" t="str">
        <f>IFERROR(VLOOKUP(B1005,منتجات!$A$3:$C$350,2,0),"")</f>
        <v/>
      </c>
      <c r="D1005" s="49" t="str">
        <f>IFERROR(VLOOKUP(B1005,منتجات!$A$3:$C$350,3,0),"")</f>
        <v/>
      </c>
      <c r="E1005" s="49"/>
      <c r="F1005" s="49" t="str">
        <f>IFERROR(INDEX(منتجات!$G$3:$G$114,MATCH(B1005,منتجات!$A$3:$A$115,0)),"")</f>
        <v/>
      </c>
      <c r="G1005" s="51" t="str">
        <f t="shared" si="17"/>
        <v/>
      </c>
      <c r="H1005" s="54"/>
    </row>
    <row r="1006" spans="1:8" x14ac:dyDescent="0.35">
      <c r="A1006" s="51"/>
      <c r="B1006" s="51"/>
      <c r="C1006" s="51" t="str">
        <f>IFERROR(VLOOKUP(B1006,منتجات!$A$3:$C$350,2,0),"")</f>
        <v/>
      </c>
      <c r="D1006" s="51" t="str">
        <f>IFERROR(VLOOKUP(B1006,منتجات!$A$3:$C$350,3,0),"")</f>
        <v/>
      </c>
      <c r="E1006" s="51"/>
      <c r="F1006" s="51" t="str">
        <f>IFERROR(INDEX(منتجات!$G$3:$G$114,MATCH(B1006,منتجات!$A$3:$A$115,0)),"")</f>
        <v/>
      </c>
      <c r="G1006" s="51" t="str">
        <f t="shared" si="17"/>
        <v/>
      </c>
      <c r="H1006" s="53"/>
    </row>
    <row r="1007" spans="1:8" x14ac:dyDescent="0.35">
      <c r="A1007" s="49"/>
      <c r="B1007" s="49"/>
      <c r="C1007" s="51" t="str">
        <f>IFERROR(VLOOKUP(B1007,منتجات!$A$3:$C$350,2,0),"")</f>
        <v/>
      </c>
      <c r="D1007" s="49" t="str">
        <f>IFERROR(VLOOKUP(B1007,منتجات!$A$3:$C$350,3,0),"")</f>
        <v/>
      </c>
      <c r="E1007" s="49"/>
      <c r="F1007" s="49" t="str">
        <f>IFERROR(INDEX(منتجات!$G$3:$G$114,MATCH(B1007,منتجات!$A$3:$A$115,0)),"")</f>
        <v/>
      </c>
      <c r="G1007" s="51" t="str">
        <f t="shared" si="17"/>
        <v/>
      </c>
      <c r="H1007" s="54"/>
    </row>
    <row r="1008" spans="1:8" x14ac:dyDescent="0.35">
      <c r="A1008" s="51"/>
      <c r="B1008" s="51"/>
      <c r="C1008" s="51" t="str">
        <f>IFERROR(VLOOKUP(B1008,منتجات!$A$3:$C$350,2,0),"")</f>
        <v/>
      </c>
      <c r="D1008" s="51" t="str">
        <f>IFERROR(VLOOKUP(B1008,منتجات!$A$3:$C$350,3,0),"")</f>
        <v/>
      </c>
      <c r="E1008" s="51"/>
      <c r="F1008" s="51" t="str">
        <f>IFERROR(INDEX(منتجات!$G$3:$G$114,MATCH(B1008,منتجات!$A$3:$A$115,0)),"")</f>
        <v/>
      </c>
      <c r="G1008" s="51" t="str">
        <f t="shared" si="17"/>
        <v/>
      </c>
      <c r="H1008" s="53"/>
    </row>
    <row r="1009" spans="1:8" x14ac:dyDescent="0.35">
      <c r="A1009" s="49"/>
      <c r="B1009" s="49"/>
      <c r="C1009" s="51" t="str">
        <f>IFERROR(VLOOKUP(B1009,منتجات!$A$3:$C$350,2,0),"")</f>
        <v/>
      </c>
      <c r="D1009" s="49" t="str">
        <f>IFERROR(VLOOKUP(B1009,منتجات!$A$3:$C$350,3,0),"")</f>
        <v/>
      </c>
      <c r="E1009" s="49"/>
      <c r="F1009" s="49" t="str">
        <f>IFERROR(INDEX(منتجات!$G$3:$G$114,MATCH(B1009,منتجات!$A$3:$A$115,0)),"")</f>
        <v/>
      </c>
      <c r="G1009" s="51" t="str">
        <f t="shared" si="17"/>
        <v/>
      </c>
      <c r="H1009" s="54"/>
    </row>
    <row r="1010" spans="1:8" x14ac:dyDescent="0.35">
      <c r="A1010" s="51"/>
      <c r="B1010" s="51"/>
      <c r="C1010" s="51" t="str">
        <f>IFERROR(VLOOKUP(B1010,منتجات!$A$3:$C$350,2,0),"")</f>
        <v/>
      </c>
      <c r="D1010" s="51" t="str">
        <f>IFERROR(VLOOKUP(B1010,منتجات!$A$3:$C$350,3,0),"")</f>
        <v/>
      </c>
      <c r="E1010" s="51"/>
      <c r="F1010" s="51" t="str">
        <f>IFERROR(INDEX(منتجات!$G$3:$G$114,MATCH(B1010,منتجات!$A$3:$A$115,0)),"")</f>
        <v/>
      </c>
      <c r="G1010" s="51" t="str">
        <f t="shared" si="17"/>
        <v/>
      </c>
      <c r="H1010" s="53"/>
    </row>
    <row r="1011" spans="1:8" x14ac:dyDescent="0.35">
      <c r="A1011" s="49"/>
      <c r="B1011" s="49"/>
      <c r="C1011" s="51" t="str">
        <f>IFERROR(VLOOKUP(B1011,منتجات!$A$3:$C$350,2,0),"")</f>
        <v/>
      </c>
      <c r="D1011" s="49" t="str">
        <f>IFERROR(VLOOKUP(B1011,منتجات!$A$3:$C$350,3,0),"")</f>
        <v/>
      </c>
      <c r="E1011" s="49"/>
      <c r="F1011" s="49" t="str">
        <f>IFERROR(INDEX(منتجات!$G$3:$G$114,MATCH(B1011,منتجات!$A$3:$A$115,0)),"")</f>
        <v/>
      </c>
      <c r="G1011" s="51" t="str">
        <f t="shared" si="17"/>
        <v/>
      </c>
      <c r="H1011" s="54"/>
    </row>
    <row r="1012" spans="1:8" x14ac:dyDescent="0.35">
      <c r="A1012" s="51"/>
      <c r="B1012" s="51"/>
      <c r="C1012" s="51" t="str">
        <f>IFERROR(VLOOKUP(B1012,منتجات!$A$3:$C$350,2,0),"")</f>
        <v/>
      </c>
      <c r="D1012" s="51" t="str">
        <f>IFERROR(VLOOKUP(B1012,منتجات!$A$3:$C$350,3,0),"")</f>
        <v/>
      </c>
      <c r="E1012" s="51"/>
      <c r="F1012" s="51" t="str">
        <f>IFERROR(INDEX(منتجات!$G$3:$G$114,MATCH(B1012,منتجات!$A$3:$A$115,0)),"")</f>
        <v/>
      </c>
      <c r="G1012" s="51" t="str">
        <f t="shared" si="17"/>
        <v/>
      </c>
      <c r="H1012" s="53"/>
    </row>
    <row r="1013" spans="1:8" x14ac:dyDescent="0.35">
      <c r="A1013" s="49"/>
      <c r="B1013" s="49"/>
      <c r="C1013" s="51" t="str">
        <f>IFERROR(VLOOKUP(B1013,منتجات!$A$3:$C$350,2,0),"")</f>
        <v/>
      </c>
      <c r="D1013" s="49" t="str">
        <f>IFERROR(VLOOKUP(B1013,منتجات!$A$3:$C$350,3,0),"")</f>
        <v/>
      </c>
      <c r="E1013" s="49"/>
      <c r="F1013" s="49" t="str">
        <f>IFERROR(INDEX(منتجات!$G$3:$G$114,MATCH(B1013,منتجات!$A$3:$A$115,0)),"")</f>
        <v/>
      </c>
      <c r="G1013" s="51" t="str">
        <f t="shared" si="17"/>
        <v/>
      </c>
      <c r="H1013" s="54"/>
    </row>
    <row r="1014" spans="1:8" x14ac:dyDescent="0.35">
      <c r="A1014" s="51"/>
      <c r="B1014" s="51"/>
      <c r="C1014" s="51" t="str">
        <f>IFERROR(VLOOKUP(B1014,منتجات!$A$3:$C$350,2,0),"")</f>
        <v/>
      </c>
      <c r="D1014" s="51" t="str">
        <f>IFERROR(VLOOKUP(B1014,منتجات!$A$3:$C$350,3,0),"")</f>
        <v/>
      </c>
      <c r="E1014" s="51"/>
      <c r="F1014" s="51" t="str">
        <f>IFERROR(INDEX(منتجات!$G$3:$G$114,MATCH(B1014,منتجات!$A$3:$A$115,0)),"")</f>
        <v/>
      </c>
      <c r="G1014" s="51" t="str">
        <f t="shared" si="17"/>
        <v/>
      </c>
      <c r="H1014" s="53"/>
    </row>
    <row r="1015" spans="1:8" x14ac:dyDescent="0.35">
      <c r="A1015" s="49"/>
      <c r="B1015" s="49"/>
      <c r="C1015" s="51" t="str">
        <f>IFERROR(VLOOKUP(B1015,منتجات!$A$3:$C$350,2,0),"")</f>
        <v/>
      </c>
      <c r="D1015" s="49" t="str">
        <f>IFERROR(VLOOKUP(B1015,منتجات!$A$3:$C$350,3,0),"")</f>
        <v/>
      </c>
      <c r="E1015" s="49"/>
      <c r="F1015" s="49" t="str">
        <f>IFERROR(INDEX(منتجات!$G$3:$G$114,MATCH(B1015,منتجات!$A$3:$A$115,0)),"")</f>
        <v/>
      </c>
      <c r="G1015" s="51" t="str">
        <f t="shared" si="17"/>
        <v/>
      </c>
      <c r="H1015" s="54"/>
    </row>
    <row r="1016" spans="1:8" x14ac:dyDescent="0.35">
      <c r="A1016" s="51"/>
      <c r="B1016" s="51"/>
      <c r="C1016" s="51" t="str">
        <f>IFERROR(VLOOKUP(B1016,منتجات!$A$3:$C$350,2,0),"")</f>
        <v/>
      </c>
      <c r="D1016" s="51" t="str">
        <f>IFERROR(VLOOKUP(B1016,منتجات!$A$3:$C$350,3,0),"")</f>
        <v/>
      </c>
      <c r="E1016" s="51"/>
      <c r="F1016" s="51" t="str">
        <f>IFERROR(INDEX(منتجات!$G$3:$G$114,MATCH(B1016,منتجات!$A$3:$A$115,0)),"")</f>
        <v/>
      </c>
      <c r="G1016" s="51" t="str">
        <f t="shared" si="17"/>
        <v/>
      </c>
      <c r="H1016" s="53"/>
    </row>
    <row r="1017" spans="1:8" x14ac:dyDescent="0.35">
      <c r="A1017" s="49"/>
      <c r="B1017" s="49"/>
      <c r="C1017" s="51" t="str">
        <f>IFERROR(VLOOKUP(B1017,منتجات!$A$3:$C$350,2,0),"")</f>
        <v/>
      </c>
      <c r="D1017" s="49" t="str">
        <f>IFERROR(VLOOKUP(B1017,منتجات!$A$3:$C$350,3,0),"")</f>
        <v/>
      </c>
      <c r="E1017" s="49"/>
      <c r="F1017" s="49" t="str">
        <f>IFERROR(INDEX(منتجات!$G$3:$G$114,MATCH(B1017,منتجات!$A$3:$A$115,0)),"")</f>
        <v/>
      </c>
      <c r="G1017" s="51" t="str">
        <f t="shared" si="17"/>
        <v/>
      </c>
      <c r="H1017" s="54"/>
    </row>
    <row r="1018" spans="1:8" x14ac:dyDescent="0.35">
      <c r="A1018" s="51"/>
      <c r="B1018" s="51"/>
      <c r="C1018" s="51" t="str">
        <f>IFERROR(VLOOKUP(B1018,منتجات!$A$3:$C$350,2,0),"")</f>
        <v/>
      </c>
      <c r="D1018" s="51" t="str">
        <f>IFERROR(VLOOKUP(B1018,منتجات!$A$3:$C$350,3,0),"")</f>
        <v/>
      </c>
      <c r="E1018" s="51"/>
      <c r="F1018" s="51" t="str">
        <f>IFERROR(INDEX(منتجات!$G$3:$G$114,MATCH(B1018,منتجات!$A$3:$A$115,0)),"")</f>
        <v/>
      </c>
      <c r="G1018" s="51" t="str">
        <f t="shared" si="17"/>
        <v/>
      </c>
      <c r="H1018" s="53"/>
    </row>
    <row r="1019" spans="1:8" x14ac:dyDescent="0.35">
      <c r="A1019" s="49"/>
      <c r="B1019" s="49"/>
      <c r="C1019" s="51" t="str">
        <f>IFERROR(VLOOKUP(B1019,منتجات!$A$3:$C$350,2,0),"")</f>
        <v/>
      </c>
      <c r="D1019" s="49" t="str">
        <f>IFERROR(VLOOKUP(B1019,منتجات!$A$3:$C$350,3,0),"")</f>
        <v/>
      </c>
      <c r="E1019" s="49"/>
      <c r="F1019" s="49" t="str">
        <f>IFERROR(INDEX(منتجات!$G$3:$G$114,MATCH(B1019,منتجات!$A$3:$A$115,0)),"")</f>
        <v/>
      </c>
      <c r="G1019" s="51" t="str">
        <f t="shared" si="17"/>
        <v/>
      </c>
      <c r="H1019" s="54"/>
    </row>
    <row r="1020" spans="1:8" x14ac:dyDescent="0.35">
      <c r="A1020" s="51"/>
      <c r="B1020" s="51"/>
      <c r="C1020" s="51" t="str">
        <f>IFERROR(VLOOKUP(B1020,منتجات!$A$3:$C$350,2,0),"")</f>
        <v/>
      </c>
      <c r="D1020" s="51" t="str">
        <f>IFERROR(VLOOKUP(B1020,منتجات!$A$3:$C$350,3,0),"")</f>
        <v/>
      </c>
      <c r="E1020" s="51"/>
      <c r="F1020" s="51" t="str">
        <f>IFERROR(INDEX(منتجات!$G$3:$G$114,MATCH(B1020,منتجات!$A$3:$A$115,0)),"")</f>
        <v/>
      </c>
      <c r="G1020" s="51" t="str">
        <f t="shared" si="17"/>
        <v/>
      </c>
      <c r="H1020" s="53"/>
    </row>
    <row r="1021" spans="1:8" x14ac:dyDescent="0.35">
      <c r="A1021" s="49"/>
      <c r="B1021" s="49"/>
      <c r="C1021" s="51" t="str">
        <f>IFERROR(VLOOKUP(B1021,منتجات!$A$3:$C$350,2,0),"")</f>
        <v/>
      </c>
      <c r="D1021" s="49" t="str">
        <f>IFERROR(VLOOKUP(B1021,منتجات!$A$3:$C$350,3,0),"")</f>
        <v/>
      </c>
      <c r="E1021" s="49"/>
      <c r="F1021" s="49" t="str">
        <f>IFERROR(INDEX(منتجات!$G$3:$G$114,MATCH(B1021,منتجات!$A$3:$A$115,0)),"")</f>
        <v/>
      </c>
      <c r="G1021" s="51" t="str">
        <f t="shared" si="17"/>
        <v/>
      </c>
      <c r="H1021" s="54"/>
    </row>
    <row r="1022" spans="1:8" x14ac:dyDescent="0.35">
      <c r="A1022" s="51"/>
      <c r="B1022" s="51"/>
      <c r="C1022" s="51" t="str">
        <f>IFERROR(VLOOKUP(B1022,منتجات!$A$3:$C$350,2,0),"")</f>
        <v/>
      </c>
      <c r="D1022" s="51" t="str">
        <f>IFERROR(VLOOKUP(B1022,منتجات!$A$3:$C$350,3,0),"")</f>
        <v/>
      </c>
      <c r="E1022" s="51"/>
      <c r="F1022" s="51" t="str">
        <f>IFERROR(INDEX(منتجات!$G$3:$G$114,MATCH(B1022,منتجات!$A$3:$A$115,0)),"")</f>
        <v/>
      </c>
      <c r="G1022" s="51" t="str">
        <f t="shared" si="17"/>
        <v/>
      </c>
      <c r="H1022" s="53"/>
    </row>
    <row r="1023" spans="1:8" x14ac:dyDescent="0.35">
      <c r="A1023" s="49"/>
      <c r="B1023" s="49"/>
      <c r="C1023" s="51" t="str">
        <f>IFERROR(VLOOKUP(B1023,منتجات!$A$3:$C$350,2,0),"")</f>
        <v/>
      </c>
      <c r="D1023" s="49" t="str">
        <f>IFERROR(VLOOKUP(B1023,منتجات!$A$3:$C$350,3,0),"")</f>
        <v/>
      </c>
      <c r="E1023" s="49"/>
      <c r="F1023" s="49" t="str">
        <f>IFERROR(INDEX(منتجات!$G$3:$G$114,MATCH(B1023,منتجات!$A$3:$A$115,0)),"")</f>
        <v/>
      </c>
      <c r="G1023" s="51" t="str">
        <f t="shared" si="17"/>
        <v/>
      </c>
      <c r="H1023" s="54"/>
    </row>
    <row r="1024" spans="1:8" x14ac:dyDescent="0.35">
      <c r="A1024" s="51"/>
      <c r="B1024" s="51"/>
      <c r="C1024" s="51" t="str">
        <f>IFERROR(VLOOKUP(B1024,منتجات!$A$3:$C$350,2,0),"")</f>
        <v/>
      </c>
      <c r="D1024" s="51" t="str">
        <f>IFERROR(VLOOKUP(B1024,منتجات!$A$3:$C$350,3,0),"")</f>
        <v/>
      </c>
      <c r="E1024" s="51"/>
      <c r="F1024" s="51" t="str">
        <f>IFERROR(INDEX(منتجات!$G$3:$G$114,MATCH(B1024,منتجات!$A$3:$A$115,0)),"")</f>
        <v/>
      </c>
      <c r="G1024" s="51" t="str">
        <f t="shared" si="17"/>
        <v/>
      </c>
      <c r="H1024" s="53"/>
    </row>
    <row r="1025" spans="1:8" x14ac:dyDescent="0.35">
      <c r="A1025" s="49"/>
      <c r="B1025" s="49"/>
      <c r="C1025" s="51" t="str">
        <f>IFERROR(VLOOKUP(B1025,منتجات!$A$3:$C$350,2,0),"")</f>
        <v/>
      </c>
      <c r="D1025" s="49" t="str">
        <f>IFERROR(VLOOKUP(B1025,منتجات!$A$3:$C$350,3,0),"")</f>
        <v/>
      </c>
      <c r="E1025" s="49"/>
      <c r="F1025" s="49" t="str">
        <f>IFERROR(INDEX(منتجات!$G$3:$G$114,MATCH(B1025,منتجات!$A$3:$A$115,0)),"")</f>
        <v/>
      </c>
      <c r="G1025" s="51" t="str">
        <f t="shared" si="17"/>
        <v/>
      </c>
      <c r="H1025" s="54"/>
    </row>
    <row r="1026" spans="1:8" x14ac:dyDescent="0.35">
      <c r="A1026" s="51"/>
      <c r="B1026" s="51"/>
      <c r="C1026" s="51" t="str">
        <f>IFERROR(VLOOKUP(B1026,منتجات!$A$3:$C$350,2,0),"")</f>
        <v/>
      </c>
      <c r="D1026" s="51" t="str">
        <f>IFERROR(VLOOKUP(B1026,منتجات!$A$3:$C$350,3,0),"")</f>
        <v/>
      </c>
      <c r="E1026" s="51"/>
      <c r="F1026" s="51" t="str">
        <f>IFERROR(INDEX(منتجات!$G$3:$G$114,MATCH(B1026,منتجات!$A$3:$A$115,0)),"")</f>
        <v/>
      </c>
      <c r="G1026" s="51" t="str">
        <f t="shared" si="17"/>
        <v/>
      </c>
      <c r="H1026" s="53"/>
    </row>
    <row r="1027" spans="1:8" x14ac:dyDescent="0.35">
      <c r="A1027" s="49"/>
      <c r="B1027" s="49"/>
      <c r="C1027" s="51" t="str">
        <f>IFERROR(VLOOKUP(B1027,منتجات!$A$3:$C$350,2,0),"")</f>
        <v/>
      </c>
      <c r="D1027" s="49" t="str">
        <f>IFERROR(VLOOKUP(B1027,منتجات!$A$3:$C$350,3,0),"")</f>
        <v/>
      </c>
      <c r="E1027" s="49"/>
      <c r="F1027" s="49" t="str">
        <f>IFERROR(INDEX(منتجات!$G$3:$G$114,MATCH(B1027,منتجات!$A$3:$A$115,0)),"")</f>
        <v/>
      </c>
      <c r="G1027" s="51" t="str">
        <f t="shared" si="17"/>
        <v/>
      </c>
      <c r="H1027" s="54"/>
    </row>
    <row r="1028" spans="1:8" x14ac:dyDescent="0.35">
      <c r="A1028" s="51"/>
      <c r="B1028" s="51"/>
      <c r="C1028" s="51" t="str">
        <f>IFERROR(VLOOKUP(B1028,منتجات!$A$3:$C$350,2,0),"")</f>
        <v/>
      </c>
      <c r="D1028" s="51" t="str">
        <f>IFERROR(VLOOKUP(B1028,منتجات!$A$3:$C$350,3,0),"")</f>
        <v/>
      </c>
      <c r="E1028" s="51"/>
      <c r="F1028" s="51" t="str">
        <f>IFERROR(INDEX(منتجات!$G$3:$G$114,MATCH(B1028,منتجات!$A$3:$A$115,0)),"")</f>
        <v/>
      </c>
      <c r="G1028" s="51" t="str">
        <f t="shared" si="17"/>
        <v/>
      </c>
      <c r="H1028" s="53"/>
    </row>
    <row r="1029" spans="1:8" x14ac:dyDescent="0.35">
      <c r="A1029" s="49"/>
      <c r="B1029" s="49"/>
      <c r="C1029" s="51" t="str">
        <f>IFERROR(VLOOKUP(B1029,منتجات!$A$3:$C$350,2,0),"")</f>
        <v/>
      </c>
      <c r="D1029" s="49" t="str">
        <f>IFERROR(VLOOKUP(B1029,منتجات!$A$3:$C$350,3,0),"")</f>
        <v/>
      </c>
      <c r="E1029" s="49"/>
      <c r="F1029" s="49" t="str">
        <f>IFERROR(INDEX(منتجات!$G$3:$G$114,MATCH(B1029,منتجات!$A$3:$A$115,0)),"")</f>
        <v/>
      </c>
      <c r="G1029" s="51" t="str">
        <f t="shared" si="17"/>
        <v/>
      </c>
      <c r="H1029" s="54"/>
    </row>
    <row r="1030" spans="1:8" x14ac:dyDescent="0.35">
      <c r="A1030" s="51"/>
      <c r="B1030" s="51"/>
      <c r="C1030" s="51" t="str">
        <f>IFERROR(VLOOKUP(B1030,منتجات!$A$3:$C$350,2,0),"")</f>
        <v/>
      </c>
      <c r="D1030" s="51" t="str">
        <f>IFERROR(VLOOKUP(B1030,منتجات!$A$3:$C$350,3,0),"")</f>
        <v/>
      </c>
      <c r="E1030" s="51"/>
      <c r="F1030" s="51" t="str">
        <f>IFERROR(INDEX(منتجات!$G$3:$G$114,MATCH(B1030,منتجات!$A$3:$A$115,0)),"")</f>
        <v/>
      </c>
      <c r="G1030" s="51" t="str">
        <f t="shared" si="17"/>
        <v/>
      </c>
      <c r="H1030" s="53"/>
    </row>
    <row r="1031" spans="1:8" x14ac:dyDescent="0.35">
      <c r="A1031" s="49"/>
      <c r="B1031" s="49"/>
      <c r="C1031" s="51" t="str">
        <f>IFERROR(VLOOKUP(B1031,منتجات!$A$3:$C$350,2,0),"")</f>
        <v/>
      </c>
      <c r="D1031" s="49" t="str">
        <f>IFERROR(VLOOKUP(B1031,منتجات!$A$3:$C$350,3,0),"")</f>
        <v/>
      </c>
      <c r="E1031" s="49"/>
      <c r="F1031" s="49" t="str">
        <f>IFERROR(INDEX(منتجات!$G$3:$G$114,MATCH(B1031,منتجات!$A$3:$A$115,0)),"")</f>
        <v/>
      </c>
      <c r="G1031" s="51" t="str">
        <f t="shared" si="17"/>
        <v/>
      </c>
      <c r="H1031" s="54"/>
    </row>
    <row r="1032" spans="1:8" x14ac:dyDescent="0.35">
      <c r="A1032" s="51"/>
      <c r="B1032" s="51"/>
      <c r="C1032" s="51" t="str">
        <f>IFERROR(VLOOKUP(B1032,منتجات!$A$3:$C$350,2,0),"")</f>
        <v/>
      </c>
      <c r="D1032" s="51" t="str">
        <f>IFERROR(VLOOKUP(B1032,منتجات!$A$3:$C$350,3,0),"")</f>
        <v/>
      </c>
      <c r="E1032" s="51"/>
      <c r="F1032" s="51" t="str">
        <f>IFERROR(INDEX(منتجات!$G$3:$G$114,MATCH(B1032,منتجات!$A$3:$A$115,0)),"")</f>
        <v/>
      </c>
      <c r="G1032" s="51" t="str">
        <f t="shared" si="17"/>
        <v/>
      </c>
      <c r="H1032" s="53"/>
    </row>
    <row r="1033" spans="1:8" x14ac:dyDescent="0.35">
      <c r="A1033" s="49"/>
      <c r="B1033" s="49"/>
      <c r="C1033" s="51" t="str">
        <f>IFERROR(VLOOKUP(B1033,منتجات!$A$3:$C$350,2,0),"")</f>
        <v/>
      </c>
      <c r="D1033" s="49" t="str">
        <f>IFERROR(VLOOKUP(B1033,منتجات!$A$3:$C$350,3,0),"")</f>
        <v/>
      </c>
      <c r="E1033" s="49"/>
      <c r="F1033" s="49" t="str">
        <f>IFERROR(INDEX(منتجات!$G$3:$G$114,MATCH(B1033,منتجات!$A$3:$A$115,0)),"")</f>
        <v/>
      </c>
      <c r="G1033" s="51" t="str">
        <f t="shared" si="17"/>
        <v/>
      </c>
      <c r="H1033" s="54"/>
    </row>
    <row r="1034" spans="1:8" x14ac:dyDescent="0.35">
      <c r="A1034" s="51"/>
      <c r="B1034" s="51"/>
      <c r="C1034" s="51" t="str">
        <f>IFERROR(VLOOKUP(B1034,منتجات!$A$3:$C$350,2,0),"")</f>
        <v/>
      </c>
      <c r="D1034" s="51" t="str">
        <f>IFERROR(VLOOKUP(B1034,منتجات!$A$3:$C$350,3,0),"")</f>
        <v/>
      </c>
      <c r="E1034" s="51"/>
      <c r="F1034" s="51" t="str">
        <f>IFERROR(INDEX(منتجات!$G$3:$G$114,MATCH(B1034,منتجات!$A$3:$A$115,0)),"")</f>
        <v/>
      </c>
      <c r="G1034" s="51" t="str">
        <f t="shared" si="17"/>
        <v/>
      </c>
      <c r="H1034" s="53"/>
    </row>
    <row r="1035" spans="1:8" x14ac:dyDescent="0.35">
      <c r="A1035" s="49"/>
      <c r="B1035" s="49"/>
      <c r="C1035" s="51" t="str">
        <f>IFERROR(VLOOKUP(B1035,منتجات!$A$3:$C$350,2,0),"")</f>
        <v/>
      </c>
      <c r="D1035" s="49" t="str">
        <f>IFERROR(VLOOKUP(B1035,منتجات!$A$3:$C$350,3,0),"")</f>
        <v/>
      </c>
      <c r="E1035" s="49"/>
      <c r="F1035" s="49" t="str">
        <f>IFERROR(INDEX(منتجات!$G$3:$G$114,MATCH(B1035,منتجات!$A$3:$A$115,0)),"")</f>
        <v/>
      </c>
      <c r="G1035" s="51" t="str">
        <f t="shared" si="17"/>
        <v/>
      </c>
      <c r="H1035" s="54"/>
    </row>
    <row r="1036" spans="1:8" x14ac:dyDescent="0.35">
      <c r="A1036" s="51"/>
      <c r="B1036" s="51"/>
      <c r="C1036" s="51" t="str">
        <f>IFERROR(VLOOKUP(B1036,منتجات!$A$3:$C$350,2,0),"")</f>
        <v/>
      </c>
      <c r="D1036" s="51" t="str">
        <f>IFERROR(VLOOKUP(B1036,منتجات!$A$3:$C$350,3,0),"")</f>
        <v/>
      </c>
      <c r="E1036" s="51"/>
      <c r="F1036" s="51" t="str">
        <f>IFERROR(INDEX(منتجات!$G$3:$G$114,MATCH(B1036,منتجات!$A$3:$A$115,0)),"")</f>
        <v/>
      </c>
      <c r="G1036" s="51" t="str">
        <f t="shared" si="17"/>
        <v/>
      </c>
      <c r="H1036" s="53"/>
    </row>
    <row r="1037" spans="1:8" x14ac:dyDescent="0.35">
      <c r="A1037" s="49"/>
      <c r="B1037" s="49"/>
      <c r="C1037" s="51" t="str">
        <f>IFERROR(VLOOKUP(B1037,منتجات!$A$3:$C$350,2,0),"")</f>
        <v/>
      </c>
      <c r="D1037" s="49" t="str">
        <f>IFERROR(VLOOKUP(B1037,منتجات!$A$3:$C$350,3,0),"")</f>
        <v/>
      </c>
      <c r="E1037" s="49"/>
      <c r="F1037" s="49" t="str">
        <f>IFERROR(INDEX(منتجات!$G$3:$G$114,MATCH(B1037,منتجات!$A$3:$A$115,0)),"")</f>
        <v/>
      </c>
      <c r="G1037" s="51" t="str">
        <f t="shared" si="17"/>
        <v/>
      </c>
      <c r="H1037" s="54"/>
    </row>
    <row r="1038" spans="1:8" x14ac:dyDescent="0.35">
      <c r="A1038" s="51"/>
      <c r="B1038" s="51"/>
      <c r="C1038" s="51" t="str">
        <f>IFERROR(VLOOKUP(B1038,منتجات!$A$3:$C$350,2,0),"")</f>
        <v/>
      </c>
      <c r="D1038" s="51" t="str">
        <f>IFERROR(VLOOKUP(B1038,منتجات!$A$3:$C$350,3,0),"")</f>
        <v/>
      </c>
      <c r="E1038" s="51"/>
      <c r="F1038" s="51" t="str">
        <f>IFERROR(INDEX(منتجات!$G$3:$G$114,MATCH(B1038,منتجات!$A$3:$A$115,0)),"")</f>
        <v/>
      </c>
      <c r="G1038" s="51" t="str">
        <f t="shared" ref="G1038:G1101" si="18">IFERROR(E1038*F1038*D1038,"")</f>
        <v/>
      </c>
      <c r="H1038" s="53"/>
    </row>
    <row r="1039" spans="1:8" x14ac:dyDescent="0.35">
      <c r="A1039" s="49"/>
      <c r="B1039" s="49"/>
      <c r="C1039" s="51" t="str">
        <f>IFERROR(VLOOKUP(B1039,منتجات!$A$3:$C$350,2,0),"")</f>
        <v/>
      </c>
      <c r="D1039" s="49" t="str">
        <f>IFERROR(VLOOKUP(B1039,منتجات!$A$3:$C$350,3,0),"")</f>
        <v/>
      </c>
      <c r="E1039" s="49"/>
      <c r="F1039" s="49" t="str">
        <f>IFERROR(INDEX(منتجات!$G$3:$G$114,MATCH(B1039,منتجات!$A$3:$A$115,0)),"")</f>
        <v/>
      </c>
      <c r="G1039" s="51" t="str">
        <f t="shared" si="18"/>
        <v/>
      </c>
      <c r="H1039" s="54"/>
    </row>
    <row r="1040" spans="1:8" x14ac:dyDescent="0.35">
      <c r="A1040" s="51"/>
      <c r="B1040" s="51"/>
      <c r="C1040" s="51" t="str">
        <f>IFERROR(VLOOKUP(B1040,منتجات!$A$3:$C$350,2,0),"")</f>
        <v/>
      </c>
      <c r="D1040" s="51" t="str">
        <f>IFERROR(VLOOKUP(B1040,منتجات!$A$3:$C$350,3,0),"")</f>
        <v/>
      </c>
      <c r="E1040" s="51"/>
      <c r="F1040" s="51" t="str">
        <f>IFERROR(INDEX(منتجات!$G$3:$G$114,MATCH(B1040,منتجات!$A$3:$A$115,0)),"")</f>
        <v/>
      </c>
      <c r="G1040" s="51" t="str">
        <f t="shared" si="18"/>
        <v/>
      </c>
      <c r="H1040" s="53"/>
    </row>
    <row r="1041" spans="1:8" x14ac:dyDescent="0.35">
      <c r="A1041" s="49"/>
      <c r="B1041" s="49"/>
      <c r="C1041" s="51" t="str">
        <f>IFERROR(VLOOKUP(B1041,منتجات!$A$3:$C$350,2,0),"")</f>
        <v/>
      </c>
      <c r="D1041" s="49" t="str">
        <f>IFERROR(VLOOKUP(B1041,منتجات!$A$3:$C$350,3,0),"")</f>
        <v/>
      </c>
      <c r="E1041" s="49"/>
      <c r="F1041" s="49" t="str">
        <f>IFERROR(INDEX(منتجات!$G$3:$G$114,MATCH(B1041,منتجات!$A$3:$A$115,0)),"")</f>
        <v/>
      </c>
      <c r="G1041" s="51" t="str">
        <f t="shared" si="18"/>
        <v/>
      </c>
      <c r="H1041" s="54"/>
    </row>
    <row r="1042" spans="1:8" x14ac:dyDescent="0.35">
      <c r="A1042" s="51"/>
      <c r="B1042" s="51"/>
      <c r="C1042" s="51" t="str">
        <f>IFERROR(VLOOKUP(B1042,منتجات!$A$3:$C$350,2,0),"")</f>
        <v/>
      </c>
      <c r="D1042" s="51" t="str">
        <f>IFERROR(VLOOKUP(B1042,منتجات!$A$3:$C$350,3,0),"")</f>
        <v/>
      </c>
      <c r="E1042" s="51"/>
      <c r="F1042" s="51" t="str">
        <f>IFERROR(INDEX(منتجات!$G$3:$G$114,MATCH(B1042,منتجات!$A$3:$A$115,0)),"")</f>
        <v/>
      </c>
      <c r="G1042" s="51" t="str">
        <f t="shared" si="18"/>
        <v/>
      </c>
      <c r="H1042" s="53"/>
    </row>
    <row r="1043" spans="1:8" x14ac:dyDescent="0.35">
      <c r="A1043" s="49"/>
      <c r="B1043" s="49"/>
      <c r="C1043" s="51" t="str">
        <f>IFERROR(VLOOKUP(B1043,منتجات!$A$3:$C$350,2,0),"")</f>
        <v/>
      </c>
      <c r="D1043" s="49" t="str">
        <f>IFERROR(VLOOKUP(B1043,منتجات!$A$3:$C$350,3,0),"")</f>
        <v/>
      </c>
      <c r="E1043" s="49"/>
      <c r="F1043" s="49" t="str">
        <f>IFERROR(INDEX(منتجات!$G$3:$G$114,MATCH(B1043,منتجات!$A$3:$A$115,0)),"")</f>
        <v/>
      </c>
      <c r="G1043" s="51" t="str">
        <f t="shared" si="18"/>
        <v/>
      </c>
      <c r="H1043" s="54"/>
    </row>
    <row r="1044" spans="1:8" x14ac:dyDescent="0.35">
      <c r="A1044" s="51"/>
      <c r="B1044" s="51"/>
      <c r="C1044" s="51" t="str">
        <f>IFERROR(VLOOKUP(B1044,منتجات!$A$3:$C$350,2,0),"")</f>
        <v/>
      </c>
      <c r="D1044" s="51" t="str">
        <f>IFERROR(VLOOKUP(B1044,منتجات!$A$3:$C$350,3,0),"")</f>
        <v/>
      </c>
      <c r="E1044" s="51"/>
      <c r="F1044" s="51" t="str">
        <f>IFERROR(INDEX(منتجات!$G$3:$G$114,MATCH(B1044,منتجات!$A$3:$A$115,0)),"")</f>
        <v/>
      </c>
      <c r="G1044" s="51" t="str">
        <f t="shared" si="18"/>
        <v/>
      </c>
      <c r="H1044" s="53"/>
    </row>
    <row r="1045" spans="1:8" x14ac:dyDescent="0.35">
      <c r="A1045" s="49"/>
      <c r="B1045" s="49"/>
      <c r="C1045" s="51" t="str">
        <f>IFERROR(VLOOKUP(B1045,منتجات!$A$3:$C$350,2,0),"")</f>
        <v/>
      </c>
      <c r="D1045" s="49" t="str">
        <f>IFERROR(VLOOKUP(B1045,منتجات!$A$3:$C$350,3,0),"")</f>
        <v/>
      </c>
      <c r="E1045" s="49"/>
      <c r="F1045" s="49" t="str">
        <f>IFERROR(INDEX(منتجات!$G$3:$G$114,MATCH(B1045,منتجات!$A$3:$A$115,0)),"")</f>
        <v/>
      </c>
      <c r="G1045" s="51" t="str">
        <f t="shared" si="18"/>
        <v/>
      </c>
      <c r="H1045" s="54"/>
    </row>
    <row r="1046" spans="1:8" x14ac:dyDescent="0.35">
      <c r="A1046" s="51"/>
      <c r="B1046" s="51"/>
      <c r="C1046" s="51" t="str">
        <f>IFERROR(VLOOKUP(B1046,منتجات!$A$3:$C$350,2,0),"")</f>
        <v/>
      </c>
      <c r="D1046" s="51" t="str">
        <f>IFERROR(VLOOKUP(B1046,منتجات!$A$3:$C$350,3,0),"")</f>
        <v/>
      </c>
      <c r="E1046" s="51"/>
      <c r="F1046" s="51" t="str">
        <f>IFERROR(INDEX(منتجات!$G$3:$G$114,MATCH(B1046,منتجات!$A$3:$A$115,0)),"")</f>
        <v/>
      </c>
      <c r="G1046" s="51" t="str">
        <f t="shared" si="18"/>
        <v/>
      </c>
      <c r="H1046" s="53"/>
    </row>
    <row r="1047" spans="1:8" x14ac:dyDescent="0.35">
      <c r="A1047" s="49"/>
      <c r="B1047" s="49"/>
      <c r="C1047" s="51" t="str">
        <f>IFERROR(VLOOKUP(B1047,منتجات!$A$3:$C$350,2,0),"")</f>
        <v/>
      </c>
      <c r="D1047" s="49" t="str">
        <f>IFERROR(VLOOKUP(B1047,منتجات!$A$3:$C$350,3,0),"")</f>
        <v/>
      </c>
      <c r="E1047" s="49"/>
      <c r="F1047" s="49" t="str">
        <f>IFERROR(INDEX(منتجات!$G$3:$G$114,MATCH(B1047,منتجات!$A$3:$A$115,0)),"")</f>
        <v/>
      </c>
      <c r="G1047" s="51" t="str">
        <f t="shared" si="18"/>
        <v/>
      </c>
      <c r="H1047" s="54"/>
    </row>
    <row r="1048" spans="1:8" x14ac:dyDescent="0.35">
      <c r="A1048" s="51"/>
      <c r="B1048" s="51"/>
      <c r="C1048" s="51" t="str">
        <f>IFERROR(VLOOKUP(B1048,منتجات!$A$3:$C$350,2,0),"")</f>
        <v/>
      </c>
      <c r="D1048" s="51" t="str">
        <f>IFERROR(VLOOKUP(B1048,منتجات!$A$3:$C$350,3,0),"")</f>
        <v/>
      </c>
      <c r="E1048" s="51"/>
      <c r="F1048" s="51" t="str">
        <f>IFERROR(INDEX(منتجات!$G$3:$G$114,MATCH(B1048,منتجات!$A$3:$A$115,0)),"")</f>
        <v/>
      </c>
      <c r="G1048" s="51" t="str">
        <f t="shared" si="18"/>
        <v/>
      </c>
      <c r="H1048" s="53"/>
    </row>
    <row r="1049" spans="1:8" x14ac:dyDescent="0.35">
      <c r="A1049" s="49"/>
      <c r="B1049" s="49"/>
      <c r="C1049" s="51" t="str">
        <f>IFERROR(VLOOKUP(B1049,منتجات!$A$3:$C$350,2,0),"")</f>
        <v/>
      </c>
      <c r="D1049" s="49" t="str">
        <f>IFERROR(VLOOKUP(B1049,منتجات!$A$3:$C$350,3,0),"")</f>
        <v/>
      </c>
      <c r="E1049" s="49"/>
      <c r="F1049" s="49" t="str">
        <f>IFERROR(INDEX(منتجات!$G$3:$G$114,MATCH(B1049,منتجات!$A$3:$A$115,0)),"")</f>
        <v/>
      </c>
      <c r="G1049" s="51" t="str">
        <f t="shared" si="18"/>
        <v/>
      </c>
      <c r="H1049" s="54"/>
    </row>
    <row r="1050" spans="1:8" x14ac:dyDescent="0.35">
      <c r="A1050" s="51"/>
      <c r="B1050" s="51"/>
      <c r="C1050" s="51" t="str">
        <f>IFERROR(VLOOKUP(B1050,منتجات!$A$3:$C$350,2,0),"")</f>
        <v/>
      </c>
      <c r="D1050" s="51" t="str">
        <f>IFERROR(VLOOKUP(B1050,منتجات!$A$3:$C$350,3,0),"")</f>
        <v/>
      </c>
      <c r="E1050" s="51"/>
      <c r="F1050" s="51" t="str">
        <f>IFERROR(INDEX(منتجات!$G$3:$G$114,MATCH(B1050,منتجات!$A$3:$A$115,0)),"")</f>
        <v/>
      </c>
      <c r="G1050" s="51" t="str">
        <f t="shared" si="18"/>
        <v/>
      </c>
      <c r="H1050" s="53"/>
    </row>
    <row r="1051" spans="1:8" x14ac:dyDescent="0.35">
      <c r="A1051" s="49"/>
      <c r="B1051" s="49"/>
      <c r="C1051" s="51" t="str">
        <f>IFERROR(VLOOKUP(B1051,منتجات!$A$3:$C$350,2,0),"")</f>
        <v/>
      </c>
      <c r="D1051" s="49" t="str">
        <f>IFERROR(VLOOKUP(B1051,منتجات!$A$3:$C$350,3,0),"")</f>
        <v/>
      </c>
      <c r="E1051" s="49"/>
      <c r="F1051" s="49" t="str">
        <f>IFERROR(INDEX(منتجات!$G$3:$G$114,MATCH(B1051,منتجات!$A$3:$A$115,0)),"")</f>
        <v/>
      </c>
      <c r="G1051" s="51" t="str">
        <f t="shared" si="18"/>
        <v/>
      </c>
      <c r="H1051" s="54"/>
    </row>
    <row r="1052" spans="1:8" x14ac:dyDescent="0.35">
      <c r="A1052" s="51"/>
      <c r="B1052" s="51"/>
      <c r="C1052" s="51" t="str">
        <f>IFERROR(VLOOKUP(B1052,منتجات!$A$3:$C$350,2,0),"")</f>
        <v/>
      </c>
      <c r="D1052" s="51" t="str">
        <f>IFERROR(VLOOKUP(B1052,منتجات!$A$3:$C$350,3,0),"")</f>
        <v/>
      </c>
      <c r="E1052" s="51"/>
      <c r="F1052" s="51" t="str">
        <f>IFERROR(INDEX(منتجات!$G$3:$G$114,MATCH(B1052,منتجات!$A$3:$A$115,0)),"")</f>
        <v/>
      </c>
      <c r="G1052" s="51" t="str">
        <f t="shared" si="18"/>
        <v/>
      </c>
      <c r="H1052" s="53"/>
    </row>
    <row r="1053" spans="1:8" x14ac:dyDescent="0.35">
      <c r="A1053" s="49"/>
      <c r="B1053" s="49"/>
      <c r="C1053" s="51" t="str">
        <f>IFERROR(VLOOKUP(B1053,منتجات!$A$3:$C$350,2,0),"")</f>
        <v/>
      </c>
      <c r="D1053" s="49" t="str">
        <f>IFERROR(VLOOKUP(B1053,منتجات!$A$3:$C$350,3,0),"")</f>
        <v/>
      </c>
      <c r="E1053" s="49"/>
      <c r="F1053" s="49" t="str">
        <f>IFERROR(INDEX(منتجات!$G$3:$G$114,MATCH(B1053,منتجات!$A$3:$A$115,0)),"")</f>
        <v/>
      </c>
      <c r="G1053" s="51" t="str">
        <f t="shared" si="18"/>
        <v/>
      </c>
      <c r="H1053" s="54"/>
    </row>
    <row r="1054" spans="1:8" x14ac:dyDescent="0.35">
      <c r="A1054" s="51"/>
      <c r="B1054" s="51"/>
      <c r="C1054" s="51" t="str">
        <f>IFERROR(VLOOKUP(B1054,منتجات!$A$3:$C$350,2,0),"")</f>
        <v/>
      </c>
      <c r="D1054" s="51" t="str">
        <f>IFERROR(VLOOKUP(B1054,منتجات!$A$3:$C$350,3,0),"")</f>
        <v/>
      </c>
      <c r="E1054" s="51"/>
      <c r="F1054" s="51" t="str">
        <f>IFERROR(INDEX(منتجات!$G$3:$G$114,MATCH(B1054,منتجات!$A$3:$A$115,0)),"")</f>
        <v/>
      </c>
      <c r="G1054" s="51" t="str">
        <f t="shared" si="18"/>
        <v/>
      </c>
      <c r="H1054" s="53"/>
    </row>
    <row r="1055" spans="1:8" x14ac:dyDescent="0.35">
      <c r="A1055" s="49"/>
      <c r="B1055" s="49"/>
      <c r="C1055" s="51" t="str">
        <f>IFERROR(VLOOKUP(B1055,منتجات!$A$3:$C$350,2,0),"")</f>
        <v/>
      </c>
      <c r="D1055" s="49" t="str">
        <f>IFERROR(VLOOKUP(B1055,منتجات!$A$3:$C$350,3,0),"")</f>
        <v/>
      </c>
      <c r="E1055" s="49"/>
      <c r="F1055" s="49" t="str">
        <f>IFERROR(INDEX(منتجات!$G$3:$G$114,MATCH(B1055,منتجات!$A$3:$A$115,0)),"")</f>
        <v/>
      </c>
      <c r="G1055" s="51" t="str">
        <f t="shared" si="18"/>
        <v/>
      </c>
      <c r="H1055" s="54"/>
    </row>
    <row r="1056" spans="1:8" x14ac:dyDescent="0.35">
      <c r="A1056" s="51"/>
      <c r="B1056" s="51"/>
      <c r="C1056" s="51" t="str">
        <f>IFERROR(VLOOKUP(B1056,منتجات!$A$3:$C$350,2,0),"")</f>
        <v/>
      </c>
      <c r="D1056" s="51" t="str">
        <f>IFERROR(VLOOKUP(B1056,منتجات!$A$3:$C$350,3,0),"")</f>
        <v/>
      </c>
      <c r="E1056" s="51"/>
      <c r="F1056" s="51" t="str">
        <f>IFERROR(INDEX(منتجات!$G$3:$G$114,MATCH(B1056,منتجات!$A$3:$A$115,0)),"")</f>
        <v/>
      </c>
      <c r="G1056" s="51" t="str">
        <f t="shared" si="18"/>
        <v/>
      </c>
      <c r="H1056" s="53"/>
    </row>
    <row r="1057" spans="1:8" x14ac:dyDescent="0.35">
      <c r="A1057" s="49"/>
      <c r="B1057" s="49"/>
      <c r="C1057" s="51" t="str">
        <f>IFERROR(VLOOKUP(B1057,منتجات!$A$3:$C$350,2,0),"")</f>
        <v/>
      </c>
      <c r="D1057" s="49" t="str">
        <f>IFERROR(VLOOKUP(B1057,منتجات!$A$3:$C$350,3,0),"")</f>
        <v/>
      </c>
      <c r="E1057" s="49"/>
      <c r="F1057" s="49" t="str">
        <f>IFERROR(INDEX(منتجات!$G$3:$G$114,MATCH(B1057,منتجات!$A$3:$A$115,0)),"")</f>
        <v/>
      </c>
      <c r="G1057" s="51" t="str">
        <f t="shared" si="18"/>
        <v/>
      </c>
      <c r="H1057" s="54"/>
    </row>
    <row r="1058" spans="1:8" x14ac:dyDescent="0.35">
      <c r="A1058" s="51"/>
      <c r="B1058" s="51"/>
      <c r="C1058" s="51" t="str">
        <f>IFERROR(VLOOKUP(B1058,منتجات!$A$3:$C$350,2,0),"")</f>
        <v/>
      </c>
      <c r="D1058" s="51" t="str">
        <f>IFERROR(VLOOKUP(B1058,منتجات!$A$3:$C$350,3,0),"")</f>
        <v/>
      </c>
      <c r="E1058" s="51"/>
      <c r="F1058" s="51" t="str">
        <f>IFERROR(INDEX(منتجات!$G$3:$G$114,MATCH(B1058,منتجات!$A$3:$A$115,0)),"")</f>
        <v/>
      </c>
      <c r="G1058" s="51" t="str">
        <f t="shared" si="18"/>
        <v/>
      </c>
      <c r="H1058" s="53"/>
    </row>
    <row r="1059" spans="1:8" x14ac:dyDescent="0.35">
      <c r="A1059" s="49"/>
      <c r="B1059" s="49"/>
      <c r="C1059" s="51" t="str">
        <f>IFERROR(VLOOKUP(B1059,منتجات!$A$3:$C$350,2,0),"")</f>
        <v/>
      </c>
      <c r="D1059" s="49" t="str">
        <f>IFERROR(VLOOKUP(B1059,منتجات!$A$3:$C$350,3,0),"")</f>
        <v/>
      </c>
      <c r="E1059" s="49"/>
      <c r="F1059" s="49" t="str">
        <f>IFERROR(INDEX(منتجات!$G$3:$G$114,MATCH(B1059,منتجات!$A$3:$A$115,0)),"")</f>
        <v/>
      </c>
      <c r="G1059" s="51" t="str">
        <f t="shared" si="18"/>
        <v/>
      </c>
      <c r="H1059" s="54"/>
    </row>
    <row r="1060" spans="1:8" x14ac:dyDescent="0.35">
      <c r="A1060" s="51"/>
      <c r="B1060" s="51"/>
      <c r="C1060" s="51" t="str">
        <f>IFERROR(VLOOKUP(B1060,منتجات!$A$3:$C$350,2,0),"")</f>
        <v/>
      </c>
      <c r="D1060" s="51" t="str">
        <f>IFERROR(VLOOKUP(B1060,منتجات!$A$3:$C$350,3,0),"")</f>
        <v/>
      </c>
      <c r="E1060" s="51"/>
      <c r="F1060" s="51" t="str">
        <f>IFERROR(INDEX(منتجات!$G$3:$G$114,MATCH(B1060,منتجات!$A$3:$A$115,0)),"")</f>
        <v/>
      </c>
      <c r="G1060" s="51" t="str">
        <f t="shared" si="18"/>
        <v/>
      </c>
      <c r="H1060" s="53"/>
    </row>
    <row r="1061" spans="1:8" x14ac:dyDescent="0.35">
      <c r="A1061" s="49"/>
      <c r="B1061" s="49"/>
      <c r="C1061" s="51" t="str">
        <f>IFERROR(VLOOKUP(B1061,منتجات!$A$3:$C$350,2,0),"")</f>
        <v/>
      </c>
      <c r="D1061" s="49" t="str">
        <f>IFERROR(VLOOKUP(B1061,منتجات!$A$3:$C$350,3,0),"")</f>
        <v/>
      </c>
      <c r="E1061" s="49"/>
      <c r="F1061" s="49" t="str">
        <f>IFERROR(INDEX(منتجات!$G$3:$G$114,MATCH(B1061,منتجات!$A$3:$A$115,0)),"")</f>
        <v/>
      </c>
      <c r="G1061" s="51" t="str">
        <f t="shared" si="18"/>
        <v/>
      </c>
      <c r="H1061" s="54"/>
    </row>
    <row r="1062" spans="1:8" x14ac:dyDescent="0.35">
      <c r="A1062" s="51"/>
      <c r="B1062" s="51"/>
      <c r="C1062" s="51" t="str">
        <f>IFERROR(VLOOKUP(B1062,منتجات!$A$3:$C$350,2,0),"")</f>
        <v/>
      </c>
      <c r="D1062" s="51" t="str">
        <f>IFERROR(VLOOKUP(B1062,منتجات!$A$3:$C$350,3,0),"")</f>
        <v/>
      </c>
      <c r="E1062" s="51"/>
      <c r="F1062" s="51" t="str">
        <f>IFERROR(INDEX(منتجات!$G$3:$G$114,MATCH(B1062,منتجات!$A$3:$A$115,0)),"")</f>
        <v/>
      </c>
      <c r="G1062" s="51" t="str">
        <f t="shared" si="18"/>
        <v/>
      </c>
      <c r="H1062" s="53"/>
    </row>
    <row r="1063" spans="1:8" x14ac:dyDescent="0.35">
      <c r="A1063" s="49"/>
      <c r="B1063" s="49"/>
      <c r="C1063" s="51" t="str">
        <f>IFERROR(VLOOKUP(B1063,منتجات!$A$3:$C$350,2,0),"")</f>
        <v/>
      </c>
      <c r="D1063" s="49" t="str">
        <f>IFERROR(VLOOKUP(B1063,منتجات!$A$3:$C$350,3,0),"")</f>
        <v/>
      </c>
      <c r="E1063" s="49"/>
      <c r="F1063" s="49" t="str">
        <f>IFERROR(INDEX(منتجات!$G$3:$G$114,MATCH(B1063,منتجات!$A$3:$A$115,0)),"")</f>
        <v/>
      </c>
      <c r="G1063" s="51" t="str">
        <f t="shared" si="18"/>
        <v/>
      </c>
      <c r="H1063" s="54"/>
    </row>
    <row r="1064" spans="1:8" x14ac:dyDescent="0.35">
      <c r="A1064" s="51"/>
      <c r="B1064" s="51"/>
      <c r="C1064" s="51" t="str">
        <f>IFERROR(VLOOKUP(B1064,منتجات!$A$3:$C$350,2,0),"")</f>
        <v/>
      </c>
      <c r="D1064" s="51" t="str">
        <f>IFERROR(VLOOKUP(B1064,منتجات!$A$3:$C$350,3,0),"")</f>
        <v/>
      </c>
      <c r="E1064" s="51"/>
      <c r="F1064" s="51" t="str">
        <f>IFERROR(INDEX(منتجات!$G$3:$G$114,MATCH(B1064,منتجات!$A$3:$A$115,0)),"")</f>
        <v/>
      </c>
      <c r="G1064" s="51" t="str">
        <f t="shared" si="18"/>
        <v/>
      </c>
      <c r="H1064" s="53"/>
    </row>
    <row r="1065" spans="1:8" x14ac:dyDescent="0.35">
      <c r="A1065" s="49"/>
      <c r="B1065" s="49"/>
      <c r="C1065" s="51" t="str">
        <f>IFERROR(VLOOKUP(B1065,منتجات!$A$3:$C$350,2,0),"")</f>
        <v/>
      </c>
      <c r="D1065" s="49" t="str">
        <f>IFERROR(VLOOKUP(B1065,منتجات!$A$3:$C$350,3,0),"")</f>
        <v/>
      </c>
      <c r="E1065" s="49"/>
      <c r="F1065" s="49" t="str">
        <f>IFERROR(INDEX(منتجات!$G$3:$G$114,MATCH(B1065,منتجات!$A$3:$A$115,0)),"")</f>
        <v/>
      </c>
      <c r="G1065" s="51" t="str">
        <f t="shared" si="18"/>
        <v/>
      </c>
      <c r="H1065" s="54"/>
    </row>
    <row r="1066" spans="1:8" x14ac:dyDescent="0.35">
      <c r="A1066" s="51"/>
      <c r="B1066" s="51"/>
      <c r="C1066" s="51" t="str">
        <f>IFERROR(VLOOKUP(B1066,منتجات!$A$3:$C$350,2,0),"")</f>
        <v/>
      </c>
      <c r="D1066" s="51" t="str">
        <f>IFERROR(VLOOKUP(B1066,منتجات!$A$3:$C$350,3,0),"")</f>
        <v/>
      </c>
      <c r="E1066" s="51"/>
      <c r="F1066" s="51" t="str">
        <f>IFERROR(INDEX(منتجات!$G$3:$G$114,MATCH(B1066,منتجات!$A$3:$A$115,0)),"")</f>
        <v/>
      </c>
      <c r="G1066" s="51" t="str">
        <f t="shared" si="18"/>
        <v/>
      </c>
      <c r="H1066" s="53"/>
    </row>
    <row r="1067" spans="1:8" x14ac:dyDescent="0.35">
      <c r="A1067" s="49"/>
      <c r="B1067" s="49"/>
      <c r="C1067" s="51" t="str">
        <f>IFERROR(VLOOKUP(B1067,منتجات!$A$3:$C$350,2,0),"")</f>
        <v/>
      </c>
      <c r="D1067" s="49" t="str">
        <f>IFERROR(VLOOKUP(B1067,منتجات!$A$3:$C$350,3,0),"")</f>
        <v/>
      </c>
      <c r="E1067" s="49"/>
      <c r="F1067" s="49" t="str">
        <f>IFERROR(INDEX(منتجات!$G$3:$G$114,MATCH(B1067,منتجات!$A$3:$A$115,0)),"")</f>
        <v/>
      </c>
      <c r="G1067" s="51" t="str">
        <f t="shared" si="18"/>
        <v/>
      </c>
      <c r="H1067" s="54"/>
    </row>
    <row r="1068" spans="1:8" x14ac:dyDescent="0.35">
      <c r="A1068" s="51"/>
      <c r="B1068" s="51"/>
      <c r="C1068" s="51" t="str">
        <f>IFERROR(VLOOKUP(B1068,منتجات!$A$3:$C$350,2,0),"")</f>
        <v/>
      </c>
      <c r="D1068" s="51" t="str">
        <f>IFERROR(VLOOKUP(B1068,منتجات!$A$3:$C$350,3,0),"")</f>
        <v/>
      </c>
      <c r="E1068" s="51"/>
      <c r="F1068" s="51" t="str">
        <f>IFERROR(INDEX(منتجات!$G$3:$G$114,MATCH(B1068,منتجات!$A$3:$A$115,0)),"")</f>
        <v/>
      </c>
      <c r="G1068" s="51" t="str">
        <f t="shared" si="18"/>
        <v/>
      </c>
      <c r="H1068" s="53"/>
    </row>
    <row r="1069" spans="1:8" x14ac:dyDescent="0.35">
      <c r="A1069" s="49"/>
      <c r="B1069" s="49"/>
      <c r="C1069" s="51" t="str">
        <f>IFERROR(VLOOKUP(B1069,منتجات!$A$3:$C$350,2,0),"")</f>
        <v/>
      </c>
      <c r="D1069" s="49" t="str">
        <f>IFERROR(VLOOKUP(B1069,منتجات!$A$3:$C$350,3,0),"")</f>
        <v/>
      </c>
      <c r="E1069" s="49"/>
      <c r="F1069" s="49" t="str">
        <f>IFERROR(INDEX(منتجات!$G$3:$G$114,MATCH(B1069,منتجات!$A$3:$A$115,0)),"")</f>
        <v/>
      </c>
      <c r="G1069" s="51" t="str">
        <f t="shared" si="18"/>
        <v/>
      </c>
      <c r="H1069" s="54"/>
    </row>
    <row r="1070" spans="1:8" x14ac:dyDescent="0.35">
      <c r="A1070" s="51"/>
      <c r="B1070" s="51"/>
      <c r="C1070" s="51" t="str">
        <f>IFERROR(VLOOKUP(B1070,منتجات!$A$3:$C$350,2,0),"")</f>
        <v/>
      </c>
      <c r="D1070" s="51" t="str">
        <f>IFERROR(VLOOKUP(B1070,منتجات!$A$3:$C$350,3,0),"")</f>
        <v/>
      </c>
      <c r="E1070" s="51"/>
      <c r="F1070" s="51" t="str">
        <f>IFERROR(INDEX(منتجات!$G$3:$G$114,MATCH(B1070,منتجات!$A$3:$A$115,0)),"")</f>
        <v/>
      </c>
      <c r="G1070" s="51" t="str">
        <f t="shared" si="18"/>
        <v/>
      </c>
      <c r="H1070" s="53"/>
    </row>
    <row r="1071" spans="1:8" x14ac:dyDescent="0.35">
      <c r="A1071" s="49"/>
      <c r="B1071" s="49"/>
      <c r="C1071" s="51" t="str">
        <f>IFERROR(VLOOKUP(B1071,منتجات!$A$3:$C$350,2,0),"")</f>
        <v/>
      </c>
      <c r="D1071" s="49" t="str">
        <f>IFERROR(VLOOKUP(B1071,منتجات!$A$3:$C$350,3,0),"")</f>
        <v/>
      </c>
      <c r="E1071" s="49"/>
      <c r="F1071" s="49" t="str">
        <f>IFERROR(INDEX(منتجات!$G$3:$G$114,MATCH(B1071,منتجات!$A$3:$A$115,0)),"")</f>
        <v/>
      </c>
      <c r="G1071" s="51" t="str">
        <f t="shared" si="18"/>
        <v/>
      </c>
      <c r="H1071" s="54"/>
    </row>
    <row r="1072" spans="1:8" x14ac:dyDescent="0.35">
      <c r="A1072" s="51"/>
      <c r="B1072" s="51"/>
      <c r="C1072" s="51" t="str">
        <f>IFERROR(VLOOKUP(B1072,منتجات!$A$3:$C$350,2,0),"")</f>
        <v/>
      </c>
      <c r="D1072" s="51" t="str">
        <f>IFERROR(VLOOKUP(B1072,منتجات!$A$3:$C$350,3,0),"")</f>
        <v/>
      </c>
      <c r="E1072" s="51"/>
      <c r="F1072" s="51" t="str">
        <f>IFERROR(INDEX(منتجات!$G$3:$G$114,MATCH(B1072,منتجات!$A$3:$A$115,0)),"")</f>
        <v/>
      </c>
      <c r="G1072" s="51" t="str">
        <f t="shared" si="18"/>
        <v/>
      </c>
      <c r="H1072" s="53"/>
    </row>
    <row r="1073" spans="1:8" x14ac:dyDescent="0.35">
      <c r="A1073" s="49"/>
      <c r="B1073" s="49"/>
      <c r="C1073" s="51" t="str">
        <f>IFERROR(VLOOKUP(B1073,منتجات!$A$3:$C$350,2,0),"")</f>
        <v/>
      </c>
      <c r="D1073" s="49" t="str">
        <f>IFERROR(VLOOKUP(B1073,منتجات!$A$3:$C$350,3,0),"")</f>
        <v/>
      </c>
      <c r="E1073" s="49"/>
      <c r="F1073" s="49" t="str">
        <f>IFERROR(INDEX(منتجات!$G$3:$G$114,MATCH(B1073,منتجات!$A$3:$A$115,0)),"")</f>
        <v/>
      </c>
      <c r="G1073" s="51" t="str">
        <f t="shared" si="18"/>
        <v/>
      </c>
      <c r="H1073" s="54"/>
    </row>
    <row r="1074" spans="1:8" x14ac:dyDescent="0.35">
      <c r="A1074" s="51"/>
      <c r="B1074" s="51"/>
      <c r="C1074" s="51" t="str">
        <f>IFERROR(VLOOKUP(B1074,منتجات!$A$3:$C$350,2,0),"")</f>
        <v/>
      </c>
      <c r="D1074" s="51" t="str">
        <f>IFERROR(VLOOKUP(B1074,منتجات!$A$3:$C$350,3,0),"")</f>
        <v/>
      </c>
      <c r="E1074" s="51"/>
      <c r="F1074" s="51" t="str">
        <f>IFERROR(INDEX(منتجات!$G$3:$G$114,MATCH(B1074,منتجات!$A$3:$A$115,0)),"")</f>
        <v/>
      </c>
      <c r="G1074" s="51" t="str">
        <f t="shared" si="18"/>
        <v/>
      </c>
      <c r="H1074" s="53"/>
    </row>
    <row r="1075" spans="1:8" x14ac:dyDescent="0.35">
      <c r="A1075" s="49"/>
      <c r="B1075" s="49"/>
      <c r="C1075" s="51" t="str">
        <f>IFERROR(VLOOKUP(B1075,منتجات!$A$3:$C$350,2,0),"")</f>
        <v/>
      </c>
      <c r="D1075" s="49" t="str">
        <f>IFERROR(VLOOKUP(B1075,منتجات!$A$3:$C$350,3,0),"")</f>
        <v/>
      </c>
      <c r="E1075" s="49"/>
      <c r="F1075" s="49" t="str">
        <f>IFERROR(INDEX(منتجات!$G$3:$G$114,MATCH(B1075,منتجات!$A$3:$A$115,0)),"")</f>
        <v/>
      </c>
      <c r="G1075" s="51" t="str">
        <f t="shared" si="18"/>
        <v/>
      </c>
      <c r="H1075" s="54"/>
    </row>
    <row r="1076" spans="1:8" x14ac:dyDescent="0.35">
      <c r="A1076" s="51"/>
      <c r="B1076" s="51"/>
      <c r="C1076" s="51" t="str">
        <f>IFERROR(VLOOKUP(B1076,منتجات!$A$3:$C$350,2,0),"")</f>
        <v/>
      </c>
      <c r="D1076" s="51" t="str">
        <f>IFERROR(VLOOKUP(B1076,منتجات!$A$3:$C$350,3,0),"")</f>
        <v/>
      </c>
      <c r="E1076" s="51"/>
      <c r="F1076" s="51" t="str">
        <f>IFERROR(INDEX(منتجات!$G$3:$G$114,MATCH(B1076,منتجات!$A$3:$A$115,0)),"")</f>
        <v/>
      </c>
      <c r="G1076" s="51" t="str">
        <f t="shared" si="18"/>
        <v/>
      </c>
      <c r="H1076" s="53"/>
    </row>
    <row r="1077" spans="1:8" x14ac:dyDescent="0.35">
      <c r="A1077" s="49"/>
      <c r="B1077" s="49"/>
      <c r="C1077" s="51" t="str">
        <f>IFERROR(VLOOKUP(B1077,منتجات!$A$3:$C$350,2,0),"")</f>
        <v/>
      </c>
      <c r="D1077" s="49" t="str">
        <f>IFERROR(VLOOKUP(B1077,منتجات!$A$3:$C$350,3,0),"")</f>
        <v/>
      </c>
      <c r="E1077" s="49"/>
      <c r="F1077" s="49" t="str">
        <f>IFERROR(INDEX(منتجات!$G$3:$G$114,MATCH(B1077,منتجات!$A$3:$A$115,0)),"")</f>
        <v/>
      </c>
      <c r="G1077" s="51" t="str">
        <f t="shared" si="18"/>
        <v/>
      </c>
      <c r="H1077" s="54"/>
    </row>
    <row r="1078" spans="1:8" x14ac:dyDescent="0.35">
      <c r="A1078" s="51"/>
      <c r="B1078" s="51"/>
      <c r="C1078" s="51" t="str">
        <f>IFERROR(VLOOKUP(B1078,منتجات!$A$3:$C$350,2,0),"")</f>
        <v/>
      </c>
      <c r="D1078" s="51" t="str">
        <f>IFERROR(VLOOKUP(B1078,منتجات!$A$3:$C$350,3,0),"")</f>
        <v/>
      </c>
      <c r="E1078" s="51"/>
      <c r="F1078" s="51" t="str">
        <f>IFERROR(INDEX(منتجات!$G$3:$G$114,MATCH(B1078,منتجات!$A$3:$A$115,0)),"")</f>
        <v/>
      </c>
      <c r="G1078" s="51" t="str">
        <f t="shared" si="18"/>
        <v/>
      </c>
      <c r="H1078" s="53"/>
    </row>
    <row r="1079" spans="1:8" x14ac:dyDescent="0.35">
      <c r="A1079" s="49"/>
      <c r="B1079" s="49"/>
      <c r="C1079" s="51" t="str">
        <f>IFERROR(VLOOKUP(B1079,منتجات!$A$3:$C$350,2,0),"")</f>
        <v/>
      </c>
      <c r="D1079" s="49" t="str">
        <f>IFERROR(VLOOKUP(B1079,منتجات!$A$3:$C$350,3,0),"")</f>
        <v/>
      </c>
      <c r="E1079" s="49"/>
      <c r="F1079" s="49" t="str">
        <f>IFERROR(INDEX(منتجات!$G$3:$G$114,MATCH(B1079,منتجات!$A$3:$A$115,0)),"")</f>
        <v/>
      </c>
      <c r="G1079" s="51" t="str">
        <f t="shared" si="18"/>
        <v/>
      </c>
      <c r="H1079" s="54"/>
    </row>
    <row r="1080" spans="1:8" x14ac:dyDescent="0.35">
      <c r="A1080" s="51"/>
      <c r="B1080" s="51"/>
      <c r="C1080" s="51" t="str">
        <f>IFERROR(VLOOKUP(B1080,منتجات!$A$3:$C$350,2,0),"")</f>
        <v/>
      </c>
      <c r="D1080" s="51" t="str">
        <f>IFERROR(VLOOKUP(B1080,منتجات!$A$3:$C$350,3,0),"")</f>
        <v/>
      </c>
      <c r="E1080" s="51"/>
      <c r="F1080" s="51" t="str">
        <f>IFERROR(INDEX(منتجات!$G$3:$G$114,MATCH(B1080,منتجات!$A$3:$A$115,0)),"")</f>
        <v/>
      </c>
      <c r="G1080" s="51" t="str">
        <f t="shared" si="18"/>
        <v/>
      </c>
      <c r="H1080" s="53"/>
    </row>
    <row r="1081" spans="1:8" x14ac:dyDescent="0.35">
      <c r="A1081" s="49"/>
      <c r="B1081" s="49"/>
      <c r="C1081" s="51" t="str">
        <f>IFERROR(VLOOKUP(B1081,منتجات!$A$3:$C$350,2,0),"")</f>
        <v/>
      </c>
      <c r="D1081" s="49" t="str">
        <f>IFERROR(VLOOKUP(B1081,منتجات!$A$3:$C$350,3,0),"")</f>
        <v/>
      </c>
      <c r="E1081" s="49"/>
      <c r="F1081" s="49" t="str">
        <f>IFERROR(INDEX(منتجات!$G$3:$G$114,MATCH(B1081,منتجات!$A$3:$A$115,0)),"")</f>
        <v/>
      </c>
      <c r="G1081" s="51" t="str">
        <f t="shared" si="18"/>
        <v/>
      </c>
      <c r="H1081" s="54"/>
    </row>
    <row r="1082" spans="1:8" x14ac:dyDescent="0.35">
      <c r="A1082" s="51"/>
      <c r="B1082" s="51"/>
      <c r="C1082" s="51" t="str">
        <f>IFERROR(VLOOKUP(B1082,منتجات!$A$3:$C$350,2,0),"")</f>
        <v/>
      </c>
      <c r="D1082" s="51" t="str">
        <f>IFERROR(VLOOKUP(B1082,منتجات!$A$3:$C$350,3,0),"")</f>
        <v/>
      </c>
      <c r="E1082" s="51"/>
      <c r="F1082" s="51" t="str">
        <f>IFERROR(INDEX(منتجات!$G$3:$G$114,MATCH(B1082,منتجات!$A$3:$A$115,0)),"")</f>
        <v/>
      </c>
      <c r="G1082" s="51" t="str">
        <f t="shared" si="18"/>
        <v/>
      </c>
      <c r="H1082" s="53"/>
    </row>
    <row r="1083" spans="1:8" x14ac:dyDescent="0.35">
      <c r="A1083" s="49"/>
      <c r="B1083" s="49"/>
      <c r="C1083" s="51" t="str">
        <f>IFERROR(VLOOKUP(B1083,منتجات!$A$3:$C$350,2,0),"")</f>
        <v/>
      </c>
      <c r="D1083" s="49" t="str">
        <f>IFERROR(VLOOKUP(B1083,منتجات!$A$3:$C$350,3,0),"")</f>
        <v/>
      </c>
      <c r="E1083" s="49"/>
      <c r="F1083" s="49" t="str">
        <f>IFERROR(INDEX(منتجات!$G$3:$G$114,MATCH(B1083,منتجات!$A$3:$A$115,0)),"")</f>
        <v/>
      </c>
      <c r="G1083" s="51" t="str">
        <f t="shared" si="18"/>
        <v/>
      </c>
      <c r="H1083" s="54"/>
    </row>
    <row r="1084" spans="1:8" x14ac:dyDescent="0.35">
      <c r="A1084" s="51"/>
      <c r="B1084" s="51"/>
      <c r="C1084" s="51" t="str">
        <f>IFERROR(VLOOKUP(B1084,منتجات!$A$3:$C$350,2,0),"")</f>
        <v/>
      </c>
      <c r="D1084" s="51" t="str">
        <f>IFERROR(VLOOKUP(B1084,منتجات!$A$3:$C$350,3,0),"")</f>
        <v/>
      </c>
      <c r="E1084" s="51"/>
      <c r="F1084" s="51" t="str">
        <f>IFERROR(INDEX(منتجات!$G$3:$G$114,MATCH(B1084,منتجات!$A$3:$A$115,0)),"")</f>
        <v/>
      </c>
      <c r="G1084" s="51" t="str">
        <f t="shared" si="18"/>
        <v/>
      </c>
      <c r="H1084" s="53"/>
    </row>
    <row r="1085" spans="1:8" x14ac:dyDescent="0.35">
      <c r="A1085" s="49"/>
      <c r="B1085" s="49"/>
      <c r="C1085" s="51" t="str">
        <f>IFERROR(VLOOKUP(B1085,منتجات!$A$3:$C$350,2,0),"")</f>
        <v/>
      </c>
      <c r="D1085" s="49" t="str">
        <f>IFERROR(VLOOKUP(B1085,منتجات!$A$3:$C$350,3,0),"")</f>
        <v/>
      </c>
      <c r="E1085" s="49"/>
      <c r="F1085" s="49" t="str">
        <f>IFERROR(INDEX(منتجات!$G$3:$G$114,MATCH(B1085,منتجات!$A$3:$A$115,0)),"")</f>
        <v/>
      </c>
      <c r="G1085" s="51" t="str">
        <f t="shared" si="18"/>
        <v/>
      </c>
      <c r="H1085" s="54"/>
    </row>
    <row r="1086" spans="1:8" x14ac:dyDescent="0.35">
      <c r="A1086" s="51"/>
      <c r="B1086" s="51"/>
      <c r="C1086" s="51" t="str">
        <f>IFERROR(VLOOKUP(B1086,منتجات!$A$3:$C$350,2,0),"")</f>
        <v/>
      </c>
      <c r="D1086" s="51" t="str">
        <f>IFERROR(VLOOKUP(B1086,منتجات!$A$3:$C$350,3,0),"")</f>
        <v/>
      </c>
      <c r="E1086" s="51"/>
      <c r="F1086" s="51" t="str">
        <f>IFERROR(INDEX(منتجات!$G$3:$G$114,MATCH(B1086,منتجات!$A$3:$A$115,0)),"")</f>
        <v/>
      </c>
      <c r="G1086" s="51" t="str">
        <f t="shared" si="18"/>
        <v/>
      </c>
      <c r="H1086" s="53"/>
    </row>
    <row r="1087" spans="1:8" x14ac:dyDescent="0.35">
      <c r="A1087" s="49"/>
      <c r="B1087" s="49"/>
      <c r="C1087" s="51" t="str">
        <f>IFERROR(VLOOKUP(B1087,منتجات!$A$3:$C$350,2,0),"")</f>
        <v/>
      </c>
      <c r="D1087" s="49" t="str">
        <f>IFERROR(VLOOKUP(B1087,منتجات!$A$3:$C$350,3,0),"")</f>
        <v/>
      </c>
      <c r="E1087" s="49"/>
      <c r="F1087" s="49" t="str">
        <f>IFERROR(INDEX(منتجات!$G$3:$G$114,MATCH(B1087,منتجات!$A$3:$A$115,0)),"")</f>
        <v/>
      </c>
      <c r="G1087" s="51" t="str">
        <f t="shared" si="18"/>
        <v/>
      </c>
      <c r="H1087" s="54"/>
    </row>
    <row r="1088" spans="1:8" x14ac:dyDescent="0.35">
      <c r="A1088" s="51"/>
      <c r="B1088" s="51"/>
      <c r="C1088" s="51" t="str">
        <f>IFERROR(VLOOKUP(B1088,منتجات!$A$3:$C$350,2,0),"")</f>
        <v/>
      </c>
      <c r="D1088" s="51" t="str">
        <f>IFERROR(VLOOKUP(B1088,منتجات!$A$3:$C$350,3,0),"")</f>
        <v/>
      </c>
      <c r="E1088" s="51"/>
      <c r="F1088" s="51" t="str">
        <f>IFERROR(INDEX(منتجات!$G$3:$G$114,MATCH(B1088,منتجات!$A$3:$A$115,0)),"")</f>
        <v/>
      </c>
      <c r="G1088" s="51" t="str">
        <f t="shared" si="18"/>
        <v/>
      </c>
      <c r="H1088" s="53"/>
    </row>
    <row r="1089" spans="1:8" x14ac:dyDescent="0.35">
      <c r="A1089" s="49"/>
      <c r="B1089" s="49"/>
      <c r="C1089" s="51" t="str">
        <f>IFERROR(VLOOKUP(B1089,منتجات!$A$3:$C$350,2,0),"")</f>
        <v/>
      </c>
      <c r="D1089" s="49" t="str">
        <f>IFERROR(VLOOKUP(B1089,منتجات!$A$3:$C$350,3,0),"")</f>
        <v/>
      </c>
      <c r="E1089" s="49"/>
      <c r="F1089" s="49" t="str">
        <f>IFERROR(INDEX(منتجات!$G$3:$G$114,MATCH(B1089,منتجات!$A$3:$A$115,0)),"")</f>
        <v/>
      </c>
      <c r="G1089" s="51" t="str">
        <f t="shared" si="18"/>
        <v/>
      </c>
      <c r="H1089" s="54"/>
    </row>
    <row r="1090" spans="1:8" x14ac:dyDescent="0.35">
      <c r="A1090" s="51"/>
      <c r="B1090" s="51"/>
      <c r="C1090" s="51" t="str">
        <f>IFERROR(VLOOKUP(B1090,منتجات!$A$3:$C$350,2,0),"")</f>
        <v/>
      </c>
      <c r="D1090" s="51" t="str">
        <f>IFERROR(VLOOKUP(B1090,منتجات!$A$3:$C$350,3,0),"")</f>
        <v/>
      </c>
      <c r="E1090" s="51"/>
      <c r="F1090" s="51" t="str">
        <f>IFERROR(INDEX(منتجات!$G$3:$G$114,MATCH(B1090,منتجات!$A$3:$A$115,0)),"")</f>
        <v/>
      </c>
      <c r="G1090" s="51" t="str">
        <f t="shared" si="18"/>
        <v/>
      </c>
      <c r="H1090" s="53"/>
    </row>
    <row r="1091" spans="1:8" x14ac:dyDescent="0.35">
      <c r="A1091" s="49"/>
      <c r="B1091" s="49"/>
      <c r="C1091" s="51" t="str">
        <f>IFERROR(VLOOKUP(B1091,منتجات!$A$3:$C$350,2,0),"")</f>
        <v/>
      </c>
      <c r="D1091" s="49" t="str">
        <f>IFERROR(VLOOKUP(B1091,منتجات!$A$3:$C$350,3,0),"")</f>
        <v/>
      </c>
      <c r="E1091" s="49"/>
      <c r="F1091" s="49" t="str">
        <f>IFERROR(INDEX(منتجات!$G$3:$G$114,MATCH(B1091,منتجات!$A$3:$A$115,0)),"")</f>
        <v/>
      </c>
      <c r="G1091" s="51" t="str">
        <f t="shared" si="18"/>
        <v/>
      </c>
      <c r="H1091" s="54"/>
    </row>
    <row r="1092" spans="1:8" x14ac:dyDescent="0.35">
      <c r="A1092" s="51"/>
      <c r="B1092" s="51"/>
      <c r="C1092" s="51" t="str">
        <f>IFERROR(VLOOKUP(B1092,منتجات!$A$3:$C$350,2,0),"")</f>
        <v/>
      </c>
      <c r="D1092" s="51" t="str">
        <f>IFERROR(VLOOKUP(B1092,منتجات!$A$3:$C$350,3,0),"")</f>
        <v/>
      </c>
      <c r="E1092" s="51"/>
      <c r="F1092" s="51" t="str">
        <f>IFERROR(INDEX(منتجات!$G$3:$G$114,MATCH(B1092,منتجات!$A$3:$A$115,0)),"")</f>
        <v/>
      </c>
      <c r="G1092" s="51" t="str">
        <f t="shared" si="18"/>
        <v/>
      </c>
      <c r="H1092" s="53"/>
    </row>
    <row r="1093" spans="1:8" x14ac:dyDescent="0.35">
      <c r="A1093" s="49"/>
      <c r="B1093" s="49"/>
      <c r="C1093" s="51" t="str">
        <f>IFERROR(VLOOKUP(B1093,منتجات!$A$3:$C$350,2,0),"")</f>
        <v/>
      </c>
      <c r="D1093" s="49" t="str">
        <f>IFERROR(VLOOKUP(B1093,منتجات!$A$3:$C$350,3,0),"")</f>
        <v/>
      </c>
      <c r="E1093" s="49"/>
      <c r="F1093" s="49" t="str">
        <f>IFERROR(INDEX(منتجات!$G$3:$G$114,MATCH(B1093,منتجات!$A$3:$A$115,0)),"")</f>
        <v/>
      </c>
      <c r="G1093" s="51" t="str">
        <f t="shared" si="18"/>
        <v/>
      </c>
      <c r="H1093" s="54"/>
    </row>
    <row r="1094" spans="1:8" x14ac:dyDescent="0.35">
      <c r="A1094" s="51"/>
      <c r="B1094" s="51"/>
      <c r="C1094" s="51" t="str">
        <f>IFERROR(VLOOKUP(B1094,منتجات!$A$3:$C$350,2,0),"")</f>
        <v/>
      </c>
      <c r="D1094" s="51" t="str">
        <f>IFERROR(VLOOKUP(B1094,منتجات!$A$3:$C$350,3,0),"")</f>
        <v/>
      </c>
      <c r="E1094" s="51"/>
      <c r="F1094" s="51" t="str">
        <f>IFERROR(INDEX(منتجات!$G$3:$G$114,MATCH(B1094,منتجات!$A$3:$A$115,0)),"")</f>
        <v/>
      </c>
      <c r="G1094" s="51" t="str">
        <f t="shared" si="18"/>
        <v/>
      </c>
      <c r="H1094" s="53"/>
    </row>
    <row r="1095" spans="1:8" x14ac:dyDescent="0.35">
      <c r="A1095" s="49"/>
      <c r="B1095" s="49"/>
      <c r="C1095" s="51" t="str">
        <f>IFERROR(VLOOKUP(B1095,منتجات!$A$3:$C$350,2,0),"")</f>
        <v/>
      </c>
      <c r="D1095" s="49" t="str">
        <f>IFERROR(VLOOKUP(B1095,منتجات!$A$3:$C$350,3,0),"")</f>
        <v/>
      </c>
      <c r="E1095" s="49"/>
      <c r="F1095" s="49" t="str">
        <f>IFERROR(INDEX(منتجات!$G$3:$G$114,MATCH(B1095,منتجات!$A$3:$A$115,0)),"")</f>
        <v/>
      </c>
      <c r="G1095" s="51" t="str">
        <f t="shared" si="18"/>
        <v/>
      </c>
      <c r="H1095" s="54"/>
    </row>
    <row r="1096" spans="1:8" x14ac:dyDescent="0.35">
      <c r="A1096" s="51"/>
      <c r="B1096" s="51"/>
      <c r="C1096" s="51" t="str">
        <f>IFERROR(VLOOKUP(B1096,منتجات!$A$3:$C$350,2,0),"")</f>
        <v/>
      </c>
      <c r="D1096" s="51" t="str">
        <f>IFERROR(VLOOKUP(B1096,منتجات!$A$3:$C$350,3,0),"")</f>
        <v/>
      </c>
      <c r="E1096" s="51"/>
      <c r="F1096" s="51" t="str">
        <f>IFERROR(INDEX(منتجات!$G$3:$G$114,MATCH(B1096,منتجات!$A$3:$A$115,0)),"")</f>
        <v/>
      </c>
      <c r="G1096" s="51" t="str">
        <f t="shared" si="18"/>
        <v/>
      </c>
      <c r="H1096" s="53"/>
    </row>
    <row r="1097" spans="1:8" x14ac:dyDescent="0.35">
      <c r="A1097" s="49"/>
      <c r="B1097" s="49"/>
      <c r="C1097" s="51" t="str">
        <f>IFERROR(VLOOKUP(B1097,منتجات!$A$3:$C$350,2,0),"")</f>
        <v/>
      </c>
      <c r="D1097" s="49" t="str">
        <f>IFERROR(VLOOKUP(B1097,منتجات!$A$3:$C$350,3,0),"")</f>
        <v/>
      </c>
      <c r="E1097" s="49"/>
      <c r="F1097" s="49" t="str">
        <f>IFERROR(INDEX(منتجات!$G$3:$G$114,MATCH(B1097,منتجات!$A$3:$A$115,0)),"")</f>
        <v/>
      </c>
      <c r="G1097" s="51" t="str">
        <f t="shared" si="18"/>
        <v/>
      </c>
      <c r="H1097" s="54"/>
    </row>
    <row r="1098" spans="1:8" x14ac:dyDescent="0.35">
      <c r="A1098" s="51"/>
      <c r="B1098" s="51"/>
      <c r="C1098" s="51" t="str">
        <f>IFERROR(VLOOKUP(B1098,منتجات!$A$3:$C$350,2,0),"")</f>
        <v/>
      </c>
      <c r="D1098" s="51" t="str">
        <f>IFERROR(VLOOKUP(B1098,منتجات!$A$3:$C$350,3,0),"")</f>
        <v/>
      </c>
      <c r="E1098" s="51"/>
      <c r="F1098" s="51" t="str">
        <f>IFERROR(INDEX(منتجات!$G$3:$G$114,MATCH(B1098,منتجات!$A$3:$A$115,0)),"")</f>
        <v/>
      </c>
      <c r="G1098" s="51" t="str">
        <f t="shared" si="18"/>
        <v/>
      </c>
      <c r="H1098" s="53"/>
    </row>
    <row r="1099" spans="1:8" x14ac:dyDescent="0.35">
      <c r="A1099" s="49"/>
      <c r="B1099" s="49"/>
      <c r="C1099" s="51" t="str">
        <f>IFERROR(VLOOKUP(B1099,منتجات!$A$3:$C$350,2,0),"")</f>
        <v/>
      </c>
      <c r="D1099" s="49" t="str">
        <f>IFERROR(VLOOKUP(B1099,منتجات!$A$3:$C$350,3,0),"")</f>
        <v/>
      </c>
      <c r="E1099" s="49"/>
      <c r="F1099" s="49" t="str">
        <f>IFERROR(INDEX(منتجات!$G$3:$G$114,MATCH(B1099,منتجات!$A$3:$A$115,0)),"")</f>
        <v/>
      </c>
      <c r="G1099" s="51" t="str">
        <f t="shared" si="18"/>
        <v/>
      </c>
      <c r="H1099" s="54"/>
    </row>
    <row r="1100" spans="1:8" x14ac:dyDescent="0.35">
      <c r="A1100" s="51"/>
      <c r="B1100" s="51"/>
      <c r="C1100" s="51" t="str">
        <f>IFERROR(VLOOKUP(B1100,منتجات!$A$3:$C$350,2,0),"")</f>
        <v/>
      </c>
      <c r="D1100" s="51" t="str">
        <f>IFERROR(VLOOKUP(B1100,منتجات!$A$3:$C$350,3,0),"")</f>
        <v/>
      </c>
      <c r="E1100" s="51"/>
      <c r="F1100" s="51" t="str">
        <f>IFERROR(INDEX(منتجات!$G$3:$G$114,MATCH(B1100,منتجات!$A$3:$A$115,0)),"")</f>
        <v/>
      </c>
      <c r="G1100" s="51" t="str">
        <f t="shared" si="18"/>
        <v/>
      </c>
      <c r="H1100" s="53"/>
    </row>
    <row r="1101" spans="1:8" x14ac:dyDescent="0.35">
      <c r="A1101" s="49"/>
      <c r="B1101" s="49"/>
      <c r="C1101" s="51" t="str">
        <f>IFERROR(VLOOKUP(B1101,منتجات!$A$3:$C$350,2,0),"")</f>
        <v/>
      </c>
      <c r="D1101" s="49" t="str">
        <f>IFERROR(VLOOKUP(B1101,منتجات!$A$3:$C$350,3,0),"")</f>
        <v/>
      </c>
      <c r="E1101" s="49"/>
      <c r="F1101" s="49" t="str">
        <f>IFERROR(INDEX(منتجات!$G$3:$G$114,MATCH(B1101,منتجات!$A$3:$A$115,0)),"")</f>
        <v/>
      </c>
      <c r="G1101" s="51" t="str">
        <f t="shared" si="18"/>
        <v/>
      </c>
      <c r="H1101" s="54"/>
    </row>
    <row r="1102" spans="1:8" x14ac:dyDescent="0.35">
      <c r="A1102" s="51"/>
      <c r="B1102" s="51"/>
      <c r="C1102" s="51" t="str">
        <f>IFERROR(VLOOKUP(B1102,منتجات!$A$3:$C$350,2,0),"")</f>
        <v/>
      </c>
      <c r="D1102" s="51" t="str">
        <f>IFERROR(VLOOKUP(B1102,منتجات!$A$3:$C$350,3,0),"")</f>
        <v/>
      </c>
      <c r="E1102" s="51"/>
      <c r="F1102" s="51" t="str">
        <f>IFERROR(INDEX(منتجات!$G$3:$G$114,MATCH(B1102,منتجات!$A$3:$A$115,0)),"")</f>
        <v/>
      </c>
      <c r="G1102" s="51" t="str">
        <f t="shared" ref="G1102:G1165" si="19">IFERROR(E1102*F1102*D1102,"")</f>
        <v/>
      </c>
      <c r="H1102" s="53"/>
    </row>
    <row r="1103" spans="1:8" x14ac:dyDescent="0.35">
      <c r="A1103" s="49"/>
      <c r="B1103" s="49"/>
      <c r="C1103" s="51" t="str">
        <f>IFERROR(VLOOKUP(B1103,منتجات!$A$3:$C$350,2,0),"")</f>
        <v/>
      </c>
      <c r="D1103" s="49" t="str">
        <f>IFERROR(VLOOKUP(B1103,منتجات!$A$3:$C$350,3,0),"")</f>
        <v/>
      </c>
      <c r="E1103" s="49"/>
      <c r="F1103" s="49" t="str">
        <f>IFERROR(INDEX(منتجات!$G$3:$G$114,MATCH(B1103,منتجات!$A$3:$A$115,0)),"")</f>
        <v/>
      </c>
      <c r="G1103" s="51" t="str">
        <f t="shared" si="19"/>
        <v/>
      </c>
      <c r="H1103" s="54"/>
    </row>
    <row r="1104" spans="1:8" x14ac:dyDescent="0.35">
      <c r="A1104" s="51"/>
      <c r="B1104" s="51"/>
      <c r="C1104" s="51" t="str">
        <f>IFERROR(VLOOKUP(B1104,منتجات!$A$3:$C$350,2,0),"")</f>
        <v/>
      </c>
      <c r="D1104" s="51" t="str">
        <f>IFERROR(VLOOKUP(B1104,منتجات!$A$3:$C$350,3,0),"")</f>
        <v/>
      </c>
      <c r="E1104" s="51"/>
      <c r="F1104" s="51" t="str">
        <f>IFERROR(INDEX(منتجات!$G$3:$G$114,MATCH(B1104,منتجات!$A$3:$A$115,0)),"")</f>
        <v/>
      </c>
      <c r="G1104" s="51" t="str">
        <f t="shared" si="19"/>
        <v/>
      </c>
      <c r="H1104" s="53"/>
    </row>
    <row r="1105" spans="1:8" x14ac:dyDescent="0.35">
      <c r="A1105" s="49"/>
      <c r="B1105" s="49"/>
      <c r="C1105" s="51" t="str">
        <f>IFERROR(VLOOKUP(B1105,منتجات!$A$3:$C$350,2,0),"")</f>
        <v/>
      </c>
      <c r="D1105" s="49" t="str">
        <f>IFERROR(VLOOKUP(B1105,منتجات!$A$3:$C$350,3,0),"")</f>
        <v/>
      </c>
      <c r="E1105" s="49"/>
      <c r="F1105" s="49" t="str">
        <f>IFERROR(INDEX(منتجات!$G$3:$G$114,MATCH(B1105,منتجات!$A$3:$A$115,0)),"")</f>
        <v/>
      </c>
      <c r="G1105" s="51" t="str">
        <f t="shared" si="19"/>
        <v/>
      </c>
      <c r="H1105" s="54"/>
    </row>
    <row r="1106" spans="1:8" x14ac:dyDescent="0.35">
      <c r="A1106" s="51"/>
      <c r="B1106" s="51"/>
      <c r="C1106" s="51" t="str">
        <f>IFERROR(VLOOKUP(B1106,منتجات!$A$3:$C$350,2,0),"")</f>
        <v/>
      </c>
      <c r="D1106" s="51" t="str">
        <f>IFERROR(VLOOKUP(B1106,منتجات!$A$3:$C$350,3,0),"")</f>
        <v/>
      </c>
      <c r="E1106" s="51"/>
      <c r="F1106" s="51" t="str">
        <f>IFERROR(INDEX(منتجات!$G$3:$G$114,MATCH(B1106,منتجات!$A$3:$A$115,0)),"")</f>
        <v/>
      </c>
      <c r="G1106" s="51" t="str">
        <f t="shared" si="19"/>
        <v/>
      </c>
      <c r="H1106" s="53"/>
    </row>
    <row r="1107" spans="1:8" x14ac:dyDescent="0.35">
      <c r="A1107" s="49"/>
      <c r="B1107" s="49"/>
      <c r="C1107" s="51" t="str">
        <f>IFERROR(VLOOKUP(B1107,منتجات!$A$3:$C$350,2,0),"")</f>
        <v/>
      </c>
      <c r="D1107" s="49" t="str">
        <f>IFERROR(VLOOKUP(B1107,منتجات!$A$3:$C$350,3,0),"")</f>
        <v/>
      </c>
      <c r="E1107" s="49"/>
      <c r="F1107" s="49" t="str">
        <f>IFERROR(INDEX(منتجات!$G$3:$G$114,MATCH(B1107,منتجات!$A$3:$A$115,0)),"")</f>
        <v/>
      </c>
      <c r="G1107" s="51" t="str">
        <f t="shared" si="19"/>
        <v/>
      </c>
      <c r="H1107" s="54"/>
    </row>
    <row r="1108" spans="1:8" x14ac:dyDescent="0.35">
      <c r="A1108" s="51"/>
      <c r="B1108" s="51"/>
      <c r="C1108" s="51" t="str">
        <f>IFERROR(VLOOKUP(B1108,منتجات!$A$3:$C$350,2,0),"")</f>
        <v/>
      </c>
      <c r="D1108" s="51" t="str">
        <f>IFERROR(VLOOKUP(B1108,منتجات!$A$3:$C$350,3,0),"")</f>
        <v/>
      </c>
      <c r="E1108" s="51"/>
      <c r="F1108" s="51" t="str">
        <f>IFERROR(INDEX(منتجات!$G$3:$G$114,MATCH(B1108,منتجات!$A$3:$A$115,0)),"")</f>
        <v/>
      </c>
      <c r="G1108" s="51" t="str">
        <f t="shared" si="19"/>
        <v/>
      </c>
      <c r="H1108" s="53"/>
    </row>
    <row r="1109" spans="1:8" x14ac:dyDescent="0.35">
      <c r="A1109" s="49"/>
      <c r="B1109" s="49"/>
      <c r="C1109" s="51" t="str">
        <f>IFERROR(VLOOKUP(B1109,منتجات!$A$3:$C$350,2,0),"")</f>
        <v/>
      </c>
      <c r="D1109" s="49" t="str">
        <f>IFERROR(VLOOKUP(B1109,منتجات!$A$3:$C$350,3,0),"")</f>
        <v/>
      </c>
      <c r="E1109" s="49"/>
      <c r="F1109" s="49" t="str">
        <f>IFERROR(INDEX(منتجات!$G$3:$G$114,MATCH(B1109,منتجات!$A$3:$A$115,0)),"")</f>
        <v/>
      </c>
      <c r="G1109" s="51" t="str">
        <f t="shared" si="19"/>
        <v/>
      </c>
      <c r="H1109" s="54"/>
    </row>
    <row r="1110" spans="1:8" x14ac:dyDescent="0.35">
      <c r="A1110" s="51"/>
      <c r="B1110" s="51"/>
      <c r="C1110" s="51" t="str">
        <f>IFERROR(VLOOKUP(B1110,منتجات!$A$3:$C$350,2,0),"")</f>
        <v/>
      </c>
      <c r="D1110" s="51" t="str">
        <f>IFERROR(VLOOKUP(B1110,منتجات!$A$3:$C$350,3,0),"")</f>
        <v/>
      </c>
      <c r="E1110" s="51"/>
      <c r="F1110" s="51" t="str">
        <f>IFERROR(INDEX(منتجات!$G$3:$G$114,MATCH(B1110,منتجات!$A$3:$A$115,0)),"")</f>
        <v/>
      </c>
      <c r="G1110" s="51" t="str">
        <f t="shared" si="19"/>
        <v/>
      </c>
      <c r="H1110" s="53"/>
    </row>
    <row r="1111" spans="1:8" x14ac:dyDescent="0.35">
      <c r="A1111" s="49"/>
      <c r="B1111" s="49"/>
      <c r="C1111" s="51" t="str">
        <f>IFERROR(VLOOKUP(B1111,منتجات!$A$3:$C$350,2,0),"")</f>
        <v/>
      </c>
      <c r="D1111" s="49" t="str">
        <f>IFERROR(VLOOKUP(B1111,منتجات!$A$3:$C$350,3,0),"")</f>
        <v/>
      </c>
      <c r="E1111" s="49"/>
      <c r="F1111" s="49" t="str">
        <f>IFERROR(INDEX(منتجات!$G$3:$G$114,MATCH(B1111,منتجات!$A$3:$A$115,0)),"")</f>
        <v/>
      </c>
      <c r="G1111" s="51" t="str">
        <f t="shared" si="19"/>
        <v/>
      </c>
      <c r="H1111" s="54"/>
    </row>
    <row r="1112" spans="1:8" x14ac:dyDescent="0.35">
      <c r="A1112" s="51"/>
      <c r="B1112" s="51"/>
      <c r="C1112" s="51" t="str">
        <f>IFERROR(VLOOKUP(B1112,منتجات!$A$3:$C$350,2,0),"")</f>
        <v/>
      </c>
      <c r="D1112" s="51" t="str">
        <f>IFERROR(VLOOKUP(B1112,منتجات!$A$3:$C$350,3,0),"")</f>
        <v/>
      </c>
      <c r="E1112" s="51"/>
      <c r="F1112" s="51" t="str">
        <f>IFERROR(INDEX(منتجات!$G$3:$G$114,MATCH(B1112,منتجات!$A$3:$A$115,0)),"")</f>
        <v/>
      </c>
      <c r="G1112" s="51" t="str">
        <f t="shared" si="19"/>
        <v/>
      </c>
      <c r="H1112" s="53"/>
    </row>
    <row r="1113" spans="1:8" x14ac:dyDescent="0.35">
      <c r="A1113" s="49"/>
      <c r="B1113" s="49"/>
      <c r="C1113" s="51" t="str">
        <f>IFERROR(VLOOKUP(B1113,منتجات!$A$3:$C$350,2,0),"")</f>
        <v/>
      </c>
      <c r="D1113" s="49" t="str">
        <f>IFERROR(VLOOKUP(B1113,منتجات!$A$3:$C$350,3,0),"")</f>
        <v/>
      </c>
      <c r="E1113" s="49"/>
      <c r="F1113" s="49" t="str">
        <f>IFERROR(INDEX(منتجات!$G$3:$G$114,MATCH(B1113,منتجات!$A$3:$A$115,0)),"")</f>
        <v/>
      </c>
      <c r="G1113" s="51" t="str">
        <f t="shared" si="19"/>
        <v/>
      </c>
      <c r="H1113" s="54"/>
    </row>
    <row r="1114" spans="1:8" x14ac:dyDescent="0.35">
      <c r="A1114" s="51"/>
      <c r="B1114" s="51"/>
      <c r="C1114" s="51" t="str">
        <f>IFERROR(VLOOKUP(B1114,منتجات!$A$3:$C$350,2,0),"")</f>
        <v/>
      </c>
      <c r="D1114" s="51" t="str">
        <f>IFERROR(VLOOKUP(B1114,منتجات!$A$3:$C$350,3,0),"")</f>
        <v/>
      </c>
      <c r="E1114" s="51"/>
      <c r="F1114" s="51" t="str">
        <f>IFERROR(INDEX(منتجات!$G$3:$G$114,MATCH(B1114,منتجات!$A$3:$A$115,0)),"")</f>
        <v/>
      </c>
      <c r="G1114" s="51" t="str">
        <f t="shared" si="19"/>
        <v/>
      </c>
      <c r="H1114" s="53"/>
    </row>
    <row r="1115" spans="1:8" x14ac:dyDescent="0.35">
      <c r="A1115" s="49"/>
      <c r="B1115" s="49"/>
      <c r="C1115" s="51" t="str">
        <f>IFERROR(VLOOKUP(B1115,منتجات!$A$3:$C$350,2,0),"")</f>
        <v/>
      </c>
      <c r="D1115" s="49" t="str">
        <f>IFERROR(VLOOKUP(B1115,منتجات!$A$3:$C$350,3,0),"")</f>
        <v/>
      </c>
      <c r="E1115" s="49"/>
      <c r="F1115" s="49" t="str">
        <f>IFERROR(INDEX(منتجات!$G$3:$G$114,MATCH(B1115,منتجات!$A$3:$A$115,0)),"")</f>
        <v/>
      </c>
      <c r="G1115" s="51" t="str">
        <f t="shared" si="19"/>
        <v/>
      </c>
      <c r="H1115" s="54"/>
    </row>
    <row r="1116" spans="1:8" x14ac:dyDescent="0.35">
      <c r="A1116" s="51"/>
      <c r="B1116" s="51"/>
      <c r="C1116" s="51" t="str">
        <f>IFERROR(VLOOKUP(B1116,منتجات!$A$3:$C$350,2,0),"")</f>
        <v/>
      </c>
      <c r="D1116" s="51" t="str">
        <f>IFERROR(VLOOKUP(B1116,منتجات!$A$3:$C$350,3,0),"")</f>
        <v/>
      </c>
      <c r="E1116" s="51"/>
      <c r="F1116" s="51" t="str">
        <f>IFERROR(INDEX(منتجات!$G$3:$G$114,MATCH(B1116,منتجات!$A$3:$A$115,0)),"")</f>
        <v/>
      </c>
      <c r="G1116" s="51" t="str">
        <f t="shared" si="19"/>
        <v/>
      </c>
      <c r="H1116" s="53"/>
    </row>
    <row r="1117" spans="1:8" x14ac:dyDescent="0.35">
      <c r="A1117" s="49"/>
      <c r="B1117" s="49"/>
      <c r="C1117" s="51" t="str">
        <f>IFERROR(VLOOKUP(B1117,منتجات!$A$3:$C$350,2,0),"")</f>
        <v/>
      </c>
      <c r="D1117" s="49" t="str">
        <f>IFERROR(VLOOKUP(B1117,منتجات!$A$3:$C$350,3,0),"")</f>
        <v/>
      </c>
      <c r="E1117" s="49"/>
      <c r="F1117" s="49" t="str">
        <f>IFERROR(INDEX(منتجات!$G$3:$G$114,MATCH(B1117,منتجات!$A$3:$A$115,0)),"")</f>
        <v/>
      </c>
      <c r="G1117" s="51" t="str">
        <f t="shared" si="19"/>
        <v/>
      </c>
      <c r="H1117" s="54"/>
    </row>
    <row r="1118" spans="1:8" x14ac:dyDescent="0.35">
      <c r="A1118" s="51"/>
      <c r="B1118" s="51"/>
      <c r="C1118" s="51" t="str">
        <f>IFERROR(VLOOKUP(B1118,منتجات!$A$3:$C$350,2,0),"")</f>
        <v/>
      </c>
      <c r="D1118" s="51" t="str">
        <f>IFERROR(VLOOKUP(B1118,منتجات!$A$3:$C$350,3,0),"")</f>
        <v/>
      </c>
      <c r="E1118" s="51"/>
      <c r="F1118" s="51" t="str">
        <f>IFERROR(INDEX(منتجات!$G$3:$G$114,MATCH(B1118,منتجات!$A$3:$A$115,0)),"")</f>
        <v/>
      </c>
      <c r="G1118" s="51" t="str">
        <f t="shared" si="19"/>
        <v/>
      </c>
      <c r="H1118" s="53"/>
    </row>
    <row r="1119" spans="1:8" x14ac:dyDescent="0.35">
      <c r="A1119" s="49"/>
      <c r="B1119" s="49"/>
      <c r="C1119" s="51" t="str">
        <f>IFERROR(VLOOKUP(B1119,منتجات!$A$3:$C$350,2,0),"")</f>
        <v/>
      </c>
      <c r="D1119" s="49" t="str">
        <f>IFERROR(VLOOKUP(B1119,منتجات!$A$3:$C$350,3,0),"")</f>
        <v/>
      </c>
      <c r="E1119" s="49"/>
      <c r="F1119" s="49" t="str">
        <f>IFERROR(INDEX(منتجات!$G$3:$G$114,MATCH(B1119,منتجات!$A$3:$A$115,0)),"")</f>
        <v/>
      </c>
      <c r="G1119" s="51" t="str">
        <f t="shared" si="19"/>
        <v/>
      </c>
      <c r="H1119" s="54"/>
    </row>
    <row r="1120" spans="1:8" x14ac:dyDescent="0.35">
      <c r="A1120" s="51"/>
      <c r="B1120" s="51"/>
      <c r="C1120" s="51" t="str">
        <f>IFERROR(VLOOKUP(B1120,منتجات!$A$3:$C$350,2,0),"")</f>
        <v/>
      </c>
      <c r="D1120" s="51" t="str">
        <f>IFERROR(VLOOKUP(B1120,منتجات!$A$3:$C$350,3,0),"")</f>
        <v/>
      </c>
      <c r="E1120" s="51"/>
      <c r="F1120" s="51" t="str">
        <f>IFERROR(INDEX(منتجات!$G$3:$G$114,MATCH(B1120,منتجات!$A$3:$A$115,0)),"")</f>
        <v/>
      </c>
      <c r="G1120" s="51" t="str">
        <f t="shared" si="19"/>
        <v/>
      </c>
      <c r="H1120" s="53"/>
    </row>
    <row r="1121" spans="1:8" x14ac:dyDescent="0.35">
      <c r="A1121" s="49"/>
      <c r="B1121" s="49"/>
      <c r="C1121" s="51" t="str">
        <f>IFERROR(VLOOKUP(B1121,منتجات!$A$3:$C$350,2,0),"")</f>
        <v/>
      </c>
      <c r="D1121" s="49" t="str">
        <f>IFERROR(VLOOKUP(B1121,منتجات!$A$3:$C$350,3,0),"")</f>
        <v/>
      </c>
      <c r="E1121" s="49"/>
      <c r="F1121" s="49" t="str">
        <f>IFERROR(INDEX(منتجات!$G$3:$G$114,MATCH(B1121,منتجات!$A$3:$A$115,0)),"")</f>
        <v/>
      </c>
      <c r="G1121" s="51" t="str">
        <f t="shared" si="19"/>
        <v/>
      </c>
      <c r="H1121" s="54"/>
    </row>
    <row r="1122" spans="1:8" x14ac:dyDescent="0.35">
      <c r="A1122" s="51"/>
      <c r="B1122" s="51"/>
      <c r="C1122" s="51" t="str">
        <f>IFERROR(VLOOKUP(B1122,منتجات!$A$3:$C$350,2,0),"")</f>
        <v/>
      </c>
      <c r="D1122" s="51" t="str">
        <f>IFERROR(VLOOKUP(B1122,منتجات!$A$3:$C$350,3,0),"")</f>
        <v/>
      </c>
      <c r="E1122" s="51"/>
      <c r="F1122" s="51" t="str">
        <f>IFERROR(INDEX(منتجات!$G$3:$G$114,MATCH(B1122,منتجات!$A$3:$A$115,0)),"")</f>
        <v/>
      </c>
      <c r="G1122" s="51" t="str">
        <f t="shared" si="19"/>
        <v/>
      </c>
      <c r="H1122" s="53"/>
    </row>
    <row r="1123" spans="1:8" x14ac:dyDescent="0.35">
      <c r="A1123" s="49"/>
      <c r="B1123" s="49"/>
      <c r="C1123" s="51" t="str">
        <f>IFERROR(VLOOKUP(B1123,منتجات!$A$3:$C$350,2,0),"")</f>
        <v/>
      </c>
      <c r="D1123" s="49" t="str">
        <f>IFERROR(VLOOKUP(B1123,منتجات!$A$3:$C$350,3,0),"")</f>
        <v/>
      </c>
      <c r="E1123" s="49"/>
      <c r="F1123" s="49" t="str">
        <f>IFERROR(INDEX(منتجات!$G$3:$G$114,MATCH(B1123,منتجات!$A$3:$A$115,0)),"")</f>
        <v/>
      </c>
      <c r="G1123" s="51" t="str">
        <f t="shared" si="19"/>
        <v/>
      </c>
      <c r="H1123" s="54"/>
    </row>
    <row r="1124" spans="1:8" x14ac:dyDescent="0.35">
      <c r="A1124" s="51"/>
      <c r="B1124" s="51"/>
      <c r="C1124" s="51" t="str">
        <f>IFERROR(VLOOKUP(B1124,منتجات!$A$3:$C$350,2,0),"")</f>
        <v/>
      </c>
      <c r="D1124" s="51" t="str">
        <f>IFERROR(VLOOKUP(B1124,منتجات!$A$3:$C$350,3,0),"")</f>
        <v/>
      </c>
      <c r="E1124" s="51"/>
      <c r="F1124" s="51" t="str">
        <f>IFERROR(INDEX(منتجات!$G$3:$G$114,MATCH(B1124,منتجات!$A$3:$A$115,0)),"")</f>
        <v/>
      </c>
      <c r="G1124" s="51" t="str">
        <f t="shared" si="19"/>
        <v/>
      </c>
      <c r="H1124" s="53"/>
    </row>
    <row r="1125" spans="1:8" x14ac:dyDescent="0.35">
      <c r="A1125" s="49"/>
      <c r="B1125" s="49"/>
      <c r="C1125" s="51" t="str">
        <f>IFERROR(VLOOKUP(B1125,منتجات!$A$3:$C$350,2,0),"")</f>
        <v/>
      </c>
      <c r="D1125" s="49" t="str">
        <f>IFERROR(VLOOKUP(B1125,منتجات!$A$3:$C$350,3,0),"")</f>
        <v/>
      </c>
      <c r="E1125" s="49"/>
      <c r="F1125" s="49" t="str">
        <f>IFERROR(INDEX(منتجات!$G$3:$G$114,MATCH(B1125,منتجات!$A$3:$A$115,0)),"")</f>
        <v/>
      </c>
      <c r="G1125" s="51" t="str">
        <f t="shared" si="19"/>
        <v/>
      </c>
      <c r="H1125" s="54"/>
    </row>
    <row r="1126" spans="1:8" x14ac:dyDescent="0.35">
      <c r="A1126" s="51"/>
      <c r="B1126" s="51"/>
      <c r="C1126" s="51" t="str">
        <f>IFERROR(VLOOKUP(B1126,منتجات!$A$3:$C$350,2,0),"")</f>
        <v/>
      </c>
      <c r="D1126" s="51" t="str">
        <f>IFERROR(VLOOKUP(B1126,منتجات!$A$3:$C$350,3,0),"")</f>
        <v/>
      </c>
      <c r="E1126" s="51"/>
      <c r="F1126" s="51" t="str">
        <f>IFERROR(INDEX(منتجات!$G$3:$G$114,MATCH(B1126,منتجات!$A$3:$A$115,0)),"")</f>
        <v/>
      </c>
      <c r="G1126" s="51" t="str">
        <f t="shared" si="19"/>
        <v/>
      </c>
      <c r="H1126" s="53"/>
    </row>
    <row r="1127" spans="1:8" x14ac:dyDescent="0.35">
      <c r="A1127" s="49"/>
      <c r="B1127" s="49"/>
      <c r="C1127" s="51" t="str">
        <f>IFERROR(VLOOKUP(B1127,منتجات!$A$3:$C$350,2,0),"")</f>
        <v/>
      </c>
      <c r="D1127" s="49" t="str">
        <f>IFERROR(VLOOKUP(B1127,منتجات!$A$3:$C$350,3,0),"")</f>
        <v/>
      </c>
      <c r="E1127" s="49"/>
      <c r="F1127" s="49" t="str">
        <f>IFERROR(INDEX(منتجات!$G$3:$G$114,MATCH(B1127,منتجات!$A$3:$A$115,0)),"")</f>
        <v/>
      </c>
      <c r="G1127" s="51" t="str">
        <f t="shared" si="19"/>
        <v/>
      </c>
      <c r="H1127" s="54"/>
    </row>
    <row r="1128" spans="1:8" x14ac:dyDescent="0.35">
      <c r="A1128" s="51"/>
      <c r="B1128" s="51"/>
      <c r="C1128" s="51" t="str">
        <f>IFERROR(VLOOKUP(B1128,منتجات!$A$3:$C$350,2,0),"")</f>
        <v/>
      </c>
      <c r="D1128" s="51" t="str">
        <f>IFERROR(VLOOKUP(B1128,منتجات!$A$3:$C$350,3,0),"")</f>
        <v/>
      </c>
      <c r="E1128" s="51"/>
      <c r="F1128" s="51" t="str">
        <f>IFERROR(INDEX(منتجات!$G$3:$G$114,MATCH(B1128,منتجات!$A$3:$A$115,0)),"")</f>
        <v/>
      </c>
      <c r="G1128" s="51" t="str">
        <f t="shared" si="19"/>
        <v/>
      </c>
      <c r="H1128" s="53"/>
    </row>
    <row r="1129" spans="1:8" x14ac:dyDescent="0.35">
      <c r="A1129" s="49"/>
      <c r="B1129" s="49"/>
      <c r="C1129" s="51" t="str">
        <f>IFERROR(VLOOKUP(B1129,منتجات!$A$3:$C$350,2,0),"")</f>
        <v/>
      </c>
      <c r="D1129" s="49" t="str">
        <f>IFERROR(VLOOKUP(B1129,منتجات!$A$3:$C$350,3,0),"")</f>
        <v/>
      </c>
      <c r="E1129" s="49"/>
      <c r="F1129" s="49" t="str">
        <f>IFERROR(INDEX(منتجات!$G$3:$G$114,MATCH(B1129,منتجات!$A$3:$A$115,0)),"")</f>
        <v/>
      </c>
      <c r="G1129" s="51" t="str">
        <f t="shared" si="19"/>
        <v/>
      </c>
      <c r="H1129" s="54"/>
    </row>
    <row r="1130" spans="1:8" x14ac:dyDescent="0.35">
      <c r="A1130" s="51"/>
      <c r="B1130" s="51"/>
      <c r="C1130" s="51" t="str">
        <f>IFERROR(VLOOKUP(B1130,منتجات!$A$3:$C$350,2,0),"")</f>
        <v/>
      </c>
      <c r="D1130" s="51" t="str">
        <f>IFERROR(VLOOKUP(B1130,منتجات!$A$3:$C$350,3,0),"")</f>
        <v/>
      </c>
      <c r="E1130" s="51"/>
      <c r="F1130" s="51" t="str">
        <f>IFERROR(INDEX(منتجات!$G$3:$G$114,MATCH(B1130,منتجات!$A$3:$A$115,0)),"")</f>
        <v/>
      </c>
      <c r="G1130" s="51" t="str">
        <f t="shared" si="19"/>
        <v/>
      </c>
      <c r="H1130" s="53"/>
    </row>
    <row r="1131" spans="1:8" x14ac:dyDescent="0.35">
      <c r="A1131" s="49"/>
      <c r="B1131" s="49"/>
      <c r="C1131" s="51" t="str">
        <f>IFERROR(VLOOKUP(B1131,منتجات!$A$3:$C$350,2,0),"")</f>
        <v/>
      </c>
      <c r="D1131" s="49" t="str">
        <f>IFERROR(VLOOKUP(B1131,منتجات!$A$3:$C$350,3,0),"")</f>
        <v/>
      </c>
      <c r="E1131" s="49"/>
      <c r="F1131" s="49" t="str">
        <f>IFERROR(INDEX(منتجات!$G$3:$G$114,MATCH(B1131,منتجات!$A$3:$A$115,0)),"")</f>
        <v/>
      </c>
      <c r="G1131" s="51" t="str">
        <f t="shared" si="19"/>
        <v/>
      </c>
      <c r="H1131" s="54"/>
    </row>
    <row r="1132" spans="1:8" x14ac:dyDescent="0.35">
      <c r="A1132" s="51"/>
      <c r="B1132" s="51"/>
      <c r="C1132" s="51" t="str">
        <f>IFERROR(VLOOKUP(B1132,منتجات!$A$3:$C$350,2,0),"")</f>
        <v/>
      </c>
      <c r="D1132" s="51" t="str">
        <f>IFERROR(VLOOKUP(B1132,منتجات!$A$3:$C$350,3,0),"")</f>
        <v/>
      </c>
      <c r="E1132" s="51"/>
      <c r="F1132" s="51" t="str">
        <f>IFERROR(INDEX(منتجات!$G$3:$G$114,MATCH(B1132,منتجات!$A$3:$A$115,0)),"")</f>
        <v/>
      </c>
      <c r="G1132" s="51" t="str">
        <f t="shared" si="19"/>
        <v/>
      </c>
      <c r="H1132" s="53"/>
    </row>
    <row r="1133" spans="1:8" x14ac:dyDescent="0.35">
      <c r="A1133" s="49"/>
      <c r="B1133" s="49"/>
      <c r="C1133" s="51" t="str">
        <f>IFERROR(VLOOKUP(B1133,منتجات!$A$3:$C$350,2,0),"")</f>
        <v/>
      </c>
      <c r="D1133" s="49" t="str">
        <f>IFERROR(VLOOKUP(B1133,منتجات!$A$3:$C$350,3,0),"")</f>
        <v/>
      </c>
      <c r="E1133" s="49"/>
      <c r="F1133" s="49" t="str">
        <f>IFERROR(INDEX(منتجات!$G$3:$G$114,MATCH(B1133,منتجات!$A$3:$A$115,0)),"")</f>
        <v/>
      </c>
      <c r="G1133" s="51" t="str">
        <f t="shared" si="19"/>
        <v/>
      </c>
      <c r="H1133" s="54"/>
    </row>
    <row r="1134" spans="1:8" x14ac:dyDescent="0.35">
      <c r="A1134" s="51"/>
      <c r="B1134" s="51"/>
      <c r="C1134" s="51" t="str">
        <f>IFERROR(VLOOKUP(B1134,منتجات!$A$3:$C$350,2,0),"")</f>
        <v/>
      </c>
      <c r="D1134" s="51" t="str">
        <f>IFERROR(VLOOKUP(B1134,منتجات!$A$3:$C$350,3,0),"")</f>
        <v/>
      </c>
      <c r="E1134" s="51"/>
      <c r="F1134" s="51" t="str">
        <f>IFERROR(INDEX(منتجات!$G$3:$G$114,MATCH(B1134,منتجات!$A$3:$A$115,0)),"")</f>
        <v/>
      </c>
      <c r="G1134" s="51" t="str">
        <f t="shared" si="19"/>
        <v/>
      </c>
      <c r="H1134" s="53"/>
    </row>
    <row r="1135" spans="1:8" x14ac:dyDescent="0.35">
      <c r="A1135" s="49"/>
      <c r="B1135" s="49"/>
      <c r="C1135" s="51" t="str">
        <f>IFERROR(VLOOKUP(B1135,منتجات!$A$3:$C$350,2,0),"")</f>
        <v/>
      </c>
      <c r="D1135" s="49" t="str">
        <f>IFERROR(VLOOKUP(B1135,منتجات!$A$3:$C$350,3,0),"")</f>
        <v/>
      </c>
      <c r="E1135" s="49"/>
      <c r="F1135" s="49" t="str">
        <f>IFERROR(INDEX(منتجات!$G$3:$G$114,MATCH(B1135,منتجات!$A$3:$A$115,0)),"")</f>
        <v/>
      </c>
      <c r="G1135" s="51" t="str">
        <f t="shared" si="19"/>
        <v/>
      </c>
      <c r="H1135" s="54"/>
    </row>
    <row r="1136" spans="1:8" x14ac:dyDescent="0.35">
      <c r="A1136" s="51"/>
      <c r="B1136" s="51"/>
      <c r="C1136" s="51" t="str">
        <f>IFERROR(VLOOKUP(B1136,منتجات!$A$3:$C$350,2,0),"")</f>
        <v/>
      </c>
      <c r="D1136" s="51" t="str">
        <f>IFERROR(VLOOKUP(B1136,منتجات!$A$3:$C$350,3,0),"")</f>
        <v/>
      </c>
      <c r="E1136" s="51"/>
      <c r="F1136" s="51" t="str">
        <f>IFERROR(INDEX(منتجات!$G$3:$G$114,MATCH(B1136,منتجات!$A$3:$A$115,0)),"")</f>
        <v/>
      </c>
      <c r="G1136" s="51" t="str">
        <f t="shared" si="19"/>
        <v/>
      </c>
      <c r="H1136" s="53"/>
    </row>
    <row r="1137" spans="1:8" x14ac:dyDescent="0.35">
      <c r="A1137" s="49"/>
      <c r="B1137" s="49"/>
      <c r="C1137" s="51" t="str">
        <f>IFERROR(VLOOKUP(B1137,منتجات!$A$3:$C$350,2,0),"")</f>
        <v/>
      </c>
      <c r="D1137" s="49" t="str">
        <f>IFERROR(VLOOKUP(B1137,منتجات!$A$3:$C$350,3,0),"")</f>
        <v/>
      </c>
      <c r="E1137" s="49"/>
      <c r="F1137" s="49" t="str">
        <f>IFERROR(INDEX(منتجات!$G$3:$G$114,MATCH(B1137,منتجات!$A$3:$A$115,0)),"")</f>
        <v/>
      </c>
      <c r="G1137" s="51" t="str">
        <f t="shared" si="19"/>
        <v/>
      </c>
      <c r="H1137" s="54"/>
    </row>
    <row r="1138" spans="1:8" x14ac:dyDescent="0.35">
      <c r="A1138" s="51"/>
      <c r="B1138" s="51"/>
      <c r="C1138" s="51" t="str">
        <f>IFERROR(VLOOKUP(B1138,منتجات!$A$3:$C$350,2,0),"")</f>
        <v/>
      </c>
      <c r="D1138" s="51" t="str">
        <f>IFERROR(VLOOKUP(B1138,منتجات!$A$3:$C$350,3,0),"")</f>
        <v/>
      </c>
      <c r="E1138" s="51"/>
      <c r="F1138" s="51" t="str">
        <f>IFERROR(INDEX(منتجات!$G$3:$G$114,MATCH(B1138,منتجات!$A$3:$A$115,0)),"")</f>
        <v/>
      </c>
      <c r="G1138" s="51" t="str">
        <f t="shared" si="19"/>
        <v/>
      </c>
      <c r="H1138" s="53"/>
    </row>
    <row r="1139" spans="1:8" x14ac:dyDescent="0.35">
      <c r="A1139" s="49"/>
      <c r="B1139" s="49"/>
      <c r="C1139" s="51" t="str">
        <f>IFERROR(VLOOKUP(B1139,منتجات!$A$3:$C$350,2,0),"")</f>
        <v/>
      </c>
      <c r="D1139" s="49" t="str">
        <f>IFERROR(VLOOKUP(B1139,منتجات!$A$3:$C$350,3,0),"")</f>
        <v/>
      </c>
      <c r="E1139" s="49"/>
      <c r="F1139" s="49" t="str">
        <f>IFERROR(INDEX(منتجات!$G$3:$G$114,MATCH(B1139,منتجات!$A$3:$A$115,0)),"")</f>
        <v/>
      </c>
      <c r="G1139" s="51" t="str">
        <f t="shared" si="19"/>
        <v/>
      </c>
      <c r="H1139" s="54"/>
    </row>
    <row r="1140" spans="1:8" x14ac:dyDescent="0.35">
      <c r="A1140" s="51"/>
      <c r="B1140" s="51"/>
      <c r="C1140" s="51" t="str">
        <f>IFERROR(VLOOKUP(B1140,منتجات!$A$3:$C$350,2,0),"")</f>
        <v/>
      </c>
      <c r="D1140" s="51" t="str">
        <f>IFERROR(VLOOKUP(B1140,منتجات!$A$3:$C$350,3,0),"")</f>
        <v/>
      </c>
      <c r="E1140" s="51"/>
      <c r="F1140" s="51" t="str">
        <f>IFERROR(INDEX(منتجات!$G$3:$G$114,MATCH(B1140,منتجات!$A$3:$A$115,0)),"")</f>
        <v/>
      </c>
      <c r="G1140" s="51" t="str">
        <f t="shared" si="19"/>
        <v/>
      </c>
      <c r="H1140" s="53"/>
    </row>
    <row r="1141" spans="1:8" x14ac:dyDescent="0.35">
      <c r="A1141" s="49"/>
      <c r="B1141" s="49"/>
      <c r="C1141" s="51" t="str">
        <f>IFERROR(VLOOKUP(B1141,منتجات!$A$3:$C$350,2,0),"")</f>
        <v/>
      </c>
      <c r="D1141" s="49" t="str">
        <f>IFERROR(VLOOKUP(B1141,منتجات!$A$3:$C$350,3,0),"")</f>
        <v/>
      </c>
      <c r="E1141" s="49"/>
      <c r="F1141" s="49" t="str">
        <f>IFERROR(INDEX(منتجات!$G$3:$G$114,MATCH(B1141,منتجات!$A$3:$A$115,0)),"")</f>
        <v/>
      </c>
      <c r="G1141" s="51" t="str">
        <f t="shared" si="19"/>
        <v/>
      </c>
      <c r="H1141" s="54"/>
    </row>
    <row r="1142" spans="1:8" x14ac:dyDescent="0.35">
      <c r="A1142" s="51"/>
      <c r="B1142" s="51"/>
      <c r="C1142" s="51" t="str">
        <f>IFERROR(VLOOKUP(B1142,منتجات!$A$3:$C$350,2,0),"")</f>
        <v/>
      </c>
      <c r="D1142" s="51" t="str">
        <f>IFERROR(VLOOKUP(B1142,منتجات!$A$3:$C$350,3,0),"")</f>
        <v/>
      </c>
      <c r="E1142" s="51"/>
      <c r="F1142" s="51" t="str">
        <f>IFERROR(INDEX(منتجات!$G$3:$G$114,MATCH(B1142,منتجات!$A$3:$A$115,0)),"")</f>
        <v/>
      </c>
      <c r="G1142" s="51" t="str">
        <f t="shared" si="19"/>
        <v/>
      </c>
      <c r="H1142" s="53"/>
    </row>
    <row r="1143" spans="1:8" x14ac:dyDescent="0.35">
      <c r="A1143" s="49"/>
      <c r="B1143" s="49"/>
      <c r="C1143" s="51" t="str">
        <f>IFERROR(VLOOKUP(B1143,منتجات!$A$3:$C$350,2,0),"")</f>
        <v/>
      </c>
      <c r="D1143" s="49" t="str">
        <f>IFERROR(VLOOKUP(B1143,منتجات!$A$3:$C$350,3,0),"")</f>
        <v/>
      </c>
      <c r="E1143" s="49"/>
      <c r="F1143" s="49" t="str">
        <f>IFERROR(INDEX(منتجات!$G$3:$G$114,MATCH(B1143,منتجات!$A$3:$A$115,0)),"")</f>
        <v/>
      </c>
      <c r="G1143" s="51" t="str">
        <f t="shared" si="19"/>
        <v/>
      </c>
      <c r="H1143" s="54"/>
    </row>
    <row r="1144" spans="1:8" x14ac:dyDescent="0.35">
      <c r="A1144" s="51"/>
      <c r="B1144" s="51"/>
      <c r="C1144" s="51" t="str">
        <f>IFERROR(VLOOKUP(B1144,منتجات!$A$3:$C$350,2,0),"")</f>
        <v/>
      </c>
      <c r="D1144" s="51" t="str">
        <f>IFERROR(VLOOKUP(B1144,منتجات!$A$3:$C$350,3,0),"")</f>
        <v/>
      </c>
      <c r="E1144" s="51"/>
      <c r="F1144" s="51" t="str">
        <f>IFERROR(INDEX(منتجات!$G$3:$G$114,MATCH(B1144,منتجات!$A$3:$A$115,0)),"")</f>
        <v/>
      </c>
      <c r="G1144" s="51" t="str">
        <f t="shared" si="19"/>
        <v/>
      </c>
      <c r="H1144" s="53"/>
    </row>
    <row r="1145" spans="1:8" x14ac:dyDescent="0.35">
      <c r="A1145" s="49"/>
      <c r="B1145" s="49"/>
      <c r="C1145" s="51" t="str">
        <f>IFERROR(VLOOKUP(B1145,منتجات!$A$3:$C$350,2,0),"")</f>
        <v/>
      </c>
      <c r="D1145" s="49" t="str">
        <f>IFERROR(VLOOKUP(B1145,منتجات!$A$3:$C$350,3,0),"")</f>
        <v/>
      </c>
      <c r="E1145" s="49"/>
      <c r="F1145" s="49" t="str">
        <f>IFERROR(INDEX(منتجات!$G$3:$G$114,MATCH(B1145,منتجات!$A$3:$A$115,0)),"")</f>
        <v/>
      </c>
      <c r="G1145" s="51" t="str">
        <f t="shared" si="19"/>
        <v/>
      </c>
      <c r="H1145" s="54"/>
    </row>
    <row r="1146" spans="1:8" x14ac:dyDescent="0.35">
      <c r="A1146" s="51"/>
      <c r="B1146" s="51"/>
      <c r="C1146" s="51" t="str">
        <f>IFERROR(VLOOKUP(B1146,منتجات!$A$3:$C$350,2,0),"")</f>
        <v/>
      </c>
      <c r="D1146" s="51" t="str">
        <f>IFERROR(VLOOKUP(B1146,منتجات!$A$3:$C$350,3,0),"")</f>
        <v/>
      </c>
      <c r="E1146" s="51"/>
      <c r="F1146" s="51" t="str">
        <f>IFERROR(INDEX(منتجات!$G$3:$G$114,MATCH(B1146,منتجات!$A$3:$A$115,0)),"")</f>
        <v/>
      </c>
      <c r="G1146" s="51" t="str">
        <f t="shared" si="19"/>
        <v/>
      </c>
      <c r="H1146" s="53"/>
    </row>
    <row r="1147" spans="1:8" x14ac:dyDescent="0.35">
      <c r="A1147" s="49"/>
      <c r="B1147" s="49"/>
      <c r="C1147" s="51" t="str">
        <f>IFERROR(VLOOKUP(B1147,منتجات!$A$3:$C$350,2,0),"")</f>
        <v/>
      </c>
      <c r="D1147" s="49" t="str">
        <f>IFERROR(VLOOKUP(B1147,منتجات!$A$3:$C$350,3,0),"")</f>
        <v/>
      </c>
      <c r="E1147" s="49"/>
      <c r="F1147" s="49" t="str">
        <f>IFERROR(INDEX(منتجات!$G$3:$G$114,MATCH(B1147,منتجات!$A$3:$A$115,0)),"")</f>
        <v/>
      </c>
      <c r="G1147" s="51" t="str">
        <f t="shared" si="19"/>
        <v/>
      </c>
      <c r="H1147" s="54"/>
    </row>
    <row r="1148" spans="1:8" x14ac:dyDescent="0.35">
      <c r="A1148" s="51"/>
      <c r="B1148" s="51"/>
      <c r="C1148" s="51" t="str">
        <f>IFERROR(VLOOKUP(B1148,منتجات!$A$3:$C$350,2,0),"")</f>
        <v/>
      </c>
      <c r="D1148" s="51" t="str">
        <f>IFERROR(VLOOKUP(B1148,منتجات!$A$3:$C$350,3,0),"")</f>
        <v/>
      </c>
      <c r="E1148" s="51"/>
      <c r="F1148" s="51" t="str">
        <f>IFERROR(INDEX(منتجات!$G$3:$G$114,MATCH(B1148,منتجات!$A$3:$A$115,0)),"")</f>
        <v/>
      </c>
      <c r="G1148" s="51" t="str">
        <f t="shared" si="19"/>
        <v/>
      </c>
      <c r="H1148" s="53"/>
    </row>
    <row r="1149" spans="1:8" x14ac:dyDescent="0.35">
      <c r="A1149" s="49"/>
      <c r="B1149" s="49"/>
      <c r="C1149" s="51" t="str">
        <f>IFERROR(VLOOKUP(B1149,منتجات!$A$3:$C$350,2,0),"")</f>
        <v/>
      </c>
      <c r="D1149" s="49" t="str">
        <f>IFERROR(VLOOKUP(B1149,منتجات!$A$3:$C$350,3,0),"")</f>
        <v/>
      </c>
      <c r="E1149" s="49"/>
      <c r="F1149" s="49" t="str">
        <f>IFERROR(INDEX(منتجات!$G$3:$G$114,MATCH(B1149,منتجات!$A$3:$A$115,0)),"")</f>
        <v/>
      </c>
      <c r="G1149" s="51" t="str">
        <f t="shared" si="19"/>
        <v/>
      </c>
      <c r="H1149" s="54"/>
    </row>
    <row r="1150" spans="1:8" x14ac:dyDescent="0.35">
      <c r="A1150" s="51"/>
      <c r="B1150" s="51"/>
      <c r="C1150" s="51" t="str">
        <f>IFERROR(VLOOKUP(B1150,منتجات!$A$3:$C$350,2,0),"")</f>
        <v/>
      </c>
      <c r="D1150" s="51" t="str">
        <f>IFERROR(VLOOKUP(B1150,منتجات!$A$3:$C$350,3,0),"")</f>
        <v/>
      </c>
      <c r="E1150" s="51"/>
      <c r="F1150" s="51" t="str">
        <f>IFERROR(INDEX(منتجات!$G$3:$G$114,MATCH(B1150,منتجات!$A$3:$A$115,0)),"")</f>
        <v/>
      </c>
      <c r="G1150" s="51" t="str">
        <f t="shared" si="19"/>
        <v/>
      </c>
      <c r="H1150" s="53"/>
    </row>
    <row r="1151" spans="1:8" x14ac:dyDescent="0.35">
      <c r="A1151" s="49"/>
      <c r="B1151" s="49"/>
      <c r="C1151" s="51" t="str">
        <f>IFERROR(VLOOKUP(B1151,منتجات!$A$3:$C$350,2,0),"")</f>
        <v/>
      </c>
      <c r="D1151" s="49" t="str">
        <f>IFERROR(VLOOKUP(B1151,منتجات!$A$3:$C$350,3,0),"")</f>
        <v/>
      </c>
      <c r="E1151" s="49"/>
      <c r="F1151" s="49" t="str">
        <f>IFERROR(INDEX(منتجات!$G$3:$G$114,MATCH(B1151,منتجات!$A$3:$A$115,0)),"")</f>
        <v/>
      </c>
      <c r="G1151" s="51" t="str">
        <f t="shared" si="19"/>
        <v/>
      </c>
      <c r="H1151" s="54"/>
    </row>
    <row r="1152" spans="1:8" x14ac:dyDescent="0.35">
      <c r="A1152" s="51"/>
      <c r="B1152" s="51"/>
      <c r="C1152" s="51" t="str">
        <f>IFERROR(VLOOKUP(B1152,منتجات!$A$3:$C$350,2,0),"")</f>
        <v/>
      </c>
      <c r="D1152" s="51" t="str">
        <f>IFERROR(VLOOKUP(B1152,منتجات!$A$3:$C$350,3,0),"")</f>
        <v/>
      </c>
      <c r="E1152" s="51"/>
      <c r="F1152" s="51" t="str">
        <f>IFERROR(INDEX(منتجات!$G$3:$G$114,MATCH(B1152,منتجات!$A$3:$A$115,0)),"")</f>
        <v/>
      </c>
      <c r="G1152" s="51" t="str">
        <f t="shared" si="19"/>
        <v/>
      </c>
      <c r="H1152" s="53"/>
    </row>
    <row r="1153" spans="1:8" x14ac:dyDescent="0.35">
      <c r="A1153" s="49"/>
      <c r="B1153" s="49"/>
      <c r="C1153" s="51" t="str">
        <f>IFERROR(VLOOKUP(B1153,منتجات!$A$3:$C$350,2,0),"")</f>
        <v/>
      </c>
      <c r="D1153" s="49" t="str">
        <f>IFERROR(VLOOKUP(B1153,منتجات!$A$3:$C$350,3,0),"")</f>
        <v/>
      </c>
      <c r="E1153" s="49"/>
      <c r="F1153" s="49" t="str">
        <f>IFERROR(INDEX(منتجات!$G$3:$G$114,MATCH(B1153,منتجات!$A$3:$A$115,0)),"")</f>
        <v/>
      </c>
      <c r="G1153" s="51" t="str">
        <f t="shared" si="19"/>
        <v/>
      </c>
      <c r="H1153" s="54"/>
    </row>
    <row r="1154" spans="1:8" x14ac:dyDescent="0.35">
      <c r="A1154" s="51"/>
      <c r="B1154" s="51"/>
      <c r="C1154" s="51" t="str">
        <f>IFERROR(VLOOKUP(B1154,منتجات!$A$3:$C$350,2,0),"")</f>
        <v/>
      </c>
      <c r="D1154" s="51" t="str">
        <f>IFERROR(VLOOKUP(B1154,منتجات!$A$3:$C$350,3,0),"")</f>
        <v/>
      </c>
      <c r="E1154" s="51"/>
      <c r="F1154" s="51" t="str">
        <f>IFERROR(INDEX(منتجات!$G$3:$G$114,MATCH(B1154,منتجات!$A$3:$A$115,0)),"")</f>
        <v/>
      </c>
      <c r="G1154" s="51" t="str">
        <f t="shared" si="19"/>
        <v/>
      </c>
      <c r="H1154" s="53"/>
    </row>
    <row r="1155" spans="1:8" x14ac:dyDescent="0.35">
      <c r="A1155" s="49"/>
      <c r="B1155" s="49"/>
      <c r="C1155" s="51" t="str">
        <f>IFERROR(VLOOKUP(B1155,منتجات!$A$3:$C$350,2,0),"")</f>
        <v/>
      </c>
      <c r="D1155" s="49" t="str">
        <f>IFERROR(VLOOKUP(B1155,منتجات!$A$3:$C$350,3,0),"")</f>
        <v/>
      </c>
      <c r="E1155" s="49"/>
      <c r="F1155" s="49" t="str">
        <f>IFERROR(INDEX(منتجات!$G$3:$G$114,MATCH(B1155,منتجات!$A$3:$A$115,0)),"")</f>
        <v/>
      </c>
      <c r="G1155" s="51" t="str">
        <f t="shared" si="19"/>
        <v/>
      </c>
      <c r="H1155" s="54"/>
    </row>
    <row r="1156" spans="1:8" x14ac:dyDescent="0.35">
      <c r="A1156" s="51"/>
      <c r="B1156" s="51"/>
      <c r="C1156" s="51" t="str">
        <f>IFERROR(VLOOKUP(B1156,منتجات!$A$3:$C$350,2,0),"")</f>
        <v/>
      </c>
      <c r="D1156" s="51" t="str">
        <f>IFERROR(VLOOKUP(B1156,منتجات!$A$3:$C$350,3,0),"")</f>
        <v/>
      </c>
      <c r="E1156" s="51"/>
      <c r="F1156" s="51" t="str">
        <f>IFERROR(INDEX(منتجات!$G$3:$G$114,MATCH(B1156,منتجات!$A$3:$A$115,0)),"")</f>
        <v/>
      </c>
      <c r="G1156" s="51" t="str">
        <f t="shared" si="19"/>
        <v/>
      </c>
      <c r="H1156" s="53"/>
    </row>
    <row r="1157" spans="1:8" x14ac:dyDescent="0.35">
      <c r="A1157" s="49"/>
      <c r="B1157" s="49"/>
      <c r="C1157" s="51" t="str">
        <f>IFERROR(VLOOKUP(B1157,منتجات!$A$3:$C$350,2,0),"")</f>
        <v/>
      </c>
      <c r="D1157" s="49" t="str">
        <f>IFERROR(VLOOKUP(B1157,منتجات!$A$3:$C$350,3,0),"")</f>
        <v/>
      </c>
      <c r="E1157" s="49"/>
      <c r="F1157" s="49" t="str">
        <f>IFERROR(INDEX(منتجات!$G$3:$G$114,MATCH(B1157,منتجات!$A$3:$A$115,0)),"")</f>
        <v/>
      </c>
      <c r="G1157" s="51" t="str">
        <f t="shared" si="19"/>
        <v/>
      </c>
      <c r="H1157" s="54"/>
    </row>
    <row r="1158" spans="1:8" x14ac:dyDescent="0.35">
      <c r="A1158" s="51"/>
      <c r="B1158" s="51"/>
      <c r="C1158" s="51" t="str">
        <f>IFERROR(VLOOKUP(B1158,منتجات!$A$3:$C$350,2,0),"")</f>
        <v/>
      </c>
      <c r="D1158" s="51" t="str">
        <f>IFERROR(VLOOKUP(B1158,منتجات!$A$3:$C$350,3,0),"")</f>
        <v/>
      </c>
      <c r="E1158" s="51"/>
      <c r="F1158" s="51" t="str">
        <f>IFERROR(INDEX(منتجات!$G$3:$G$114,MATCH(B1158,منتجات!$A$3:$A$115,0)),"")</f>
        <v/>
      </c>
      <c r="G1158" s="51" t="str">
        <f t="shared" si="19"/>
        <v/>
      </c>
      <c r="H1158" s="53"/>
    </row>
    <row r="1159" spans="1:8" x14ac:dyDescent="0.35">
      <c r="A1159" s="49"/>
      <c r="B1159" s="49"/>
      <c r="C1159" s="51" t="str">
        <f>IFERROR(VLOOKUP(B1159,منتجات!$A$3:$C$350,2,0),"")</f>
        <v/>
      </c>
      <c r="D1159" s="49" t="str">
        <f>IFERROR(VLOOKUP(B1159,منتجات!$A$3:$C$350,3,0),"")</f>
        <v/>
      </c>
      <c r="E1159" s="49"/>
      <c r="F1159" s="49" t="str">
        <f>IFERROR(INDEX(منتجات!$G$3:$G$114,MATCH(B1159,منتجات!$A$3:$A$115,0)),"")</f>
        <v/>
      </c>
      <c r="G1159" s="51" t="str">
        <f t="shared" si="19"/>
        <v/>
      </c>
      <c r="H1159" s="54"/>
    </row>
    <row r="1160" spans="1:8" x14ac:dyDescent="0.35">
      <c r="A1160" s="51"/>
      <c r="B1160" s="51"/>
      <c r="C1160" s="51" t="str">
        <f>IFERROR(VLOOKUP(B1160,منتجات!$A$3:$C$350,2,0),"")</f>
        <v/>
      </c>
      <c r="D1160" s="51" t="str">
        <f>IFERROR(VLOOKUP(B1160,منتجات!$A$3:$C$350,3,0),"")</f>
        <v/>
      </c>
      <c r="E1160" s="51"/>
      <c r="F1160" s="51" t="str">
        <f>IFERROR(INDEX(منتجات!$G$3:$G$114,MATCH(B1160,منتجات!$A$3:$A$115,0)),"")</f>
        <v/>
      </c>
      <c r="G1160" s="51" t="str">
        <f t="shared" si="19"/>
        <v/>
      </c>
      <c r="H1160" s="53"/>
    </row>
    <row r="1161" spans="1:8" x14ac:dyDescent="0.35">
      <c r="A1161" s="49"/>
      <c r="B1161" s="49"/>
      <c r="C1161" s="51" t="str">
        <f>IFERROR(VLOOKUP(B1161,منتجات!$A$3:$C$350,2,0),"")</f>
        <v/>
      </c>
      <c r="D1161" s="49" t="str">
        <f>IFERROR(VLOOKUP(B1161,منتجات!$A$3:$C$350,3,0),"")</f>
        <v/>
      </c>
      <c r="E1161" s="49"/>
      <c r="F1161" s="49" t="str">
        <f>IFERROR(INDEX(منتجات!$G$3:$G$114,MATCH(B1161,منتجات!$A$3:$A$115,0)),"")</f>
        <v/>
      </c>
      <c r="G1161" s="51" t="str">
        <f t="shared" si="19"/>
        <v/>
      </c>
      <c r="H1161" s="54"/>
    </row>
    <row r="1162" spans="1:8" x14ac:dyDescent="0.35">
      <c r="A1162" s="51"/>
      <c r="B1162" s="51"/>
      <c r="C1162" s="51" t="str">
        <f>IFERROR(VLOOKUP(B1162,منتجات!$A$3:$C$350,2,0),"")</f>
        <v/>
      </c>
      <c r="D1162" s="51" t="str">
        <f>IFERROR(VLOOKUP(B1162,منتجات!$A$3:$C$350,3,0),"")</f>
        <v/>
      </c>
      <c r="E1162" s="51"/>
      <c r="F1162" s="51" t="str">
        <f>IFERROR(INDEX(منتجات!$G$3:$G$114,MATCH(B1162,منتجات!$A$3:$A$115,0)),"")</f>
        <v/>
      </c>
      <c r="G1162" s="51" t="str">
        <f t="shared" si="19"/>
        <v/>
      </c>
      <c r="H1162" s="53"/>
    </row>
    <row r="1163" spans="1:8" x14ac:dyDescent="0.35">
      <c r="A1163" s="49"/>
      <c r="B1163" s="49"/>
      <c r="C1163" s="51" t="str">
        <f>IFERROR(VLOOKUP(B1163,منتجات!$A$3:$C$350,2,0),"")</f>
        <v/>
      </c>
      <c r="D1163" s="49" t="str">
        <f>IFERROR(VLOOKUP(B1163,منتجات!$A$3:$C$350,3,0),"")</f>
        <v/>
      </c>
      <c r="E1163" s="49"/>
      <c r="F1163" s="49" t="str">
        <f>IFERROR(INDEX(منتجات!$G$3:$G$114,MATCH(B1163,منتجات!$A$3:$A$115,0)),"")</f>
        <v/>
      </c>
      <c r="G1163" s="51" t="str">
        <f t="shared" si="19"/>
        <v/>
      </c>
      <c r="H1163" s="54"/>
    </row>
    <row r="1164" spans="1:8" x14ac:dyDescent="0.35">
      <c r="A1164" s="51"/>
      <c r="B1164" s="51"/>
      <c r="C1164" s="51" t="str">
        <f>IFERROR(VLOOKUP(B1164,منتجات!$A$3:$C$350,2,0),"")</f>
        <v/>
      </c>
      <c r="D1164" s="51" t="str">
        <f>IFERROR(VLOOKUP(B1164,منتجات!$A$3:$C$350,3,0),"")</f>
        <v/>
      </c>
      <c r="E1164" s="51"/>
      <c r="F1164" s="51" t="str">
        <f>IFERROR(INDEX(منتجات!$G$3:$G$114,MATCH(B1164,منتجات!$A$3:$A$115,0)),"")</f>
        <v/>
      </c>
      <c r="G1164" s="51" t="str">
        <f t="shared" si="19"/>
        <v/>
      </c>
      <c r="H1164" s="53"/>
    </row>
    <row r="1165" spans="1:8" x14ac:dyDescent="0.35">
      <c r="A1165" s="49"/>
      <c r="B1165" s="49"/>
      <c r="C1165" s="51" t="str">
        <f>IFERROR(VLOOKUP(B1165,منتجات!$A$3:$C$350,2,0),"")</f>
        <v/>
      </c>
      <c r="D1165" s="49" t="str">
        <f>IFERROR(VLOOKUP(B1165,منتجات!$A$3:$C$350,3,0),"")</f>
        <v/>
      </c>
      <c r="E1165" s="49"/>
      <c r="F1165" s="49" t="str">
        <f>IFERROR(INDEX(منتجات!$G$3:$G$114,MATCH(B1165,منتجات!$A$3:$A$115,0)),"")</f>
        <v/>
      </c>
      <c r="G1165" s="51" t="str">
        <f t="shared" si="19"/>
        <v/>
      </c>
      <c r="H1165" s="54"/>
    </row>
    <row r="1166" spans="1:8" x14ac:dyDescent="0.35">
      <c r="A1166" s="51"/>
      <c r="B1166" s="51"/>
      <c r="C1166" s="51" t="str">
        <f>IFERROR(VLOOKUP(B1166,منتجات!$A$3:$C$350,2,0),"")</f>
        <v/>
      </c>
      <c r="D1166" s="51" t="str">
        <f>IFERROR(VLOOKUP(B1166,منتجات!$A$3:$C$350,3,0),"")</f>
        <v/>
      </c>
      <c r="E1166" s="51"/>
      <c r="F1166" s="51" t="str">
        <f>IFERROR(INDEX(منتجات!$G$3:$G$114,MATCH(B1166,منتجات!$A$3:$A$115,0)),"")</f>
        <v/>
      </c>
      <c r="G1166" s="51" t="str">
        <f t="shared" ref="G1166:G1229" si="20">IFERROR(E1166*F1166*D1166,"")</f>
        <v/>
      </c>
      <c r="H1166" s="53"/>
    </row>
    <row r="1167" spans="1:8" x14ac:dyDescent="0.35">
      <c r="A1167" s="49"/>
      <c r="B1167" s="49"/>
      <c r="C1167" s="51" t="str">
        <f>IFERROR(VLOOKUP(B1167,منتجات!$A$3:$C$350,2,0),"")</f>
        <v/>
      </c>
      <c r="D1167" s="49" t="str">
        <f>IFERROR(VLOOKUP(B1167,منتجات!$A$3:$C$350,3,0),"")</f>
        <v/>
      </c>
      <c r="E1167" s="49"/>
      <c r="F1167" s="49" t="str">
        <f>IFERROR(INDEX(منتجات!$G$3:$G$114,MATCH(B1167,منتجات!$A$3:$A$115,0)),"")</f>
        <v/>
      </c>
      <c r="G1167" s="51" t="str">
        <f t="shared" si="20"/>
        <v/>
      </c>
      <c r="H1167" s="54"/>
    </row>
    <row r="1168" spans="1:8" x14ac:dyDescent="0.35">
      <c r="A1168" s="51"/>
      <c r="B1168" s="51"/>
      <c r="C1168" s="51" t="str">
        <f>IFERROR(VLOOKUP(B1168,منتجات!$A$3:$C$350,2,0),"")</f>
        <v/>
      </c>
      <c r="D1168" s="51" t="str">
        <f>IFERROR(VLOOKUP(B1168,منتجات!$A$3:$C$350,3,0),"")</f>
        <v/>
      </c>
      <c r="E1168" s="51"/>
      <c r="F1168" s="51" t="str">
        <f>IFERROR(INDEX(منتجات!$G$3:$G$114,MATCH(B1168,منتجات!$A$3:$A$115,0)),"")</f>
        <v/>
      </c>
      <c r="G1168" s="51" t="str">
        <f t="shared" si="20"/>
        <v/>
      </c>
      <c r="H1168" s="53"/>
    </row>
    <row r="1169" spans="1:8" x14ac:dyDescent="0.35">
      <c r="A1169" s="49"/>
      <c r="B1169" s="49"/>
      <c r="C1169" s="51" t="str">
        <f>IFERROR(VLOOKUP(B1169,منتجات!$A$3:$C$350,2,0),"")</f>
        <v/>
      </c>
      <c r="D1169" s="49" t="str">
        <f>IFERROR(VLOOKUP(B1169,منتجات!$A$3:$C$350,3,0),"")</f>
        <v/>
      </c>
      <c r="E1169" s="49"/>
      <c r="F1169" s="49" t="str">
        <f>IFERROR(INDEX(منتجات!$G$3:$G$114,MATCH(B1169,منتجات!$A$3:$A$115,0)),"")</f>
        <v/>
      </c>
      <c r="G1169" s="51" t="str">
        <f t="shared" si="20"/>
        <v/>
      </c>
      <c r="H1169" s="54"/>
    </row>
    <row r="1170" spans="1:8" x14ac:dyDescent="0.35">
      <c r="A1170" s="51"/>
      <c r="B1170" s="51"/>
      <c r="C1170" s="51" t="str">
        <f>IFERROR(VLOOKUP(B1170,منتجات!$A$3:$C$350,2,0),"")</f>
        <v/>
      </c>
      <c r="D1170" s="51" t="str">
        <f>IFERROR(VLOOKUP(B1170,منتجات!$A$3:$C$350,3,0),"")</f>
        <v/>
      </c>
      <c r="E1170" s="51"/>
      <c r="F1170" s="51" t="str">
        <f>IFERROR(INDEX(منتجات!$G$3:$G$114,MATCH(B1170,منتجات!$A$3:$A$115,0)),"")</f>
        <v/>
      </c>
      <c r="G1170" s="51" t="str">
        <f t="shared" si="20"/>
        <v/>
      </c>
      <c r="H1170" s="53"/>
    </row>
    <row r="1171" spans="1:8" x14ac:dyDescent="0.35">
      <c r="A1171" s="49"/>
      <c r="B1171" s="49"/>
      <c r="C1171" s="51" t="str">
        <f>IFERROR(VLOOKUP(B1171,منتجات!$A$3:$C$350,2,0),"")</f>
        <v/>
      </c>
      <c r="D1171" s="49" t="str">
        <f>IFERROR(VLOOKUP(B1171,منتجات!$A$3:$C$350,3,0),"")</f>
        <v/>
      </c>
      <c r="E1171" s="49"/>
      <c r="F1171" s="49" t="str">
        <f>IFERROR(INDEX(منتجات!$G$3:$G$114,MATCH(B1171,منتجات!$A$3:$A$115,0)),"")</f>
        <v/>
      </c>
      <c r="G1171" s="51" t="str">
        <f t="shared" si="20"/>
        <v/>
      </c>
      <c r="H1171" s="54"/>
    </row>
    <row r="1172" spans="1:8" x14ac:dyDescent="0.35">
      <c r="A1172" s="51"/>
      <c r="B1172" s="51"/>
      <c r="C1172" s="51" t="str">
        <f>IFERROR(VLOOKUP(B1172,منتجات!$A$3:$C$350,2,0),"")</f>
        <v/>
      </c>
      <c r="D1172" s="51" t="str">
        <f>IFERROR(VLOOKUP(B1172,منتجات!$A$3:$C$350,3,0),"")</f>
        <v/>
      </c>
      <c r="E1172" s="51"/>
      <c r="F1172" s="51" t="str">
        <f>IFERROR(INDEX(منتجات!$G$3:$G$114,MATCH(B1172,منتجات!$A$3:$A$115,0)),"")</f>
        <v/>
      </c>
      <c r="G1172" s="51" t="str">
        <f t="shared" si="20"/>
        <v/>
      </c>
      <c r="H1172" s="53"/>
    </row>
    <row r="1173" spans="1:8" x14ac:dyDescent="0.35">
      <c r="A1173" s="49"/>
      <c r="B1173" s="49"/>
      <c r="C1173" s="51" t="str">
        <f>IFERROR(VLOOKUP(B1173,منتجات!$A$3:$C$350,2,0),"")</f>
        <v/>
      </c>
      <c r="D1173" s="49" t="str">
        <f>IFERROR(VLOOKUP(B1173,منتجات!$A$3:$C$350,3,0),"")</f>
        <v/>
      </c>
      <c r="E1173" s="49"/>
      <c r="F1173" s="49" t="str">
        <f>IFERROR(INDEX(منتجات!$G$3:$G$114,MATCH(B1173,منتجات!$A$3:$A$115,0)),"")</f>
        <v/>
      </c>
      <c r="G1173" s="51" t="str">
        <f t="shared" si="20"/>
        <v/>
      </c>
      <c r="H1173" s="54"/>
    </row>
    <row r="1174" spans="1:8" x14ac:dyDescent="0.35">
      <c r="A1174" s="51"/>
      <c r="B1174" s="51"/>
      <c r="C1174" s="51" t="str">
        <f>IFERROR(VLOOKUP(B1174,منتجات!$A$3:$C$350,2,0),"")</f>
        <v/>
      </c>
      <c r="D1174" s="51" t="str">
        <f>IFERROR(VLOOKUP(B1174,منتجات!$A$3:$C$350,3,0),"")</f>
        <v/>
      </c>
      <c r="E1174" s="51"/>
      <c r="F1174" s="51" t="str">
        <f>IFERROR(INDEX(منتجات!$G$3:$G$114,MATCH(B1174,منتجات!$A$3:$A$115,0)),"")</f>
        <v/>
      </c>
      <c r="G1174" s="51" t="str">
        <f t="shared" si="20"/>
        <v/>
      </c>
      <c r="H1174" s="53"/>
    </row>
    <row r="1175" spans="1:8" x14ac:dyDescent="0.35">
      <c r="A1175" s="49"/>
      <c r="B1175" s="49"/>
      <c r="C1175" s="51" t="str">
        <f>IFERROR(VLOOKUP(B1175,منتجات!$A$3:$C$350,2,0),"")</f>
        <v/>
      </c>
      <c r="D1175" s="49" t="str">
        <f>IFERROR(VLOOKUP(B1175,منتجات!$A$3:$C$350,3,0),"")</f>
        <v/>
      </c>
      <c r="E1175" s="49"/>
      <c r="F1175" s="49" t="str">
        <f>IFERROR(INDEX(منتجات!$G$3:$G$114,MATCH(B1175,منتجات!$A$3:$A$115,0)),"")</f>
        <v/>
      </c>
      <c r="G1175" s="51" t="str">
        <f t="shared" si="20"/>
        <v/>
      </c>
      <c r="H1175" s="54"/>
    </row>
    <row r="1176" spans="1:8" x14ac:dyDescent="0.35">
      <c r="A1176" s="51"/>
      <c r="B1176" s="51"/>
      <c r="C1176" s="51" t="str">
        <f>IFERROR(VLOOKUP(B1176,منتجات!$A$3:$C$350,2,0),"")</f>
        <v/>
      </c>
      <c r="D1176" s="51" t="str">
        <f>IFERROR(VLOOKUP(B1176,منتجات!$A$3:$C$350,3,0),"")</f>
        <v/>
      </c>
      <c r="E1176" s="51"/>
      <c r="F1176" s="51" t="str">
        <f>IFERROR(INDEX(منتجات!$G$3:$G$114,MATCH(B1176,منتجات!$A$3:$A$115,0)),"")</f>
        <v/>
      </c>
      <c r="G1176" s="51" t="str">
        <f t="shared" si="20"/>
        <v/>
      </c>
      <c r="H1176" s="53"/>
    </row>
    <row r="1177" spans="1:8" x14ac:dyDescent="0.35">
      <c r="A1177" s="49"/>
      <c r="B1177" s="49"/>
      <c r="C1177" s="51" t="str">
        <f>IFERROR(VLOOKUP(B1177,منتجات!$A$3:$C$350,2,0),"")</f>
        <v/>
      </c>
      <c r="D1177" s="49" t="str">
        <f>IFERROR(VLOOKUP(B1177,منتجات!$A$3:$C$350,3,0),"")</f>
        <v/>
      </c>
      <c r="E1177" s="49"/>
      <c r="F1177" s="49" t="str">
        <f>IFERROR(INDEX(منتجات!$G$3:$G$114,MATCH(B1177,منتجات!$A$3:$A$115,0)),"")</f>
        <v/>
      </c>
      <c r="G1177" s="51" t="str">
        <f t="shared" si="20"/>
        <v/>
      </c>
      <c r="H1177" s="54"/>
    </row>
    <row r="1178" spans="1:8" x14ac:dyDescent="0.35">
      <c r="A1178" s="51"/>
      <c r="B1178" s="51"/>
      <c r="C1178" s="51" t="str">
        <f>IFERROR(VLOOKUP(B1178,منتجات!$A$3:$C$350,2,0),"")</f>
        <v/>
      </c>
      <c r="D1178" s="51" t="str">
        <f>IFERROR(VLOOKUP(B1178,منتجات!$A$3:$C$350,3,0),"")</f>
        <v/>
      </c>
      <c r="E1178" s="51"/>
      <c r="F1178" s="51" t="str">
        <f>IFERROR(INDEX(منتجات!$G$3:$G$114,MATCH(B1178,منتجات!$A$3:$A$115,0)),"")</f>
        <v/>
      </c>
      <c r="G1178" s="51" t="str">
        <f t="shared" si="20"/>
        <v/>
      </c>
      <c r="H1178" s="53"/>
    </row>
    <row r="1179" spans="1:8" x14ac:dyDescent="0.35">
      <c r="A1179" s="49"/>
      <c r="B1179" s="49"/>
      <c r="C1179" s="51" t="str">
        <f>IFERROR(VLOOKUP(B1179,منتجات!$A$3:$C$350,2,0),"")</f>
        <v/>
      </c>
      <c r="D1179" s="49" t="str">
        <f>IFERROR(VLOOKUP(B1179,منتجات!$A$3:$C$350,3,0),"")</f>
        <v/>
      </c>
      <c r="E1179" s="49"/>
      <c r="F1179" s="49" t="str">
        <f>IFERROR(INDEX(منتجات!$G$3:$G$114,MATCH(B1179,منتجات!$A$3:$A$115,0)),"")</f>
        <v/>
      </c>
      <c r="G1179" s="51" t="str">
        <f t="shared" si="20"/>
        <v/>
      </c>
      <c r="H1179" s="54"/>
    </row>
    <row r="1180" spans="1:8" x14ac:dyDescent="0.35">
      <c r="A1180" s="51"/>
      <c r="B1180" s="51"/>
      <c r="C1180" s="51" t="str">
        <f>IFERROR(VLOOKUP(B1180,منتجات!$A$3:$C$350,2,0),"")</f>
        <v/>
      </c>
      <c r="D1180" s="51" t="str">
        <f>IFERROR(VLOOKUP(B1180,منتجات!$A$3:$C$350,3,0),"")</f>
        <v/>
      </c>
      <c r="E1180" s="51"/>
      <c r="F1180" s="51" t="str">
        <f>IFERROR(INDEX(منتجات!$G$3:$G$114,MATCH(B1180,منتجات!$A$3:$A$115,0)),"")</f>
        <v/>
      </c>
      <c r="G1180" s="51" t="str">
        <f t="shared" si="20"/>
        <v/>
      </c>
      <c r="H1180" s="53"/>
    </row>
    <row r="1181" spans="1:8" x14ac:dyDescent="0.35">
      <c r="A1181" s="49"/>
      <c r="B1181" s="49"/>
      <c r="C1181" s="51" t="str">
        <f>IFERROR(VLOOKUP(B1181,منتجات!$A$3:$C$350,2,0),"")</f>
        <v/>
      </c>
      <c r="D1181" s="49" t="str">
        <f>IFERROR(VLOOKUP(B1181,منتجات!$A$3:$C$350,3,0),"")</f>
        <v/>
      </c>
      <c r="E1181" s="49"/>
      <c r="F1181" s="49" t="str">
        <f>IFERROR(INDEX(منتجات!$G$3:$G$114,MATCH(B1181,منتجات!$A$3:$A$115,0)),"")</f>
        <v/>
      </c>
      <c r="G1181" s="51" t="str">
        <f t="shared" si="20"/>
        <v/>
      </c>
      <c r="H1181" s="54"/>
    </row>
    <row r="1182" spans="1:8" x14ac:dyDescent="0.35">
      <c r="A1182" s="51"/>
      <c r="B1182" s="51"/>
      <c r="C1182" s="51" t="str">
        <f>IFERROR(VLOOKUP(B1182,منتجات!$A$3:$C$350,2,0),"")</f>
        <v/>
      </c>
      <c r="D1182" s="51" t="str">
        <f>IFERROR(VLOOKUP(B1182,منتجات!$A$3:$C$350,3,0),"")</f>
        <v/>
      </c>
      <c r="E1182" s="51"/>
      <c r="F1182" s="51" t="str">
        <f>IFERROR(INDEX(منتجات!$G$3:$G$114,MATCH(B1182,منتجات!$A$3:$A$115,0)),"")</f>
        <v/>
      </c>
      <c r="G1182" s="51" t="str">
        <f t="shared" si="20"/>
        <v/>
      </c>
      <c r="H1182" s="53"/>
    </row>
    <row r="1183" spans="1:8" x14ac:dyDescent="0.35">
      <c r="A1183" s="49"/>
      <c r="B1183" s="49"/>
      <c r="C1183" s="51" t="str">
        <f>IFERROR(VLOOKUP(B1183,منتجات!$A$3:$C$350,2,0),"")</f>
        <v/>
      </c>
      <c r="D1183" s="49" t="str">
        <f>IFERROR(VLOOKUP(B1183,منتجات!$A$3:$C$350,3,0),"")</f>
        <v/>
      </c>
      <c r="E1183" s="49"/>
      <c r="F1183" s="49" t="str">
        <f>IFERROR(INDEX(منتجات!$G$3:$G$114,MATCH(B1183,منتجات!$A$3:$A$115,0)),"")</f>
        <v/>
      </c>
      <c r="G1183" s="51" t="str">
        <f t="shared" si="20"/>
        <v/>
      </c>
      <c r="H1183" s="54"/>
    </row>
    <row r="1184" spans="1:8" x14ac:dyDescent="0.35">
      <c r="A1184" s="51"/>
      <c r="B1184" s="51"/>
      <c r="C1184" s="51" t="str">
        <f>IFERROR(VLOOKUP(B1184,منتجات!$A$3:$C$350,2,0),"")</f>
        <v/>
      </c>
      <c r="D1184" s="51" t="str">
        <f>IFERROR(VLOOKUP(B1184,منتجات!$A$3:$C$350,3,0),"")</f>
        <v/>
      </c>
      <c r="E1184" s="51"/>
      <c r="F1184" s="51" t="str">
        <f>IFERROR(INDEX(منتجات!$G$3:$G$114,MATCH(B1184,منتجات!$A$3:$A$115,0)),"")</f>
        <v/>
      </c>
      <c r="G1184" s="51" t="str">
        <f t="shared" si="20"/>
        <v/>
      </c>
      <c r="H1184" s="53"/>
    </row>
    <row r="1185" spans="1:8" x14ac:dyDescent="0.35">
      <c r="A1185" s="49"/>
      <c r="B1185" s="49"/>
      <c r="C1185" s="51" t="str">
        <f>IFERROR(VLOOKUP(B1185,منتجات!$A$3:$C$350,2,0),"")</f>
        <v/>
      </c>
      <c r="D1185" s="49" t="str">
        <f>IFERROR(VLOOKUP(B1185,منتجات!$A$3:$C$350,3,0),"")</f>
        <v/>
      </c>
      <c r="E1185" s="49"/>
      <c r="F1185" s="49" t="str">
        <f>IFERROR(INDEX(منتجات!$G$3:$G$114,MATCH(B1185,منتجات!$A$3:$A$115,0)),"")</f>
        <v/>
      </c>
      <c r="G1185" s="51" t="str">
        <f t="shared" si="20"/>
        <v/>
      </c>
      <c r="H1185" s="54"/>
    </row>
    <row r="1186" spans="1:8" x14ac:dyDescent="0.35">
      <c r="A1186" s="51"/>
      <c r="B1186" s="51"/>
      <c r="C1186" s="51" t="str">
        <f>IFERROR(VLOOKUP(B1186,منتجات!$A$3:$C$350,2,0),"")</f>
        <v/>
      </c>
      <c r="D1186" s="51" t="str">
        <f>IFERROR(VLOOKUP(B1186,منتجات!$A$3:$C$350,3,0),"")</f>
        <v/>
      </c>
      <c r="E1186" s="51"/>
      <c r="F1186" s="51" t="str">
        <f>IFERROR(INDEX(منتجات!$G$3:$G$114,MATCH(B1186,منتجات!$A$3:$A$115,0)),"")</f>
        <v/>
      </c>
      <c r="G1186" s="51" t="str">
        <f t="shared" si="20"/>
        <v/>
      </c>
      <c r="H1186" s="53"/>
    </row>
    <row r="1187" spans="1:8" x14ac:dyDescent="0.35">
      <c r="A1187" s="49"/>
      <c r="B1187" s="49"/>
      <c r="C1187" s="51" t="str">
        <f>IFERROR(VLOOKUP(B1187,منتجات!$A$3:$C$350,2,0),"")</f>
        <v/>
      </c>
      <c r="D1187" s="49" t="str">
        <f>IFERROR(VLOOKUP(B1187,منتجات!$A$3:$C$350,3,0),"")</f>
        <v/>
      </c>
      <c r="E1187" s="49"/>
      <c r="F1187" s="49" t="str">
        <f>IFERROR(INDEX(منتجات!$G$3:$G$114,MATCH(B1187,منتجات!$A$3:$A$115,0)),"")</f>
        <v/>
      </c>
      <c r="G1187" s="51" t="str">
        <f t="shared" si="20"/>
        <v/>
      </c>
      <c r="H1187" s="54"/>
    </row>
    <row r="1188" spans="1:8" x14ac:dyDescent="0.35">
      <c r="A1188" s="51"/>
      <c r="B1188" s="51"/>
      <c r="C1188" s="51" t="str">
        <f>IFERROR(VLOOKUP(B1188,منتجات!$A$3:$C$350,2,0),"")</f>
        <v/>
      </c>
      <c r="D1188" s="51" t="str">
        <f>IFERROR(VLOOKUP(B1188,منتجات!$A$3:$C$350,3,0),"")</f>
        <v/>
      </c>
      <c r="E1188" s="51"/>
      <c r="F1188" s="51" t="str">
        <f>IFERROR(INDEX(منتجات!$G$3:$G$114,MATCH(B1188,منتجات!$A$3:$A$115,0)),"")</f>
        <v/>
      </c>
      <c r="G1188" s="51" t="str">
        <f t="shared" si="20"/>
        <v/>
      </c>
      <c r="H1188" s="53"/>
    </row>
    <row r="1189" spans="1:8" x14ac:dyDescent="0.35">
      <c r="A1189" s="49"/>
      <c r="B1189" s="49"/>
      <c r="C1189" s="51" t="str">
        <f>IFERROR(VLOOKUP(B1189,منتجات!$A$3:$C$350,2,0),"")</f>
        <v/>
      </c>
      <c r="D1189" s="49" t="str">
        <f>IFERROR(VLOOKUP(B1189,منتجات!$A$3:$C$350,3,0),"")</f>
        <v/>
      </c>
      <c r="E1189" s="49"/>
      <c r="F1189" s="49" t="str">
        <f>IFERROR(INDEX(منتجات!$G$3:$G$114,MATCH(B1189,منتجات!$A$3:$A$115,0)),"")</f>
        <v/>
      </c>
      <c r="G1189" s="51" t="str">
        <f t="shared" si="20"/>
        <v/>
      </c>
      <c r="H1189" s="54"/>
    </row>
    <row r="1190" spans="1:8" x14ac:dyDescent="0.35">
      <c r="A1190" s="51"/>
      <c r="B1190" s="51"/>
      <c r="C1190" s="51" t="str">
        <f>IFERROR(VLOOKUP(B1190,منتجات!$A$3:$C$350,2,0),"")</f>
        <v/>
      </c>
      <c r="D1190" s="51" t="str">
        <f>IFERROR(VLOOKUP(B1190,منتجات!$A$3:$C$350,3,0),"")</f>
        <v/>
      </c>
      <c r="E1190" s="51"/>
      <c r="F1190" s="51" t="str">
        <f>IFERROR(INDEX(منتجات!$G$3:$G$114,MATCH(B1190,منتجات!$A$3:$A$115,0)),"")</f>
        <v/>
      </c>
      <c r="G1190" s="51" t="str">
        <f t="shared" si="20"/>
        <v/>
      </c>
      <c r="H1190" s="53"/>
    </row>
    <row r="1191" spans="1:8" x14ac:dyDescent="0.35">
      <c r="A1191" s="49"/>
      <c r="B1191" s="49"/>
      <c r="C1191" s="51" t="str">
        <f>IFERROR(VLOOKUP(B1191,منتجات!$A$3:$C$350,2,0),"")</f>
        <v/>
      </c>
      <c r="D1191" s="49" t="str">
        <f>IFERROR(VLOOKUP(B1191,منتجات!$A$3:$C$350,3,0),"")</f>
        <v/>
      </c>
      <c r="E1191" s="49"/>
      <c r="F1191" s="49" t="str">
        <f>IFERROR(INDEX(منتجات!$G$3:$G$114,MATCH(B1191,منتجات!$A$3:$A$115,0)),"")</f>
        <v/>
      </c>
      <c r="G1191" s="51" t="str">
        <f t="shared" si="20"/>
        <v/>
      </c>
      <c r="H1191" s="54"/>
    </row>
    <row r="1192" spans="1:8" x14ac:dyDescent="0.35">
      <c r="A1192" s="51"/>
      <c r="B1192" s="51"/>
      <c r="C1192" s="51" t="str">
        <f>IFERROR(VLOOKUP(B1192,منتجات!$A$3:$C$350,2,0),"")</f>
        <v/>
      </c>
      <c r="D1192" s="51" t="str">
        <f>IFERROR(VLOOKUP(B1192,منتجات!$A$3:$C$350,3,0),"")</f>
        <v/>
      </c>
      <c r="E1192" s="51"/>
      <c r="F1192" s="51" t="str">
        <f>IFERROR(INDEX(منتجات!$G$3:$G$114,MATCH(B1192,منتجات!$A$3:$A$115,0)),"")</f>
        <v/>
      </c>
      <c r="G1192" s="51" t="str">
        <f t="shared" si="20"/>
        <v/>
      </c>
      <c r="H1192" s="53"/>
    </row>
    <row r="1193" spans="1:8" x14ac:dyDescent="0.35">
      <c r="A1193" s="49"/>
      <c r="B1193" s="49"/>
      <c r="C1193" s="51" t="str">
        <f>IFERROR(VLOOKUP(B1193,منتجات!$A$3:$C$350,2,0),"")</f>
        <v/>
      </c>
      <c r="D1193" s="49" t="str">
        <f>IFERROR(VLOOKUP(B1193,منتجات!$A$3:$C$350,3,0),"")</f>
        <v/>
      </c>
      <c r="E1193" s="49"/>
      <c r="F1193" s="49" t="str">
        <f>IFERROR(INDEX(منتجات!$G$3:$G$114,MATCH(B1193,منتجات!$A$3:$A$115,0)),"")</f>
        <v/>
      </c>
      <c r="G1193" s="51" t="str">
        <f t="shared" si="20"/>
        <v/>
      </c>
      <c r="H1193" s="54"/>
    </row>
    <row r="1194" spans="1:8" x14ac:dyDescent="0.35">
      <c r="A1194" s="51"/>
      <c r="B1194" s="51"/>
      <c r="C1194" s="51" t="str">
        <f>IFERROR(VLOOKUP(B1194,منتجات!$A$3:$C$350,2,0),"")</f>
        <v/>
      </c>
      <c r="D1194" s="51" t="str">
        <f>IFERROR(VLOOKUP(B1194,منتجات!$A$3:$C$350,3,0),"")</f>
        <v/>
      </c>
      <c r="E1194" s="51"/>
      <c r="F1194" s="51" t="str">
        <f>IFERROR(INDEX(منتجات!$G$3:$G$114,MATCH(B1194,منتجات!$A$3:$A$115,0)),"")</f>
        <v/>
      </c>
      <c r="G1194" s="51" t="str">
        <f t="shared" si="20"/>
        <v/>
      </c>
      <c r="H1194" s="53"/>
    </row>
    <row r="1195" spans="1:8" x14ac:dyDescent="0.35">
      <c r="A1195" s="49"/>
      <c r="B1195" s="49"/>
      <c r="C1195" s="51" t="str">
        <f>IFERROR(VLOOKUP(B1195,منتجات!$A$3:$C$350,2,0),"")</f>
        <v/>
      </c>
      <c r="D1195" s="49" t="str">
        <f>IFERROR(VLOOKUP(B1195,منتجات!$A$3:$C$350,3,0),"")</f>
        <v/>
      </c>
      <c r="E1195" s="49"/>
      <c r="F1195" s="49" t="str">
        <f>IFERROR(INDEX(منتجات!$G$3:$G$114,MATCH(B1195,منتجات!$A$3:$A$115,0)),"")</f>
        <v/>
      </c>
      <c r="G1195" s="51" t="str">
        <f t="shared" si="20"/>
        <v/>
      </c>
      <c r="H1195" s="54"/>
    </row>
    <row r="1196" spans="1:8" x14ac:dyDescent="0.35">
      <c r="A1196" s="51"/>
      <c r="B1196" s="51"/>
      <c r="C1196" s="51" t="str">
        <f>IFERROR(VLOOKUP(B1196,منتجات!$A$3:$C$350,2,0),"")</f>
        <v/>
      </c>
      <c r="D1196" s="51" t="str">
        <f>IFERROR(VLOOKUP(B1196,منتجات!$A$3:$C$350,3,0),"")</f>
        <v/>
      </c>
      <c r="E1196" s="51"/>
      <c r="F1196" s="51" t="str">
        <f>IFERROR(INDEX(منتجات!$G$3:$G$114,MATCH(B1196,منتجات!$A$3:$A$115,0)),"")</f>
        <v/>
      </c>
      <c r="G1196" s="51" t="str">
        <f t="shared" si="20"/>
        <v/>
      </c>
      <c r="H1196" s="53"/>
    </row>
    <row r="1197" spans="1:8" x14ac:dyDescent="0.35">
      <c r="A1197" s="49"/>
      <c r="B1197" s="49"/>
      <c r="C1197" s="51" t="str">
        <f>IFERROR(VLOOKUP(B1197,منتجات!$A$3:$C$350,2,0),"")</f>
        <v/>
      </c>
      <c r="D1197" s="49" t="str">
        <f>IFERROR(VLOOKUP(B1197,منتجات!$A$3:$C$350,3,0),"")</f>
        <v/>
      </c>
      <c r="E1197" s="49"/>
      <c r="F1197" s="49" t="str">
        <f>IFERROR(INDEX(منتجات!$G$3:$G$114,MATCH(B1197,منتجات!$A$3:$A$115,0)),"")</f>
        <v/>
      </c>
      <c r="G1197" s="51" t="str">
        <f t="shared" si="20"/>
        <v/>
      </c>
      <c r="H1197" s="54"/>
    </row>
    <row r="1198" spans="1:8" x14ac:dyDescent="0.35">
      <c r="A1198" s="51"/>
      <c r="B1198" s="51"/>
      <c r="C1198" s="51" t="str">
        <f>IFERROR(VLOOKUP(B1198,منتجات!$A$3:$C$350,2,0),"")</f>
        <v/>
      </c>
      <c r="D1198" s="51" t="str">
        <f>IFERROR(VLOOKUP(B1198,منتجات!$A$3:$C$350,3,0),"")</f>
        <v/>
      </c>
      <c r="E1198" s="51"/>
      <c r="F1198" s="51" t="str">
        <f>IFERROR(INDEX(منتجات!$G$3:$G$114,MATCH(B1198,منتجات!$A$3:$A$115,0)),"")</f>
        <v/>
      </c>
      <c r="G1198" s="51" t="str">
        <f t="shared" si="20"/>
        <v/>
      </c>
      <c r="H1198" s="53"/>
    </row>
    <row r="1199" spans="1:8" x14ac:dyDescent="0.35">
      <c r="A1199" s="49"/>
      <c r="B1199" s="49"/>
      <c r="C1199" s="51" t="str">
        <f>IFERROR(VLOOKUP(B1199,منتجات!$A$3:$C$350,2,0),"")</f>
        <v/>
      </c>
      <c r="D1199" s="49" t="str">
        <f>IFERROR(VLOOKUP(B1199,منتجات!$A$3:$C$350,3,0),"")</f>
        <v/>
      </c>
      <c r="E1199" s="49"/>
      <c r="F1199" s="49" t="str">
        <f>IFERROR(INDEX(منتجات!$G$3:$G$114,MATCH(B1199,منتجات!$A$3:$A$115,0)),"")</f>
        <v/>
      </c>
      <c r="G1199" s="51" t="str">
        <f t="shared" si="20"/>
        <v/>
      </c>
      <c r="H1199" s="54"/>
    </row>
    <row r="1200" spans="1:8" x14ac:dyDescent="0.35">
      <c r="A1200" s="51"/>
      <c r="B1200" s="51"/>
      <c r="C1200" s="51" t="str">
        <f>IFERROR(VLOOKUP(B1200,منتجات!$A$3:$C$350,2,0),"")</f>
        <v/>
      </c>
      <c r="D1200" s="51" t="str">
        <f>IFERROR(VLOOKUP(B1200,منتجات!$A$3:$C$350,3,0),"")</f>
        <v/>
      </c>
      <c r="E1200" s="51"/>
      <c r="F1200" s="51" t="str">
        <f>IFERROR(INDEX(منتجات!$G$3:$G$114,MATCH(B1200,منتجات!$A$3:$A$115,0)),"")</f>
        <v/>
      </c>
      <c r="G1200" s="51" t="str">
        <f t="shared" si="20"/>
        <v/>
      </c>
      <c r="H1200" s="53"/>
    </row>
    <row r="1201" spans="1:8" x14ac:dyDescent="0.35">
      <c r="A1201" s="49"/>
      <c r="B1201" s="49"/>
      <c r="C1201" s="51" t="str">
        <f>IFERROR(VLOOKUP(B1201,منتجات!$A$3:$C$350,2,0),"")</f>
        <v/>
      </c>
      <c r="D1201" s="49" t="str">
        <f>IFERROR(VLOOKUP(B1201,منتجات!$A$3:$C$350,3,0),"")</f>
        <v/>
      </c>
      <c r="E1201" s="49"/>
      <c r="F1201" s="49" t="str">
        <f>IFERROR(INDEX(منتجات!$G$3:$G$114,MATCH(B1201,منتجات!$A$3:$A$115,0)),"")</f>
        <v/>
      </c>
      <c r="G1201" s="51" t="str">
        <f t="shared" si="20"/>
        <v/>
      </c>
      <c r="H1201" s="54"/>
    </row>
    <row r="1202" spans="1:8" x14ac:dyDescent="0.35">
      <c r="A1202" s="51"/>
      <c r="B1202" s="51"/>
      <c r="C1202" s="51" t="str">
        <f>IFERROR(VLOOKUP(B1202,منتجات!$A$3:$C$350,2,0),"")</f>
        <v/>
      </c>
      <c r="D1202" s="51" t="str">
        <f>IFERROR(VLOOKUP(B1202,منتجات!$A$3:$C$350,3,0),"")</f>
        <v/>
      </c>
      <c r="E1202" s="51"/>
      <c r="F1202" s="51" t="str">
        <f>IFERROR(INDEX(منتجات!$G$3:$G$114,MATCH(B1202,منتجات!$A$3:$A$115,0)),"")</f>
        <v/>
      </c>
      <c r="G1202" s="51" t="str">
        <f t="shared" si="20"/>
        <v/>
      </c>
      <c r="H1202" s="53"/>
    </row>
    <row r="1203" spans="1:8" x14ac:dyDescent="0.35">
      <c r="A1203" s="49"/>
      <c r="B1203" s="49"/>
      <c r="C1203" s="51" t="str">
        <f>IFERROR(VLOOKUP(B1203,منتجات!$A$3:$C$350,2,0),"")</f>
        <v/>
      </c>
      <c r="D1203" s="49" t="str">
        <f>IFERROR(VLOOKUP(B1203,منتجات!$A$3:$C$350,3,0),"")</f>
        <v/>
      </c>
      <c r="E1203" s="49"/>
      <c r="F1203" s="49" t="str">
        <f>IFERROR(INDEX(منتجات!$G$3:$G$114,MATCH(B1203,منتجات!$A$3:$A$115,0)),"")</f>
        <v/>
      </c>
      <c r="G1203" s="51" t="str">
        <f t="shared" si="20"/>
        <v/>
      </c>
      <c r="H1203" s="54"/>
    </row>
    <row r="1204" spans="1:8" x14ac:dyDescent="0.35">
      <c r="A1204" s="51"/>
      <c r="B1204" s="51"/>
      <c r="C1204" s="51" t="str">
        <f>IFERROR(VLOOKUP(B1204,منتجات!$A$3:$C$350,2,0),"")</f>
        <v/>
      </c>
      <c r="D1204" s="51" t="str">
        <f>IFERROR(VLOOKUP(B1204,منتجات!$A$3:$C$350,3,0),"")</f>
        <v/>
      </c>
      <c r="E1204" s="51"/>
      <c r="F1204" s="51" t="str">
        <f>IFERROR(INDEX(منتجات!$G$3:$G$114,MATCH(B1204,منتجات!$A$3:$A$115,0)),"")</f>
        <v/>
      </c>
      <c r="G1204" s="51" t="str">
        <f t="shared" si="20"/>
        <v/>
      </c>
      <c r="H1204" s="53"/>
    </row>
    <row r="1205" spans="1:8" x14ac:dyDescent="0.35">
      <c r="A1205" s="49"/>
      <c r="B1205" s="49"/>
      <c r="C1205" s="51" t="str">
        <f>IFERROR(VLOOKUP(B1205,منتجات!$A$3:$C$350,2,0),"")</f>
        <v/>
      </c>
      <c r="D1205" s="49" t="str">
        <f>IFERROR(VLOOKUP(B1205,منتجات!$A$3:$C$350,3,0),"")</f>
        <v/>
      </c>
      <c r="E1205" s="49"/>
      <c r="F1205" s="49" t="str">
        <f>IFERROR(INDEX(منتجات!$G$3:$G$114,MATCH(B1205,منتجات!$A$3:$A$115,0)),"")</f>
        <v/>
      </c>
      <c r="G1205" s="51" t="str">
        <f t="shared" si="20"/>
        <v/>
      </c>
      <c r="H1205" s="54"/>
    </row>
    <row r="1206" spans="1:8" x14ac:dyDescent="0.35">
      <c r="A1206" s="51"/>
      <c r="B1206" s="51"/>
      <c r="C1206" s="51" t="str">
        <f>IFERROR(VLOOKUP(B1206,منتجات!$A$3:$C$350,2,0),"")</f>
        <v/>
      </c>
      <c r="D1206" s="51" t="str">
        <f>IFERROR(VLOOKUP(B1206,منتجات!$A$3:$C$350,3,0),"")</f>
        <v/>
      </c>
      <c r="E1206" s="51"/>
      <c r="F1206" s="51" t="str">
        <f>IFERROR(INDEX(منتجات!$G$3:$G$114,MATCH(B1206,منتجات!$A$3:$A$115,0)),"")</f>
        <v/>
      </c>
      <c r="G1206" s="51" t="str">
        <f t="shared" si="20"/>
        <v/>
      </c>
      <c r="H1206" s="53"/>
    </row>
    <row r="1207" spans="1:8" x14ac:dyDescent="0.35">
      <c r="A1207" s="49"/>
      <c r="B1207" s="49"/>
      <c r="C1207" s="51" t="str">
        <f>IFERROR(VLOOKUP(B1207,منتجات!$A$3:$C$350,2,0),"")</f>
        <v/>
      </c>
      <c r="D1207" s="49" t="str">
        <f>IFERROR(VLOOKUP(B1207,منتجات!$A$3:$C$350,3,0),"")</f>
        <v/>
      </c>
      <c r="E1207" s="49"/>
      <c r="F1207" s="49" t="str">
        <f>IFERROR(INDEX(منتجات!$G$3:$G$114,MATCH(B1207,منتجات!$A$3:$A$115,0)),"")</f>
        <v/>
      </c>
      <c r="G1207" s="51" t="str">
        <f t="shared" si="20"/>
        <v/>
      </c>
      <c r="H1207" s="54"/>
    </row>
    <row r="1208" spans="1:8" x14ac:dyDescent="0.35">
      <c r="A1208" s="51"/>
      <c r="B1208" s="51"/>
      <c r="C1208" s="51" t="str">
        <f>IFERROR(VLOOKUP(B1208,منتجات!$A$3:$C$350,2,0),"")</f>
        <v/>
      </c>
      <c r="D1208" s="51" t="str">
        <f>IFERROR(VLOOKUP(B1208,منتجات!$A$3:$C$350,3,0),"")</f>
        <v/>
      </c>
      <c r="E1208" s="51"/>
      <c r="F1208" s="51" t="str">
        <f>IFERROR(INDEX(منتجات!$G$3:$G$114,MATCH(B1208,منتجات!$A$3:$A$115,0)),"")</f>
        <v/>
      </c>
      <c r="G1208" s="51" t="str">
        <f t="shared" si="20"/>
        <v/>
      </c>
      <c r="H1208" s="53"/>
    </row>
    <row r="1209" spans="1:8" x14ac:dyDescent="0.35">
      <c r="A1209" s="49"/>
      <c r="B1209" s="49"/>
      <c r="C1209" s="51" t="str">
        <f>IFERROR(VLOOKUP(B1209,منتجات!$A$3:$C$350,2,0),"")</f>
        <v/>
      </c>
      <c r="D1209" s="49" t="str">
        <f>IFERROR(VLOOKUP(B1209,منتجات!$A$3:$C$350,3,0),"")</f>
        <v/>
      </c>
      <c r="E1209" s="49"/>
      <c r="F1209" s="49" t="str">
        <f>IFERROR(INDEX(منتجات!$G$3:$G$114,MATCH(B1209,منتجات!$A$3:$A$115,0)),"")</f>
        <v/>
      </c>
      <c r="G1209" s="51" t="str">
        <f t="shared" si="20"/>
        <v/>
      </c>
      <c r="H1209" s="54"/>
    </row>
    <row r="1210" spans="1:8" x14ac:dyDescent="0.35">
      <c r="A1210" s="51"/>
      <c r="B1210" s="51"/>
      <c r="C1210" s="51" t="str">
        <f>IFERROR(VLOOKUP(B1210,منتجات!$A$3:$C$350,2,0),"")</f>
        <v/>
      </c>
      <c r="D1210" s="51" t="str">
        <f>IFERROR(VLOOKUP(B1210,منتجات!$A$3:$C$350,3,0),"")</f>
        <v/>
      </c>
      <c r="E1210" s="51"/>
      <c r="F1210" s="51" t="str">
        <f>IFERROR(INDEX(منتجات!$G$3:$G$114,MATCH(B1210,منتجات!$A$3:$A$115,0)),"")</f>
        <v/>
      </c>
      <c r="G1210" s="51" t="str">
        <f t="shared" si="20"/>
        <v/>
      </c>
      <c r="H1210" s="53"/>
    </row>
    <row r="1211" spans="1:8" x14ac:dyDescent="0.35">
      <c r="A1211" s="49"/>
      <c r="B1211" s="49"/>
      <c r="C1211" s="51" t="str">
        <f>IFERROR(VLOOKUP(B1211,منتجات!$A$3:$C$350,2,0),"")</f>
        <v/>
      </c>
      <c r="D1211" s="49" t="str">
        <f>IFERROR(VLOOKUP(B1211,منتجات!$A$3:$C$350,3,0),"")</f>
        <v/>
      </c>
      <c r="E1211" s="49"/>
      <c r="F1211" s="49" t="str">
        <f>IFERROR(INDEX(منتجات!$G$3:$G$114,MATCH(B1211,منتجات!$A$3:$A$115,0)),"")</f>
        <v/>
      </c>
      <c r="G1211" s="51" t="str">
        <f t="shared" si="20"/>
        <v/>
      </c>
      <c r="H1211" s="54"/>
    </row>
    <row r="1212" spans="1:8" x14ac:dyDescent="0.35">
      <c r="A1212" s="51"/>
      <c r="B1212" s="51"/>
      <c r="C1212" s="51" t="str">
        <f>IFERROR(VLOOKUP(B1212,منتجات!$A$3:$C$350,2,0),"")</f>
        <v/>
      </c>
      <c r="D1212" s="51" t="str">
        <f>IFERROR(VLOOKUP(B1212,منتجات!$A$3:$C$350,3,0),"")</f>
        <v/>
      </c>
      <c r="E1212" s="51"/>
      <c r="F1212" s="51" t="str">
        <f>IFERROR(INDEX(منتجات!$G$3:$G$114,MATCH(B1212,منتجات!$A$3:$A$115,0)),"")</f>
        <v/>
      </c>
      <c r="G1212" s="51" t="str">
        <f t="shared" si="20"/>
        <v/>
      </c>
      <c r="H1212" s="53"/>
    </row>
    <row r="1213" spans="1:8" x14ac:dyDescent="0.35">
      <c r="A1213" s="49"/>
      <c r="B1213" s="49"/>
      <c r="C1213" s="51" t="str">
        <f>IFERROR(VLOOKUP(B1213,منتجات!$A$3:$C$350,2,0),"")</f>
        <v/>
      </c>
      <c r="D1213" s="49" t="str">
        <f>IFERROR(VLOOKUP(B1213,منتجات!$A$3:$C$350,3,0),"")</f>
        <v/>
      </c>
      <c r="E1213" s="49"/>
      <c r="F1213" s="49" t="str">
        <f>IFERROR(INDEX(منتجات!$G$3:$G$114,MATCH(B1213,منتجات!$A$3:$A$115,0)),"")</f>
        <v/>
      </c>
      <c r="G1213" s="51" t="str">
        <f t="shared" si="20"/>
        <v/>
      </c>
      <c r="H1213" s="54"/>
    </row>
    <row r="1214" spans="1:8" x14ac:dyDescent="0.35">
      <c r="A1214" s="51"/>
      <c r="B1214" s="51"/>
      <c r="C1214" s="51" t="str">
        <f>IFERROR(VLOOKUP(B1214,منتجات!$A$3:$C$350,2,0),"")</f>
        <v/>
      </c>
      <c r="D1214" s="51" t="str">
        <f>IFERROR(VLOOKUP(B1214,منتجات!$A$3:$C$350,3,0),"")</f>
        <v/>
      </c>
      <c r="E1214" s="51"/>
      <c r="F1214" s="51" t="str">
        <f>IFERROR(INDEX(منتجات!$G$3:$G$114,MATCH(B1214,منتجات!$A$3:$A$115,0)),"")</f>
        <v/>
      </c>
      <c r="G1214" s="51" t="str">
        <f t="shared" si="20"/>
        <v/>
      </c>
      <c r="H1214" s="53"/>
    </row>
    <row r="1215" spans="1:8" x14ac:dyDescent="0.35">
      <c r="A1215" s="49"/>
      <c r="B1215" s="49"/>
      <c r="C1215" s="51" t="str">
        <f>IFERROR(VLOOKUP(B1215,منتجات!$A$3:$C$350,2,0),"")</f>
        <v/>
      </c>
      <c r="D1215" s="49" t="str">
        <f>IFERROR(VLOOKUP(B1215,منتجات!$A$3:$C$350,3,0),"")</f>
        <v/>
      </c>
      <c r="E1215" s="49"/>
      <c r="F1215" s="49" t="str">
        <f>IFERROR(INDEX(منتجات!$G$3:$G$114,MATCH(B1215,منتجات!$A$3:$A$115,0)),"")</f>
        <v/>
      </c>
      <c r="G1215" s="51" t="str">
        <f t="shared" si="20"/>
        <v/>
      </c>
      <c r="H1215" s="54"/>
    </row>
    <row r="1216" spans="1:8" x14ac:dyDescent="0.35">
      <c r="A1216" s="51"/>
      <c r="B1216" s="51"/>
      <c r="C1216" s="51" t="str">
        <f>IFERROR(VLOOKUP(B1216,منتجات!$A$3:$C$350,2,0),"")</f>
        <v/>
      </c>
      <c r="D1216" s="51" t="str">
        <f>IFERROR(VLOOKUP(B1216,منتجات!$A$3:$C$350,3,0),"")</f>
        <v/>
      </c>
      <c r="E1216" s="51"/>
      <c r="F1216" s="51" t="str">
        <f>IFERROR(INDEX(منتجات!$G$3:$G$114,MATCH(B1216,منتجات!$A$3:$A$115,0)),"")</f>
        <v/>
      </c>
      <c r="G1216" s="51" t="str">
        <f t="shared" si="20"/>
        <v/>
      </c>
      <c r="H1216" s="53"/>
    </row>
    <row r="1217" spans="1:8" x14ac:dyDescent="0.35">
      <c r="A1217" s="49"/>
      <c r="B1217" s="49"/>
      <c r="C1217" s="51" t="str">
        <f>IFERROR(VLOOKUP(B1217,منتجات!$A$3:$C$350,2,0),"")</f>
        <v/>
      </c>
      <c r="D1217" s="49" t="str">
        <f>IFERROR(VLOOKUP(B1217,منتجات!$A$3:$C$350,3,0),"")</f>
        <v/>
      </c>
      <c r="E1217" s="49"/>
      <c r="F1217" s="49" t="str">
        <f>IFERROR(INDEX(منتجات!$G$3:$G$114,MATCH(B1217,منتجات!$A$3:$A$115,0)),"")</f>
        <v/>
      </c>
      <c r="G1217" s="51" t="str">
        <f t="shared" si="20"/>
        <v/>
      </c>
      <c r="H1217" s="54"/>
    </row>
    <row r="1218" spans="1:8" x14ac:dyDescent="0.35">
      <c r="A1218" s="51"/>
      <c r="B1218" s="51"/>
      <c r="C1218" s="51" t="str">
        <f>IFERROR(VLOOKUP(B1218,منتجات!$A$3:$C$350,2,0),"")</f>
        <v/>
      </c>
      <c r="D1218" s="51" t="str">
        <f>IFERROR(VLOOKUP(B1218,منتجات!$A$3:$C$350,3,0),"")</f>
        <v/>
      </c>
      <c r="E1218" s="51"/>
      <c r="F1218" s="51" t="str">
        <f>IFERROR(INDEX(منتجات!$G$3:$G$114,MATCH(B1218,منتجات!$A$3:$A$115,0)),"")</f>
        <v/>
      </c>
      <c r="G1218" s="51" t="str">
        <f t="shared" si="20"/>
        <v/>
      </c>
      <c r="H1218" s="53"/>
    </row>
    <row r="1219" spans="1:8" x14ac:dyDescent="0.35">
      <c r="A1219" s="49"/>
      <c r="B1219" s="49"/>
      <c r="C1219" s="51" t="str">
        <f>IFERROR(VLOOKUP(B1219,منتجات!$A$3:$C$350,2,0),"")</f>
        <v/>
      </c>
      <c r="D1219" s="49" t="str">
        <f>IFERROR(VLOOKUP(B1219,منتجات!$A$3:$C$350,3,0),"")</f>
        <v/>
      </c>
      <c r="E1219" s="49"/>
      <c r="F1219" s="49" t="str">
        <f>IFERROR(INDEX(منتجات!$G$3:$G$114,MATCH(B1219,منتجات!$A$3:$A$115,0)),"")</f>
        <v/>
      </c>
      <c r="G1219" s="51" t="str">
        <f t="shared" si="20"/>
        <v/>
      </c>
      <c r="H1219" s="54"/>
    </row>
    <row r="1220" spans="1:8" x14ac:dyDescent="0.35">
      <c r="A1220" s="51"/>
      <c r="B1220" s="51"/>
      <c r="C1220" s="51" t="str">
        <f>IFERROR(VLOOKUP(B1220,منتجات!$A$3:$C$350,2,0),"")</f>
        <v/>
      </c>
      <c r="D1220" s="51" t="str">
        <f>IFERROR(VLOOKUP(B1220,منتجات!$A$3:$C$350,3,0),"")</f>
        <v/>
      </c>
      <c r="E1220" s="51"/>
      <c r="F1220" s="51" t="str">
        <f>IFERROR(INDEX(منتجات!$G$3:$G$114,MATCH(B1220,منتجات!$A$3:$A$115,0)),"")</f>
        <v/>
      </c>
      <c r="G1220" s="51" t="str">
        <f t="shared" si="20"/>
        <v/>
      </c>
      <c r="H1220" s="53"/>
    </row>
    <row r="1221" spans="1:8" x14ac:dyDescent="0.35">
      <c r="A1221" s="49"/>
      <c r="B1221" s="49"/>
      <c r="C1221" s="51" t="str">
        <f>IFERROR(VLOOKUP(B1221,منتجات!$A$3:$C$350,2,0),"")</f>
        <v/>
      </c>
      <c r="D1221" s="49" t="str">
        <f>IFERROR(VLOOKUP(B1221,منتجات!$A$3:$C$350,3,0),"")</f>
        <v/>
      </c>
      <c r="E1221" s="49"/>
      <c r="F1221" s="49" t="str">
        <f>IFERROR(INDEX(منتجات!$G$3:$G$114,MATCH(B1221,منتجات!$A$3:$A$115,0)),"")</f>
        <v/>
      </c>
      <c r="G1221" s="51" t="str">
        <f t="shared" si="20"/>
        <v/>
      </c>
      <c r="H1221" s="54"/>
    </row>
    <row r="1222" spans="1:8" x14ac:dyDescent="0.35">
      <c r="A1222" s="51"/>
      <c r="B1222" s="51"/>
      <c r="C1222" s="51" t="str">
        <f>IFERROR(VLOOKUP(B1222,منتجات!$A$3:$C$350,2,0),"")</f>
        <v/>
      </c>
      <c r="D1222" s="51" t="str">
        <f>IFERROR(VLOOKUP(B1222,منتجات!$A$3:$C$350,3,0),"")</f>
        <v/>
      </c>
      <c r="E1222" s="51"/>
      <c r="F1222" s="51" t="str">
        <f>IFERROR(INDEX(منتجات!$G$3:$G$114,MATCH(B1222,منتجات!$A$3:$A$115,0)),"")</f>
        <v/>
      </c>
      <c r="G1222" s="51" t="str">
        <f t="shared" si="20"/>
        <v/>
      </c>
      <c r="H1222" s="53"/>
    </row>
    <row r="1223" spans="1:8" x14ac:dyDescent="0.35">
      <c r="A1223" s="49"/>
      <c r="B1223" s="49"/>
      <c r="C1223" s="51" t="str">
        <f>IFERROR(VLOOKUP(B1223,منتجات!$A$3:$C$350,2,0),"")</f>
        <v/>
      </c>
      <c r="D1223" s="49" t="str">
        <f>IFERROR(VLOOKUP(B1223,منتجات!$A$3:$C$350,3,0),"")</f>
        <v/>
      </c>
      <c r="E1223" s="49"/>
      <c r="F1223" s="49" t="str">
        <f>IFERROR(INDEX(منتجات!$G$3:$G$114,MATCH(B1223,منتجات!$A$3:$A$115,0)),"")</f>
        <v/>
      </c>
      <c r="G1223" s="51" t="str">
        <f t="shared" si="20"/>
        <v/>
      </c>
      <c r="H1223" s="54"/>
    </row>
    <row r="1224" spans="1:8" x14ac:dyDescent="0.35">
      <c r="A1224" s="51"/>
      <c r="B1224" s="51"/>
      <c r="C1224" s="51" t="str">
        <f>IFERROR(VLOOKUP(B1224,منتجات!$A$3:$C$350,2,0),"")</f>
        <v/>
      </c>
      <c r="D1224" s="51" t="str">
        <f>IFERROR(VLOOKUP(B1224,منتجات!$A$3:$C$350,3,0),"")</f>
        <v/>
      </c>
      <c r="E1224" s="51"/>
      <c r="F1224" s="51" t="str">
        <f>IFERROR(INDEX(منتجات!$G$3:$G$114,MATCH(B1224,منتجات!$A$3:$A$115,0)),"")</f>
        <v/>
      </c>
      <c r="G1224" s="51" t="str">
        <f t="shared" si="20"/>
        <v/>
      </c>
      <c r="H1224" s="53"/>
    </row>
    <row r="1225" spans="1:8" x14ac:dyDescent="0.35">
      <c r="A1225" s="49"/>
      <c r="B1225" s="49"/>
      <c r="C1225" s="51" t="str">
        <f>IFERROR(VLOOKUP(B1225,منتجات!$A$3:$C$350,2,0),"")</f>
        <v/>
      </c>
      <c r="D1225" s="49" t="str">
        <f>IFERROR(VLOOKUP(B1225,منتجات!$A$3:$C$350,3,0),"")</f>
        <v/>
      </c>
      <c r="E1225" s="49"/>
      <c r="F1225" s="49" t="str">
        <f>IFERROR(INDEX(منتجات!$G$3:$G$114,MATCH(B1225,منتجات!$A$3:$A$115,0)),"")</f>
        <v/>
      </c>
      <c r="G1225" s="51" t="str">
        <f t="shared" si="20"/>
        <v/>
      </c>
      <c r="H1225" s="54"/>
    </row>
    <row r="1226" spans="1:8" x14ac:dyDescent="0.35">
      <c r="A1226" s="51"/>
      <c r="B1226" s="51"/>
      <c r="C1226" s="51" t="str">
        <f>IFERROR(VLOOKUP(B1226,منتجات!$A$3:$C$350,2,0),"")</f>
        <v/>
      </c>
      <c r="D1226" s="51" t="str">
        <f>IFERROR(VLOOKUP(B1226,منتجات!$A$3:$C$350,3,0),"")</f>
        <v/>
      </c>
      <c r="E1226" s="51"/>
      <c r="F1226" s="51" t="str">
        <f>IFERROR(INDEX(منتجات!$G$3:$G$114,MATCH(B1226,منتجات!$A$3:$A$115,0)),"")</f>
        <v/>
      </c>
      <c r="G1226" s="51" t="str">
        <f t="shared" si="20"/>
        <v/>
      </c>
      <c r="H1226" s="53"/>
    </row>
    <row r="1227" spans="1:8" x14ac:dyDescent="0.35">
      <c r="A1227" s="49"/>
      <c r="B1227" s="49"/>
      <c r="C1227" s="51" t="str">
        <f>IFERROR(VLOOKUP(B1227,منتجات!$A$3:$C$350,2,0),"")</f>
        <v/>
      </c>
      <c r="D1227" s="49" t="str">
        <f>IFERROR(VLOOKUP(B1227,منتجات!$A$3:$C$350,3,0),"")</f>
        <v/>
      </c>
      <c r="E1227" s="49"/>
      <c r="F1227" s="49" t="str">
        <f>IFERROR(INDEX(منتجات!$G$3:$G$114,MATCH(B1227,منتجات!$A$3:$A$115,0)),"")</f>
        <v/>
      </c>
      <c r="G1227" s="51" t="str">
        <f t="shared" si="20"/>
        <v/>
      </c>
      <c r="H1227" s="54"/>
    </row>
    <row r="1228" spans="1:8" x14ac:dyDescent="0.35">
      <c r="A1228" s="51"/>
      <c r="B1228" s="51"/>
      <c r="C1228" s="51" t="str">
        <f>IFERROR(VLOOKUP(B1228,منتجات!$A$3:$C$350,2,0),"")</f>
        <v/>
      </c>
      <c r="D1228" s="51" t="str">
        <f>IFERROR(VLOOKUP(B1228,منتجات!$A$3:$C$350,3,0),"")</f>
        <v/>
      </c>
      <c r="E1228" s="51"/>
      <c r="F1228" s="51" t="str">
        <f>IFERROR(INDEX(منتجات!$G$3:$G$114,MATCH(B1228,منتجات!$A$3:$A$115,0)),"")</f>
        <v/>
      </c>
      <c r="G1228" s="51" t="str">
        <f t="shared" si="20"/>
        <v/>
      </c>
      <c r="H1228" s="53"/>
    </row>
    <row r="1229" spans="1:8" x14ac:dyDescent="0.35">
      <c r="A1229" s="49"/>
      <c r="B1229" s="49"/>
      <c r="C1229" s="51" t="str">
        <f>IFERROR(VLOOKUP(B1229,منتجات!$A$3:$C$350,2,0),"")</f>
        <v/>
      </c>
      <c r="D1229" s="49" t="str">
        <f>IFERROR(VLOOKUP(B1229,منتجات!$A$3:$C$350,3,0),"")</f>
        <v/>
      </c>
      <c r="E1229" s="49"/>
      <c r="F1229" s="49" t="str">
        <f>IFERROR(INDEX(منتجات!$G$3:$G$114,MATCH(B1229,منتجات!$A$3:$A$115,0)),"")</f>
        <v/>
      </c>
      <c r="G1229" s="51" t="str">
        <f t="shared" si="20"/>
        <v/>
      </c>
      <c r="H1229" s="54"/>
    </row>
    <row r="1230" spans="1:8" x14ac:dyDescent="0.35">
      <c r="A1230" s="51"/>
      <c r="B1230" s="51"/>
      <c r="C1230" s="51" t="str">
        <f>IFERROR(VLOOKUP(B1230,منتجات!$A$3:$C$350,2,0),"")</f>
        <v/>
      </c>
      <c r="D1230" s="51" t="str">
        <f>IFERROR(VLOOKUP(B1230,منتجات!$A$3:$C$350,3,0),"")</f>
        <v/>
      </c>
      <c r="E1230" s="51"/>
      <c r="F1230" s="51" t="str">
        <f>IFERROR(INDEX(منتجات!$G$3:$G$114,MATCH(B1230,منتجات!$A$3:$A$115,0)),"")</f>
        <v/>
      </c>
      <c r="G1230" s="51" t="str">
        <f t="shared" ref="G1230:G1293" si="21">IFERROR(E1230*F1230*D1230,"")</f>
        <v/>
      </c>
      <c r="H1230" s="53"/>
    </row>
    <row r="1231" spans="1:8" x14ac:dyDescent="0.35">
      <c r="A1231" s="49"/>
      <c r="B1231" s="49"/>
      <c r="C1231" s="51" t="str">
        <f>IFERROR(VLOOKUP(B1231,منتجات!$A$3:$C$350,2,0),"")</f>
        <v/>
      </c>
      <c r="D1231" s="49" t="str">
        <f>IFERROR(VLOOKUP(B1231,منتجات!$A$3:$C$350,3,0),"")</f>
        <v/>
      </c>
      <c r="E1231" s="49"/>
      <c r="F1231" s="49" t="str">
        <f>IFERROR(INDEX(منتجات!$G$3:$G$114,MATCH(B1231,منتجات!$A$3:$A$115,0)),"")</f>
        <v/>
      </c>
      <c r="G1231" s="51" t="str">
        <f t="shared" si="21"/>
        <v/>
      </c>
      <c r="H1231" s="54"/>
    </row>
    <row r="1232" spans="1:8" x14ac:dyDescent="0.35">
      <c r="A1232" s="51"/>
      <c r="B1232" s="51"/>
      <c r="C1232" s="51" t="str">
        <f>IFERROR(VLOOKUP(B1232,منتجات!$A$3:$C$350,2,0),"")</f>
        <v/>
      </c>
      <c r="D1232" s="51" t="str">
        <f>IFERROR(VLOOKUP(B1232,منتجات!$A$3:$C$350,3,0),"")</f>
        <v/>
      </c>
      <c r="E1232" s="51"/>
      <c r="F1232" s="51" t="str">
        <f>IFERROR(INDEX(منتجات!$G$3:$G$114,MATCH(B1232,منتجات!$A$3:$A$115,0)),"")</f>
        <v/>
      </c>
      <c r="G1232" s="51" t="str">
        <f t="shared" si="21"/>
        <v/>
      </c>
      <c r="H1232" s="53"/>
    </row>
    <row r="1233" spans="1:8" x14ac:dyDescent="0.35">
      <c r="A1233" s="49"/>
      <c r="B1233" s="49"/>
      <c r="C1233" s="51" t="str">
        <f>IFERROR(VLOOKUP(B1233,منتجات!$A$3:$C$350,2,0),"")</f>
        <v/>
      </c>
      <c r="D1233" s="49" t="str">
        <f>IFERROR(VLOOKUP(B1233,منتجات!$A$3:$C$350,3,0),"")</f>
        <v/>
      </c>
      <c r="E1233" s="49"/>
      <c r="F1233" s="49" t="str">
        <f>IFERROR(INDEX(منتجات!$G$3:$G$114,MATCH(B1233,منتجات!$A$3:$A$115,0)),"")</f>
        <v/>
      </c>
      <c r="G1233" s="51" t="str">
        <f t="shared" si="21"/>
        <v/>
      </c>
      <c r="H1233" s="54"/>
    </row>
    <row r="1234" spans="1:8" x14ac:dyDescent="0.35">
      <c r="A1234" s="51"/>
      <c r="B1234" s="51"/>
      <c r="C1234" s="51" t="str">
        <f>IFERROR(VLOOKUP(B1234,منتجات!$A$3:$C$350,2,0),"")</f>
        <v/>
      </c>
      <c r="D1234" s="51" t="str">
        <f>IFERROR(VLOOKUP(B1234,منتجات!$A$3:$C$350,3,0),"")</f>
        <v/>
      </c>
      <c r="E1234" s="51"/>
      <c r="F1234" s="51" t="str">
        <f>IFERROR(INDEX(منتجات!$G$3:$G$114,MATCH(B1234,منتجات!$A$3:$A$115,0)),"")</f>
        <v/>
      </c>
      <c r="G1234" s="51" t="str">
        <f t="shared" si="21"/>
        <v/>
      </c>
      <c r="H1234" s="53"/>
    </row>
    <row r="1235" spans="1:8" x14ac:dyDescent="0.35">
      <c r="A1235" s="49"/>
      <c r="B1235" s="49"/>
      <c r="C1235" s="51" t="str">
        <f>IFERROR(VLOOKUP(B1235,منتجات!$A$3:$C$350,2,0),"")</f>
        <v/>
      </c>
      <c r="D1235" s="49" t="str">
        <f>IFERROR(VLOOKUP(B1235,منتجات!$A$3:$C$350,3,0),"")</f>
        <v/>
      </c>
      <c r="E1235" s="49"/>
      <c r="F1235" s="49" t="str">
        <f>IFERROR(INDEX(منتجات!$G$3:$G$114,MATCH(B1235,منتجات!$A$3:$A$115,0)),"")</f>
        <v/>
      </c>
      <c r="G1235" s="51" t="str">
        <f t="shared" si="21"/>
        <v/>
      </c>
      <c r="H1235" s="54"/>
    </row>
    <row r="1236" spans="1:8" x14ac:dyDescent="0.35">
      <c r="A1236" s="51"/>
      <c r="B1236" s="51"/>
      <c r="C1236" s="51" t="str">
        <f>IFERROR(VLOOKUP(B1236,منتجات!$A$3:$C$350,2,0),"")</f>
        <v/>
      </c>
      <c r="D1236" s="51" t="str">
        <f>IFERROR(VLOOKUP(B1236,منتجات!$A$3:$C$350,3,0),"")</f>
        <v/>
      </c>
      <c r="E1236" s="51"/>
      <c r="F1236" s="51" t="str">
        <f>IFERROR(INDEX(منتجات!$G$3:$G$114,MATCH(B1236,منتجات!$A$3:$A$115,0)),"")</f>
        <v/>
      </c>
      <c r="G1236" s="51" t="str">
        <f t="shared" si="21"/>
        <v/>
      </c>
      <c r="H1236" s="53"/>
    </row>
    <row r="1237" spans="1:8" x14ac:dyDescent="0.35">
      <c r="A1237" s="49"/>
      <c r="B1237" s="49"/>
      <c r="C1237" s="51" t="str">
        <f>IFERROR(VLOOKUP(B1237,منتجات!$A$3:$C$350,2,0),"")</f>
        <v/>
      </c>
      <c r="D1237" s="49" t="str">
        <f>IFERROR(VLOOKUP(B1237,منتجات!$A$3:$C$350,3,0),"")</f>
        <v/>
      </c>
      <c r="E1237" s="49"/>
      <c r="F1237" s="49" t="str">
        <f>IFERROR(INDEX(منتجات!$G$3:$G$114,MATCH(B1237,منتجات!$A$3:$A$115,0)),"")</f>
        <v/>
      </c>
      <c r="G1237" s="51" t="str">
        <f t="shared" si="21"/>
        <v/>
      </c>
      <c r="H1237" s="54"/>
    </row>
    <row r="1238" spans="1:8" x14ac:dyDescent="0.35">
      <c r="A1238" s="51"/>
      <c r="B1238" s="51"/>
      <c r="C1238" s="51" t="str">
        <f>IFERROR(VLOOKUP(B1238,منتجات!$A$3:$C$350,2,0),"")</f>
        <v/>
      </c>
      <c r="D1238" s="51" t="str">
        <f>IFERROR(VLOOKUP(B1238,منتجات!$A$3:$C$350,3,0),"")</f>
        <v/>
      </c>
      <c r="E1238" s="51"/>
      <c r="F1238" s="51" t="str">
        <f>IFERROR(INDEX(منتجات!$G$3:$G$114,MATCH(B1238,منتجات!$A$3:$A$115,0)),"")</f>
        <v/>
      </c>
      <c r="G1238" s="51" t="str">
        <f t="shared" si="21"/>
        <v/>
      </c>
      <c r="H1238" s="53"/>
    </row>
    <row r="1239" spans="1:8" x14ac:dyDescent="0.35">
      <c r="A1239" s="49"/>
      <c r="B1239" s="49"/>
      <c r="C1239" s="51" t="str">
        <f>IFERROR(VLOOKUP(B1239,منتجات!$A$3:$C$350,2,0),"")</f>
        <v/>
      </c>
      <c r="D1239" s="49" t="str">
        <f>IFERROR(VLOOKUP(B1239,منتجات!$A$3:$C$350,3,0),"")</f>
        <v/>
      </c>
      <c r="E1239" s="49"/>
      <c r="F1239" s="49" t="str">
        <f>IFERROR(INDEX(منتجات!$G$3:$G$114,MATCH(B1239,منتجات!$A$3:$A$115,0)),"")</f>
        <v/>
      </c>
      <c r="G1239" s="51" t="str">
        <f t="shared" si="21"/>
        <v/>
      </c>
      <c r="H1239" s="54"/>
    </row>
    <row r="1240" spans="1:8" x14ac:dyDescent="0.35">
      <c r="A1240" s="51"/>
      <c r="B1240" s="51"/>
      <c r="C1240" s="51" t="str">
        <f>IFERROR(VLOOKUP(B1240,منتجات!$A$3:$C$350,2,0),"")</f>
        <v/>
      </c>
      <c r="D1240" s="51" t="str">
        <f>IFERROR(VLOOKUP(B1240,منتجات!$A$3:$C$350,3,0),"")</f>
        <v/>
      </c>
      <c r="E1240" s="51"/>
      <c r="F1240" s="51" t="str">
        <f>IFERROR(INDEX(منتجات!$G$3:$G$114,MATCH(B1240,منتجات!$A$3:$A$115,0)),"")</f>
        <v/>
      </c>
      <c r="G1240" s="51" t="str">
        <f t="shared" si="21"/>
        <v/>
      </c>
      <c r="H1240" s="53"/>
    </row>
    <row r="1241" spans="1:8" x14ac:dyDescent="0.35">
      <c r="A1241" s="49"/>
      <c r="B1241" s="49"/>
      <c r="C1241" s="51" t="str">
        <f>IFERROR(VLOOKUP(B1241,منتجات!$A$3:$C$350,2,0),"")</f>
        <v/>
      </c>
      <c r="D1241" s="49" t="str">
        <f>IFERROR(VLOOKUP(B1241,منتجات!$A$3:$C$350,3,0),"")</f>
        <v/>
      </c>
      <c r="E1241" s="49"/>
      <c r="F1241" s="49" t="str">
        <f>IFERROR(INDEX(منتجات!$G$3:$G$114,MATCH(B1241,منتجات!$A$3:$A$115,0)),"")</f>
        <v/>
      </c>
      <c r="G1241" s="51" t="str">
        <f t="shared" si="21"/>
        <v/>
      </c>
      <c r="H1241" s="54"/>
    </row>
    <row r="1242" spans="1:8" x14ac:dyDescent="0.35">
      <c r="A1242" s="51"/>
      <c r="B1242" s="51"/>
      <c r="C1242" s="51" t="str">
        <f>IFERROR(VLOOKUP(B1242,منتجات!$A$3:$C$350,2,0),"")</f>
        <v/>
      </c>
      <c r="D1242" s="51" t="str">
        <f>IFERROR(VLOOKUP(B1242,منتجات!$A$3:$C$350,3,0),"")</f>
        <v/>
      </c>
      <c r="E1242" s="51"/>
      <c r="F1242" s="51" t="str">
        <f>IFERROR(INDEX(منتجات!$G$3:$G$114,MATCH(B1242,منتجات!$A$3:$A$115,0)),"")</f>
        <v/>
      </c>
      <c r="G1242" s="51" t="str">
        <f t="shared" si="21"/>
        <v/>
      </c>
      <c r="H1242" s="53"/>
    </row>
    <row r="1243" spans="1:8" x14ac:dyDescent="0.35">
      <c r="A1243" s="49"/>
      <c r="B1243" s="49"/>
      <c r="C1243" s="51" t="str">
        <f>IFERROR(VLOOKUP(B1243,منتجات!$A$3:$C$350,2,0),"")</f>
        <v/>
      </c>
      <c r="D1243" s="49" t="str">
        <f>IFERROR(VLOOKUP(B1243,منتجات!$A$3:$C$350,3,0),"")</f>
        <v/>
      </c>
      <c r="E1243" s="49"/>
      <c r="F1243" s="49" t="str">
        <f>IFERROR(INDEX(منتجات!$G$3:$G$114,MATCH(B1243,منتجات!$A$3:$A$115,0)),"")</f>
        <v/>
      </c>
      <c r="G1243" s="51" t="str">
        <f t="shared" si="21"/>
        <v/>
      </c>
      <c r="H1243" s="54"/>
    </row>
    <row r="1244" spans="1:8" x14ac:dyDescent="0.35">
      <c r="A1244" s="51"/>
      <c r="B1244" s="51"/>
      <c r="C1244" s="51" t="str">
        <f>IFERROR(VLOOKUP(B1244,منتجات!$A$3:$C$350,2,0),"")</f>
        <v/>
      </c>
      <c r="D1244" s="51" t="str">
        <f>IFERROR(VLOOKUP(B1244,منتجات!$A$3:$C$350,3,0),"")</f>
        <v/>
      </c>
      <c r="E1244" s="51"/>
      <c r="F1244" s="51" t="str">
        <f>IFERROR(INDEX(منتجات!$G$3:$G$114,MATCH(B1244,منتجات!$A$3:$A$115,0)),"")</f>
        <v/>
      </c>
      <c r="G1244" s="51" t="str">
        <f t="shared" si="21"/>
        <v/>
      </c>
      <c r="H1244" s="53"/>
    </row>
    <row r="1245" spans="1:8" x14ac:dyDescent="0.35">
      <c r="A1245" s="49"/>
      <c r="B1245" s="49"/>
      <c r="C1245" s="51" t="str">
        <f>IFERROR(VLOOKUP(B1245,منتجات!$A$3:$C$350,2,0),"")</f>
        <v/>
      </c>
      <c r="D1245" s="49" t="str">
        <f>IFERROR(VLOOKUP(B1245,منتجات!$A$3:$C$350,3,0),"")</f>
        <v/>
      </c>
      <c r="E1245" s="49"/>
      <c r="F1245" s="49" t="str">
        <f>IFERROR(INDEX(منتجات!$G$3:$G$114,MATCH(B1245,منتجات!$A$3:$A$115,0)),"")</f>
        <v/>
      </c>
      <c r="G1245" s="51" t="str">
        <f t="shared" si="21"/>
        <v/>
      </c>
      <c r="H1245" s="54"/>
    </row>
    <row r="1246" spans="1:8" x14ac:dyDescent="0.35">
      <c r="A1246" s="51"/>
      <c r="B1246" s="51"/>
      <c r="C1246" s="51" t="str">
        <f>IFERROR(VLOOKUP(B1246,منتجات!$A$3:$C$350,2,0),"")</f>
        <v/>
      </c>
      <c r="D1246" s="51" t="str">
        <f>IFERROR(VLOOKUP(B1246,منتجات!$A$3:$C$350,3,0),"")</f>
        <v/>
      </c>
      <c r="E1246" s="51"/>
      <c r="F1246" s="51" t="str">
        <f>IFERROR(INDEX(منتجات!$G$3:$G$114,MATCH(B1246,منتجات!$A$3:$A$115,0)),"")</f>
        <v/>
      </c>
      <c r="G1246" s="51" t="str">
        <f t="shared" si="21"/>
        <v/>
      </c>
      <c r="H1246" s="53"/>
    </row>
    <row r="1247" spans="1:8" x14ac:dyDescent="0.35">
      <c r="A1247" s="49"/>
      <c r="B1247" s="49"/>
      <c r="C1247" s="51" t="str">
        <f>IFERROR(VLOOKUP(B1247,منتجات!$A$3:$C$350,2,0),"")</f>
        <v/>
      </c>
      <c r="D1247" s="49" t="str">
        <f>IFERROR(VLOOKUP(B1247,منتجات!$A$3:$C$350,3,0),"")</f>
        <v/>
      </c>
      <c r="E1247" s="49"/>
      <c r="F1247" s="49" t="str">
        <f>IFERROR(INDEX(منتجات!$G$3:$G$114,MATCH(B1247,منتجات!$A$3:$A$115,0)),"")</f>
        <v/>
      </c>
      <c r="G1247" s="51" t="str">
        <f t="shared" si="21"/>
        <v/>
      </c>
      <c r="H1247" s="54"/>
    </row>
    <row r="1248" spans="1:8" x14ac:dyDescent="0.35">
      <c r="A1248" s="51"/>
      <c r="B1248" s="51"/>
      <c r="C1248" s="51" t="str">
        <f>IFERROR(VLOOKUP(B1248,منتجات!$A$3:$C$350,2,0),"")</f>
        <v/>
      </c>
      <c r="D1248" s="51" t="str">
        <f>IFERROR(VLOOKUP(B1248,منتجات!$A$3:$C$350,3,0),"")</f>
        <v/>
      </c>
      <c r="E1248" s="51"/>
      <c r="F1248" s="51" t="str">
        <f>IFERROR(INDEX(منتجات!$G$3:$G$114,MATCH(B1248,منتجات!$A$3:$A$115,0)),"")</f>
        <v/>
      </c>
      <c r="G1248" s="51" t="str">
        <f t="shared" si="21"/>
        <v/>
      </c>
      <c r="H1248" s="53"/>
    </row>
    <row r="1249" spans="1:8" x14ac:dyDescent="0.35">
      <c r="A1249" s="49"/>
      <c r="B1249" s="49"/>
      <c r="C1249" s="51" t="str">
        <f>IFERROR(VLOOKUP(B1249,منتجات!$A$3:$C$350,2,0),"")</f>
        <v/>
      </c>
      <c r="D1249" s="49" t="str">
        <f>IFERROR(VLOOKUP(B1249,منتجات!$A$3:$C$350,3,0),"")</f>
        <v/>
      </c>
      <c r="E1249" s="49"/>
      <c r="F1249" s="49" t="str">
        <f>IFERROR(INDEX(منتجات!$G$3:$G$114,MATCH(B1249,منتجات!$A$3:$A$115,0)),"")</f>
        <v/>
      </c>
      <c r="G1249" s="51" t="str">
        <f t="shared" si="21"/>
        <v/>
      </c>
      <c r="H1249" s="54"/>
    </row>
    <row r="1250" spans="1:8" x14ac:dyDescent="0.35">
      <c r="A1250" s="51"/>
      <c r="B1250" s="51"/>
      <c r="C1250" s="51" t="str">
        <f>IFERROR(VLOOKUP(B1250,منتجات!$A$3:$C$350,2,0),"")</f>
        <v/>
      </c>
      <c r="D1250" s="51" t="str">
        <f>IFERROR(VLOOKUP(B1250,منتجات!$A$3:$C$350,3,0),"")</f>
        <v/>
      </c>
      <c r="E1250" s="51"/>
      <c r="F1250" s="51" t="str">
        <f>IFERROR(INDEX(منتجات!$G$3:$G$114,MATCH(B1250,منتجات!$A$3:$A$115,0)),"")</f>
        <v/>
      </c>
      <c r="G1250" s="51" t="str">
        <f t="shared" si="21"/>
        <v/>
      </c>
      <c r="H1250" s="53"/>
    </row>
    <row r="1251" spans="1:8" x14ac:dyDescent="0.35">
      <c r="A1251" s="49"/>
      <c r="B1251" s="49"/>
      <c r="C1251" s="51" t="str">
        <f>IFERROR(VLOOKUP(B1251,منتجات!$A$3:$C$350,2,0),"")</f>
        <v/>
      </c>
      <c r="D1251" s="49" t="str">
        <f>IFERROR(VLOOKUP(B1251,منتجات!$A$3:$C$350,3,0),"")</f>
        <v/>
      </c>
      <c r="E1251" s="49"/>
      <c r="F1251" s="49" t="str">
        <f>IFERROR(INDEX(منتجات!$G$3:$G$114,MATCH(B1251,منتجات!$A$3:$A$115,0)),"")</f>
        <v/>
      </c>
      <c r="G1251" s="51" t="str">
        <f t="shared" si="21"/>
        <v/>
      </c>
      <c r="H1251" s="54"/>
    </row>
    <row r="1252" spans="1:8" x14ac:dyDescent="0.35">
      <c r="A1252" s="51"/>
      <c r="B1252" s="51"/>
      <c r="C1252" s="51" t="str">
        <f>IFERROR(VLOOKUP(B1252,منتجات!$A$3:$C$350,2,0),"")</f>
        <v/>
      </c>
      <c r="D1252" s="51" t="str">
        <f>IFERROR(VLOOKUP(B1252,منتجات!$A$3:$C$350,3,0),"")</f>
        <v/>
      </c>
      <c r="E1252" s="51"/>
      <c r="F1252" s="51" t="str">
        <f>IFERROR(INDEX(منتجات!$G$3:$G$114,MATCH(B1252,منتجات!$A$3:$A$115,0)),"")</f>
        <v/>
      </c>
      <c r="G1252" s="51" t="str">
        <f t="shared" si="21"/>
        <v/>
      </c>
      <c r="H1252" s="53"/>
    </row>
    <row r="1253" spans="1:8" x14ac:dyDescent="0.35">
      <c r="A1253" s="49"/>
      <c r="B1253" s="49"/>
      <c r="C1253" s="51" t="str">
        <f>IFERROR(VLOOKUP(B1253,منتجات!$A$3:$C$350,2,0),"")</f>
        <v/>
      </c>
      <c r="D1253" s="49" t="str">
        <f>IFERROR(VLOOKUP(B1253,منتجات!$A$3:$C$350,3,0),"")</f>
        <v/>
      </c>
      <c r="E1253" s="49"/>
      <c r="F1253" s="49" t="str">
        <f>IFERROR(INDEX(منتجات!$G$3:$G$114,MATCH(B1253,منتجات!$A$3:$A$115,0)),"")</f>
        <v/>
      </c>
      <c r="G1253" s="51" t="str">
        <f t="shared" si="21"/>
        <v/>
      </c>
      <c r="H1253" s="54"/>
    </row>
    <row r="1254" spans="1:8" x14ac:dyDescent="0.35">
      <c r="A1254" s="51"/>
      <c r="B1254" s="51"/>
      <c r="C1254" s="51" t="str">
        <f>IFERROR(VLOOKUP(B1254,منتجات!$A$3:$C$350,2,0),"")</f>
        <v/>
      </c>
      <c r="D1254" s="51" t="str">
        <f>IFERROR(VLOOKUP(B1254,منتجات!$A$3:$C$350,3,0),"")</f>
        <v/>
      </c>
      <c r="E1254" s="51"/>
      <c r="F1254" s="51" t="str">
        <f>IFERROR(INDEX(منتجات!$G$3:$G$114,MATCH(B1254,منتجات!$A$3:$A$115,0)),"")</f>
        <v/>
      </c>
      <c r="G1254" s="51" t="str">
        <f t="shared" si="21"/>
        <v/>
      </c>
      <c r="H1254" s="53"/>
    </row>
    <row r="1255" spans="1:8" x14ac:dyDescent="0.35">
      <c r="A1255" s="49"/>
      <c r="B1255" s="49"/>
      <c r="C1255" s="51" t="str">
        <f>IFERROR(VLOOKUP(B1255,منتجات!$A$3:$C$350,2,0),"")</f>
        <v/>
      </c>
      <c r="D1255" s="49" t="str">
        <f>IFERROR(VLOOKUP(B1255,منتجات!$A$3:$C$350,3,0),"")</f>
        <v/>
      </c>
      <c r="E1255" s="49"/>
      <c r="F1255" s="49" t="str">
        <f>IFERROR(INDEX(منتجات!$G$3:$G$114,MATCH(B1255,منتجات!$A$3:$A$115,0)),"")</f>
        <v/>
      </c>
      <c r="G1255" s="51" t="str">
        <f t="shared" si="21"/>
        <v/>
      </c>
      <c r="H1255" s="54"/>
    </row>
    <row r="1256" spans="1:8" x14ac:dyDescent="0.35">
      <c r="A1256" s="51"/>
      <c r="B1256" s="51"/>
      <c r="C1256" s="51" t="str">
        <f>IFERROR(VLOOKUP(B1256,منتجات!$A$3:$C$350,2,0),"")</f>
        <v/>
      </c>
      <c r="D1256" s="51" t="str">
        <f>IFERROR(VLOOKUP(B1256,منتجات!$A$3:$C$350,3,0),"")</f>
        <v/>
      </c>
      <c r="E1256" s="51"/>
      <c r="F1256" s="51" t="str">
        <f>IFERROR(INDEX(منتجات!$G$3:$G$114,MATCH(B1256,منتجات!$A$3:$A$115,0)),"")</f>
        <v/>
      </c>
      <c r="G1256" s="51" t="str">
        <f t="shared" si="21"/>
        <v/>
      </c>
      <c r="H1256" s="53"/>
    </row>
    <row r="1257" spans="1:8" x14ac:dyDescent="0.35">
      <c r="A1257" s="49"/>
      <c r="B1257" s="49"/>
      <c r="C1257" s="51" t="str">
        <f>IFERROR(VLOOKUP(B1257,منتجات!$A$3:$C$350,2,0),"")</f>
        <v/>
      </c>
      <c r="D1257" s="49" t="str">
        <f>IFERROR(VLOOKUP(B1257,منتجات!$A$3:$C$350,3,0),"")</f>
        <v/>
      </c>
      <c r="E1257" s="49"/>
      <c r="F1257" s="49" t="str">
        <f>IFERROR(INDEX(منتجات!$G$3:$G$114,MATCH(B1257,منتجات!$A$3:$A$115,0)),"")</f>
        <v/>
      </c>
      <c r="G1257" s="51" t="str">
        <f t="shared" si="21"/>
        <v/>
      </c>
      <c r="H1257" s="54"/>
    </row>
    <row r="1258" spans="1:8" x14ac:dyDescent="0.35">
      <c r="A1258" s="51"/>
      <c r="B1258" s="51"/>
      <c r="C1258" s="51" t="str">
        <f>IFERROR(VLOOKUP(B1258,منتجات!$A$3:$C$350,2,0),"")</f>
        <v/>
      </c>
      <c r="D1258" s="51" t="str">
        <f>IFERROR(VLOOKUP(B1258,منتجات!$A$3:$C$350,3,0),"")</f>
        <v/>
      </c>
      <c r="E1258" s="51"/>
      <c r="F1258" s="51" t="str">
        <f>IFERROR(INDEX(منتجات!$G$3:$G$114,MATCH(B1258,منتجات!$A$3:$A$115,0)),"")</f>
        <v/>
      </c>
      <c r="G1258" s="51" t="str">
        <f t="shared" si="21"/>
        <v/>
      </c>
      <c r="H1258" s="53"/>
    </row>
    <row r="1259" spans="1:8" x14ac:dyDescent="0.35">
      <c r="A1259" s="49"/>
      <c r="B1259" s="49"/>
      <c r="C1259" s="51" t="str">
        <f>IFERROR(VLOOKUP(B1259,منتجات!$A$3:$C$350,2,0),"")</f>
        <v/>
      </c>
      <c r="D1259" s="49" t="str">
        <f>IFERROR(VLOOKUP(B1259,منتجات!$A$3:$C$350,3,0),"")</f>
        <v/>
      </c>
      <c r="E1259" s="49"/>
      <c r="F1259" s="49" t="str">
        <f>IFERROR(INDEX(منتجات!$G$3:$G$114,MATCH(B1259,منتجات!$A$3:$A$115,0)),"")</f>
        <v/>
      </c>
      <c r="G1259" s="51" t="str">
        <f t="shared" si="21"/>
        <v/>
      </c>
      <c r="H1259" s="54"/>
    </row>
    <row r="1260" spans="1:8" x14ac:dyDescent="0.35">
      <c r="A1260" s="51"/>
      <c r="B1260" s="51"/>
      <c r="C1260" s="51" t="str">
        <f>IFERROR(VLOOKUP(B1260,منتجات!$A$3:$C$350,2,0),"")</f>
        <v/>
      </c>
      <c r="D1260" s="51" t="str">
        <f>IFERROR(VLOOKUP(B1260,منتجات!$A$3:$C$350,3,0),"")</f>
        <v/>
      </c>
      <c r="E1260" s="51"/>
      <c r="F1260" s="51" t="str">
        <f>IFERROR(INDEX(منتجات!$G$3:$G$114,MATCH(B1260,منتجات!$A$3:$A$115,0)),"")</f>
        <v/>
      </c>
      <c r="G1260" s="51" t="str">
        <f t="shared" si="21"/>
        <v/>
      </c>
      <c r="H1260" s="53"/>
    </row>
    <row r="1261" spans="1:8" x14ac:dyDescent="0.35">
      <c r="A1261" s="49"/>
      <c r="B1261" s="49"/>
      <c r="C1261" s="51" t="str">
        <f>IFERROR(VLOOKUP(B1261,منتجات!$A$3:$C$350,2,0),"")</f>
        <v/>
      </c>
      <c r="D1261" s="49" t="str">
        <f>IFERROR(VLOOKUP(B1261,منتجات!$A$3:$C$350,3,0),"")</f>
        <v/>
      </c>
      <c r="E1261" s="49"/>
      <c r="F1261" s="49" t="str">
        <f>IFERROR(INDEX(منتجات!$G$3:$G$114,MATCH(B1261,منتجات!$A$3:$A$115,0)),"")</f>
        <v/>
      </c>
      <c r="G1261" s="51" t="str">
        <f t="shared" si="21"/>
        <v/>
      </c>
      <c r="H1261" s="54"/>
    </row>
    <row r="1262" spans="1:8" x14ac:dyDescent="0.35">
      <c r="A1262" s="51"/>
      <c r="B1262" s="51"/>
      <c r="C1262" s="51" t="str">
        <f>IFERROR(VLOOKUP(B1262,منتجات!$A$3:$C$350,2,0),"")</f>
        <v/>
      </c>
      <c r="D1262" s="51" t="str">
        <f>IFERROR(VLOOKUP(B1262,منتجات!$A$3:$C$350,3,0),"")</f>
        <v/>
      </c>
      <c r="E1262" s="51"/>
      <c r="F1262" s="51" t="str">
        <f>IFERROR(INDEX(منتجات!$G$3:$G$114,MATCH(B1262,منتجات!$A$3:$A$115,0)),"")</f>
        <v/>
      </c>
      <c r="G1262" s="51" t="str">
        <f t="shared" si="21"/>
        <v/>
      </c>
      <c r="H1262" s="53"/>
    </row>
    <row r="1263" spans="1:8" x14ac:dyDescent="0.35">
      <c r="A1263" s="49"/>
      <c r="B1263" s="49"/>
      <c r="C1263" s="51" t="str">
        <f>IFERROR(VLOOKUP(B1263,منتجات!$A$3:$C$350,2,0),"")</f>
        <v/>
      </c>
      <c r="D1263" s="49" t="str">
        <f>IFERROR(VLOOKUP(B1263,منتجات!$A$3:$C$350,3,0),"")</f>
        <v/>
      </c>
      <c r="E1263" s="49"/>
      <c r="F1263" s="49" t="str">
        <f>IFERROR(INDEX(منتجات!$G$3:$G$114,MATCH(B1263,منتجات!$A$3:$A$115,0)),"")</f>
        <v/>
      </c>
      <c r="G1263" s="51" t="str">
        <f t="shared" si="21"/>
        <v/>
      </c>
      <c r="H1263" s="54"/>
    </row>
    <row r="1264" spans="1:8" x14ac:dyDescent="0.35">
      <c r="A1264" s="51"/>
      <c r="B1264" s="51"/>
      <c r="C1264" s="51" t="str">
        <f>IFERROR(VLOOKUP(B1264,منتجات!$A$3:$C$350,2,0),"")</f>
        <v/>
      </c>
      <c r="D1264" s="51" t="str">
        <f>IFERROR(VLOOKUP(B1264,منتجات!$A$3:$C$350,3,0),"")</f>
        <v/>
      </c>
      <c r="E1264" s="51"/>
      <c r="F1264" s="51" t="str">
        <f>IFERROR(INDEX(منتجات!$G$3:$G$114,MATCH(B1264,منتجات!$A$3:$A$115,0)),"")</f>
        <v/>
      </c>
      <c r="G1264" s="51" t="str">
        <f t="shared" si="21"/>
        <v/>
      </c>
      <c r="H1264" s="53"/>
    </row>
    <row r="1265" spans="1:8" x14ac:dyDescent="0.35">
      <c r="A1265" s="49"/>
      <c r="B1265" s="49"/>
      <c r="C1265" s="51" t="str">
        <f>IFERROR(VLOOKUP(B1265,منتجات!$A$3:$C$350,2,0),"")</f>
        <v/>
      </c>
      <c r="D1265" s="49" t="str">
        <f>IFERROR(VLOOKUP(B1265,منتجات!$A$3:$C$350,3,0),"")</f>
        <v/>
      </c>
      <c r="E1265" s="49"/>
      <c r="F1265" s="49" t="str">
        <f>IFERROR(INDEX(منتجات!$G$3:$G$114,MATCH(B1265,منتجات!$A$3:$A$115,0)),"")</f>
        <v/>
      </c>
      <c r="G1265" s="51" t="str">
        <f t="shared" si="21"/>
        <v/>
      </c>
      <c r="H1265" s="54"/>
    </row>
    <row r="1266" spans="1:8" x14ac:dyDescent="0.35">
      <c r="A1266" s="51"/>
      <c r="B1266" s="51"/>
      <c r="C1266" s="51" t="str">
        <f>IFERROR(VLOOKUP(B1266,منتجات!$A$3:$C$350,2,0),"")</f>
        <v/>
      </c>
      <c r="D1266" s="51" t="str">
        <f>IFERROR(VLOOKUP(B1266,منتجات!$A$3:$C$350,3,0),"")</f>
        <v/>
      </c>
      <c r="E1266" s="51"/>
      <c r="F1266" s="51" t="str">
        <f>IFERROR(INDEX(منتجات!$G$3:$G$114,MATCH(B1266,منتجات!$A$3:$A$115,0)),"")</f>
        <v/>
      </c>
      <c r="G1266" s="51" t="str">
        <f t="shared" si="21"/>
        <v/>
      </c>
      <c r="H1266" s="53"/>
    </row>
    <row r="1267" spans="1:8" x14ac:dyDescent="0.35">
      <c r="A1267" s="49"/>
      <c r="B1267" s="49"/>
      <c r="C1267" s="51" t="str">
        <f>IFERROR(VLOOKUP(B1267,منتجات!$A$3:$C$350,2,0),"")</f>
        <v/>
      </c>
      <c r="D1267" s="49" t="str">
        <f>IFERROR(VLOOKUP(B1267,منتجات!$A$3:$C$350,3,0),"")</f>
        <v/>
      </c>
      <c r="E1267" s="49"/>
      <c r="F1267" s="49" t="str">
        <f>IFERROR(INDEX(منتجات!$G$3:$G$114,MATCH(B1267,منتجات!$A$3:$A$115,0)),"")</f>
        <v/>
      </c>
      <c r="G1267" s="51" t="str">
        <f t="shared" si="21"/>
        <v/>
      </c>
      <c r="H1267" s="54"/>
    </row>
    <row r="1268" spans="1:8" x14ac:dyDescent="0.35">
      <c r="A1268" s="51"/>
      <c r="B1268" s="51"/>
      <c r="C1268" s="51" t="str">
        <f>IFERROR(VLOOKUP(B1268,منتجات!$A$3:$C$350,2,0),"")</f>
        <v/>
      </c>
      <c r="D1268" s="51" t="str">
        <f>IFERROR(VLOOKUP(B1268,منتجات!$A$3:$C$350,3,0),"")</f>
        <v/>
      </c>
      <c r="E1268" s="51"/>
      <c r="F1268" s="51" t="str">
        <f>IFERROR(INDEX(منتجات!$G$3:$G$114,MATCH(B1268,منتجات!$A$3:$A$115,0)),"")</f>
        <v/>
      </c>
      <c r="G1268" s="51" t="str">
        <f t="shared" si="21"/>
        <v/>
      </c>
      <c r="H1268" s="53"/>
    </row>
    <row r="1269" spans="1:8" x14ac:dyDescent="0.35">
      <c r="A1269" s="49"/>
      <c r="B1269" s="49"/>
      <c r="C1269" s="51" t="str">
        <f>IFERROR(VLOOKUP(B1269,منتجات!$A$3:$C$350,2,0),"")</f>
        <v/>
      </c>
      <c r="D1269" s="49" t="str">
        <f>IFERROR(VLOOKUP(B1269,منتجات!$A$3:$C$350,3,0),"")</f>
        <v/>
      </c>
      <c r="E1269" s="49"/>
      <c r="F1269" s="49" t="str">
        <f>IFERROR(INDEX(منتجات!$G$3:$G$114,MATCH(B1269,منتجات!$A$3:$A$115,0)),"")</f>
        <v/>
      </c>
      <c r="G1269" s="51" t="str">
        <f t="shared" si="21"/>
        <v/>
      </c>
      <c r="H1269" s="54"/>
    </row>
    <row r="1270" spans="1:8" x14ac:dyDescent="0.35">
      <c r="A1270" s="51"/>
      <c r="B1270" s="51"/>
      <c r="C1270" s="51" t="str">
        <f>IFERROR(VLOOKUP(B1270,منتجات!$A$3:$C$350,2,0),"")</f>
        <v/>
      </c>
      <c r="D1270" s="51" t="str">
        <f>IFERROR(VLOOKUP(B1270,منتجات!$A$3:$C$350,3,0),"")</f>
        <v/>
      </c>
      <c r="E1270" s="51"/>
      <c r="F1270" s="51" t="str">
        <f>IFERROR(INDEX(منتجات!$G$3:$G$114,MATCH(B1270,منتجات!$A$3:$A$115,0)),"")</f>
        <v/>
      </c>
      <c r="G1270" s="51" t="str">
        <f t="shared" si="21"/>
        <v/>
      </c>
      <c r="H1270" s="53"/>
    </row>
    <row r="1271" spans="1:8" x14ac:dyDescent="0.35">
      <c r="A1271" s="49"/>
      <c r="B1271" s="49"/>
      <c r="C1271" s="51" t="str">
        <f>IFERROR(VLOOKUP(B1271,منتجات!$A$3:$C$350,2,0),"")</f>
        <v/>
      </c>
      <c r="D1271" s="49" t="str">
        <f>IFERROR(VLOOKUP(B1271,منتجات!$A$3:$C$350,3,0),"")</f>
        <v/>
      </c>
      <c r="E1271" s="49"/>
      <c r="F1271" s="49" t="str">
        <f>IFERROR(INDEX(منتجات!$G$3:$G$114,MATCH(B1271,منتجات!$A$3:$A$115,0)),"")</f>
        <v/>
      </c>
      <c r="G1271" s="51" t="str">
        <f t="shared" si="21"/>
        <v/>
      </c>
      <c r="H1271" s="54"/>
    </row>
    <row r="1272" spans="1:8" x14ac:dyDescent="0.35">
      <c r="A1272" s="51"/>
      <c r="B1272" s="51"/>
      <c r="C1272" s="51" t="str">
        <f>IFERROR(VLOOKUP(B1272,منتجات!$A$3:$C$350,2,0),"")</f>
        <v/>
      </c>
      <c r="D1272" s="51" t="str">
        <f>IFERROR(VLOOKUP(B1272,منتجات!$A$3:$C$350,3,0),"")</f>
        <v/>
      </c>
      <c r="E1272" s="51"/>
      <c r="F1272" s="51" t="str">
        <f>IFERROR(INDEX(منتجات!$G$3:$G$114,MATCH(B1272,منتجات!$A$3:$A$115,0)),"")</f>
        <v/>
      </c>
      <c r="G1272" s="51" t="str">
        <f t="shared" si="21"/>
        <v/>
      </c>
      <c r="H1272" s="53"/>
    </row>
    <row r="1273" spans="1:8" x14ac:dyDescent="0.35">
      <c r="A1273" s="49"/>
      <c r="B1273" s="49"/>
      <c r="C1273" s="51" t="str">
        <f>IFERROR(VLOOKUP(B1273,منتجات!$A$3:$C$350,2,0),"")</f>
        <v/>
      </c>
      <c r="D1273" s="49" t="str">
        <f>IFERROR(VLOOKUP(B1273,منتجات!$A$3:$C$350,3,0),"")</f>
        <v/>
      </c>
      <c r="E1273" s="49"/>
      <c r="F1273" s="49" t="str">
        <f>IFERROR(INDEX(منتجات!$G$3:$G$114,MATCH(B1273,منتجات!$A$3:$A$115,0)),"")</f>
        <v/>
      </c>
      <c r="G1273" s="51" t="str">
        <f t="shared" si="21"/>
        <v/>
      </c>
      <c r="H1273" s="54"/>
    </row>
    <row r="1274" spans="1:8" x14ac:dyDescent="0.35">
      <c r="A1274" s="51"/>
      <c r="B1274" s="51"/>
      <c r="C1274" s="51" t="str">
        <f>IFERROR(VLOOKUP(B1274,منتجات!$A$3:$C$350,2,0),"")</f>
        <v/>
      </c>
      <c r="D1274" s="51" t="str">
        <f>IFERROR(VLOOKUP(B1274,منتجات!$A$3:$C$350,3,0),"")</f>
        <v/>
      </c>
      <c r="E1274" s="51"/>
      <c r="F1274" s="51" t="str">
        <f>IFERROR(INDEX(منتجات!$G$3:$G$114,MATCH(B1274,منتجات!$A$3:$A$115,0)),"")</f>
        <v/>
      </c>
      <c r="G1274" s="51" t="str">
        <f t="shared" si="21"/>
        <v/>
      </c>
      <c r="H1274" s="53"/>
    </row>
    <row r="1275" spans="1:8" x14ac:dyDescent="0.35">
      <c r="A1275" s="49"/>
      <c r="B1275" s="49"/>
      <c r="C1275" s="51" t="str">
        <f>IFERROR(VLOOKUP(B1275,منتجات!$A$3:$C$350,2,0),"")</f>
        <v/>
      </c>
      <c r="D1275" s="49" t="str">
        <f>IFERROR(VLOOKUP(B1275,منتجات!$A$3:$C$350,3,0),"")</f>
        <v/>
      </c>
      <c r="E1275" s="49"/>
      <c r="F1275" s="49" t="str">
        <f>IFERROR(INDEX(منتجات!$G$3:$G$114,MATCH(B1275,منتجات!$A$3:$A$115,0)),"")</f>
        <v/>
      </c>
      <c r="G1275" s="51" t="str">
        <f t="shared" si="21"/>
        <v/>
      </c>
      <c r="H1275" s="54"/>
    </row>
    <row r="1276" spans="1:8" x14ac:dyDescent="0.35">
      <c r="A1276" s="51"/>
      <c r="B1276" s="51"/>
      <c r="C1276" s="51" t="str">
        <f>IFERROR(VLOOKUP(B1276,منتجات!$A$3:$C$350,2,0),"")</f>
        <v/>
      </c>
      <c r="D1276" s="51" t="str">
        <f>IFERROR(VLOOKUP(B1276,منتجات!$A$3:$C$350,3,0),"")</f>
        <v/>
      </c>
      <c r="E1276" s="51"/>
      <c r="F1276" s="51" t="str">
        <f>IFERROR(INDEX(منتجات!$G$3:$G$114,MATCH(B1276,منتجات!$A$3:$A$115,0)),"")</f>
        <v/>
      </c>
      <c r="G1276" s="51" t="str">
        <f t="shared" si="21"/>
        <v/>
      </c>
      <c r="H1276" s="53"/>
    </row>
    <row r="1277" spans="1:8" x14ac:dyDescent="0.35">
      <c r="A1277" s="49"/>
      <c r="B1277" s="49"/>
      <c r="C1277" s="51" t="str">
        <f>IFERROR(VLOOKUP(B1277,منتجات!$A$3:$C$350,2,0),"")</f>
        <v/>
      </c>
      <c r="D1277" s="49" t="str">
        <f>IFERROR(VLOOKUP(B1277,منتجات!$A$3:$C$350,3,0),"")</f>
        <v/>
      </c>
      <c r="E1277" s="49"/>
      <c r="F1277" s="49" t="str">
        <f>IFERROR(INDEX(منتجات!$G$3:$G$114,MATCH(B1277,منتجات!$A$3:$A$115,0)),"")</f>
        <v/>
      </c>
      <c r="G1277" s="51" t="str">
        <f t="shared" si="21"/>
        <v/>
      </c>
      <c r="H1277" s="54"/>
    </row>
    <row r="1278" spans="1:8" x14ac:dyDescent="0.35">
      <c r="A1278" s="51"/>
      <c r="B1278" s="51"/>
      <c r="C1278" s="51" t="str">
        <f>IFERROR(VLOOKUP(B1278,منتجات!$A$3:$C$350,2,0),"")</f>
        <v/>
      </c>
      <c r="D1278" s="51" t="str">
        <f>IFERROR(VLOOKUP(B1278,منتجات!$A$3:$C$350,3,0),"")</f>
        <v/>
      </c>
      <c r="E1278" s="51"/>
      <c r="F1278" s="51" t="str">
        <f>IFERROR(INDEX(منتجات!$G$3:$G$114,MATCH(B1278,منتجات!$A$3:$A$115,0)),"")</f>
        <v/>
      </c>
      <c r="G1278" s="51" t="str">
        <f t="shared" si="21"/>
        <v/>
      </c>
      <c r="H1278" s="53"/>
    </row>
    <row r="1279" spans="1:8" x14ac:dyDescent="0.35">
      <c r="A1279" s="49"/>
      <c r="B1279" s="49"/>
      <c r="C1279" s="51" t="str">
        <f>IFERROR(VLOOKUP(B1279,منتجات!$A$3:$C$350,2,0),"")</f>
        <v/>
      </c>
      <c r="D1279" s="49" t="str">
        <f>IFERROR(VLOOKUP(B1279,منتجات!$A$3:$C$350,3,0),"")</f>
        <v/>
      </c>
      <c r="E1279" s="49"/>
      <c r="F1279" s="49" t="str">
        <f>IFERROR(INDEX(منتجات!$G$3:$G$114,MATCH(B1279,منتجات!$A$3:$A$115,0)),"")</f>
        <v/>
      </c>
      <c r="G1279" s="51" t="str">
        <f t="shared" si="21"/>
        <v/>
      </c>
      <c r="H1279" s="54"/>
    </row>
    <row r="1280" spans="1:8" x14ac:dyDescent="0.35">
      <c r="A1280" s="51"/>
      <c r="B1280" s="51"/>
      <c r="C1280" s="51" t="str">
        <f>IFERROR(VLOOKUP(B1280,منتجات!$A$3:$C$350,2,0),"")</f>
        <v/>
      </c>
      <c r="D1280" s="51" t="str">
        <f>IFERROR(VLOOKUP(B1280,منتجات!$A$3:$C$350,3,0),"")</f>
        <v/>
      </c>
      <c r="E1280" s="51"/>
      <c r="F1280" s="51" t="str">
        <f>IFERROR(INDEX(منتجات!$G$3:$G$114,MATCH(B1280,منتجات!$A$3:$A$115,0)),"")</f>
        <v/>
      </c>
      <c r="G1280" s="51" t="str">
        <f t="shared" si="21"/>
        <v/>
      </c>
      <c r="H1280" s="53"/>
    </row>
    <row r="1281" spans="1:8" x14ac:dyDescent="0.35">
      <c r="A1281" s="49"/>
      <c r="B1281" s="49"/>
      <c r="C1281" s="51" t="str">
        <f>IFERROR(VLOOKUP(B1281,منتجات!$A$3:$C$350,2,0),"")</f>
        <v/>
      </c>
      <c r="D1281" s="49" t="str">
        <f>IFERROR(VLOOKUP(B1281,منتجات!$A$3:$C$350,3,0),"")</f>
        <v/>
      </c>
      <c r="E1281" s="49"/>
      <c r="F1281" s="49" t="str">
        <f>IFERROR(INDEX(منتجات!$G$3:$G$114,MATCH(B1281,منتجات!$A$3:$A$115,0)),"")</f>
        <v/>
      </c>
      <c r="G1281" s="51" t="str">
        <f t="shared" si="21"/>
        <v/>
      </c>
      <c r="H1281" s="54"/>
    </row>
    <row r="1282" spans="1:8" x14ac:dyDescent="0.35">
      <c r="A1282" s="51"/>
      <c r="B1282" s="51"/>
      <c r="C1282" s="51" t="str">
        <f>IFERROR(VLOOKUP(B1282,منتجات!$A$3:$C$350,2,0),"")</f>
        <v/>
      </c>
      <c r="D1282" s="51" t="str">
        <f>IFERROR(VLOOKUP(B1282,منتجات!$A$3:$C$350,3,0),"")</f>
        <v/>
      </c>
      <c r="E1282" s="51"/>
      <c r="F1282" s="51" t="str">
        <f>IFERROR(INDEX(منتجات!$G$3:$G$114,MATCH(B1282,منتجات!$A$3:$A$115,0)),"")</f>
        <v/>
      </c>
      <c r="G1282" s="51" t="str">
        <f t="shared" si="21"/>
        <v/>
      </c>
      <c r="H1282" s="53"/>
    </row>
    <row r="1283" spans="1:8" x14ac:dyDescent="0.35">
      <c r="A1283" s="49"/>
      <c r="B1283" s="49"/>
      <c r="C1283" s="51" t="str">
        <f>IFERROR(VLOOKUP(B1283,منتجات!$A$3:$C$350,2,0),"")</f>
        <v/>
      </c>
      <c r="D1283" s="49" t="str">
        <f>IFERROR(VLOOKUP(B1283,منتجات!$A$3:$C$350,3,0),"")</f>
        <v/>
      </c>
      <c r="E1283" s="49"/>
      <c r="F1283" s="49" t="str">
        <f>IFERROR(INDEX(منتجات!$G$3:$G$114,MATCH(B1283,منتجات!$A$3:$A$115,0)),"")</f>
        <v/>
      </c>
      <c r="G1283" s="51" t="str">
        <f t="shared" si="21"/>
        <v/>
      </c>
      <c r="H1283" s="54"/>
    </row>
    <row r="1284" spans="1:8" x14ac:dyDescent="0.35">
      <c r="A1284" s="51"/>
      <c r="B1284" s="51"/>
      <c r="C1284" s="51" t="str">
        <f>IFERROR(VLOOKUP(B1284,منتجات!$A$3:$C$350,2,0),"")</f>
        <v/>
      </c>
      <c r="D1284" s="51" t="str">
        <f>IFERROR(VLOOKUP(B1284,منتجات!$A$3:$C$350,3,0),"")</f>
        <v/>
      </c>
      <c r="E1284" s="51"/>
      <c r="F1284" s="51" t="str">
        <f>IFERROR(INDEX(منتجات!$G$3:$G$114,MATCH(B1284,منتجات!$A$3:$A$115,0)),"")</f>
        <v/>
      </c>
      <c r="G1284" s="51" t="str">
        <f t="shared" si="21"/>
        <v/>
      </c>
      <c r="H1284" s="53"/>
    </row>
    <row r="1285" spans="1:8" x14ac:dyDescent="0.35">
      <c r="A1285" s="49"/>
      <c r="B1285" s="49"/>
      <c r="C1285" s="51" t="str">
        <f>IFERROR(VLOOKUP(B1285,منتجات!$A$3:$C$350,2,0),"")</f>
        <v/>
      </c>
      <c r="D1285" s="49" t="str">
        <f>IFERROR(VLOOKUP(B1285,منتجات!$A$3:$C$350,3,0),"")</f>
        <v/>
      </c>
      <c r="E1285" s="49"/>
      <c r="F1285" s="49" t="str">
        <f>IFERROR(INDEX(منتجات!$G$3:$G$114,MATCH(B1285,منتجات!$A$3:$A$115,0)),"")</f>
        <v/>
      </c>
      <c r="G1285" s="51" t="str">
        <f t="shared" si="21"/>
        <v/>
      </c>
      <c r="H1285" s="54"/>
    </row>
    <row r="1286" spans="1:8" x14ac:dyDescent="0.35">
      <c r="A1286" s="51"/>
      <c r="B1286" s="51"/>
      <c r="C1286" s="51" t="str">
        <f>IFERROR(VLOOKUP(B1286,منتجات!$A$3:$C$350,2,0),"")</f>
        <v/>
      </c>
      <c r="D1286" s="51" t="str">
        <f>IFERROR(VLOOKUP(B1286,منتجات!$A$3:$C$350,3,0),"")</f>
        <v/>
      </c>
      <c r="E1286" s="51"/>
      <c r="F1286" s="51" t="str">
        <f>IFERROR(INDEX(منتجات!$G$3:$G$114,MATCH(B1286,منتجات!$A$3:$A$115,0)),"")</f>
        <v/>
      </c>
      <c r="G1286" s="51" t="str">
        <f t="shared" si="21"/>
        <v/>
      </c>
      <c r="H1286" s="53"/>
    </row>
    <row r="1287" spans="1:8" x14ac:dyDescent="0.35">
      <c r="A1287" s="49"/>
      <c r="B1287" s="49"/>
      <c r="C1287" s="51" t="str">
        <f>IFERROR(VLOOKUP(B1287,منتجات!$A$3:$C$350,2,0),"")</f>
        <v/>
      </c>
      <c r="D1287" s="49" t="str">
        <f>IFERROR(VLOOKUP(B1287,منتجات!$A$3:$C$350,3,0),"")</f>
        <v/>
      </c>
      <c r="E1287" s="49"/>
      <c r="F1287" s="49" t="str">
        <f>IFERROR(INDEX(منتجات!$G$3:$G$114,MATCH(B1287,منتجات!$A$3:$A$115,0)),"")</f>
        <v/>
      </c>
      <c r="G1287" s="51" t="str">
        <f t="shared" si="21"/>
        <v/>
      </c>
      <c r="H1287" s="54"/>
    </row>
    <row r="1288" spans="1:8" x14ac:dyDescent="0.35">
      <c r="A1288" s="51"/>
      <c r="B1288" s="51"/>
      <c r="C1288" s="51" t="str">
        <f>IFERROR(VLOOKUP(B1288,منتجات!$A$3:$C$350,2,0),"")</f>
        <v/>
      </c>
      <c r="D1288" s="51" t="str">
        <f>IFERROR(VLOOKUP(B1288,منتجات!$A$3:$C$350,3,0),"")</f>
        <v/>
      </c>
      <c r="E1288" s="51"/>
      <c r="F1288" s="51" t="str">
        <f>IFERROR(INDEX(منتجات!$G$3:$G$114,MATCH(B1288,منتجات!$A$3:$A$115,0)),"")</f>
        <v/>
      </c>
      <c r="G1288" s="51" t="str">
        <f t="shared" si="21"/>
        <v/>
      </c>
      <c r="H1288" s="53"/>
    </row>
    <row r="1289" spans="1:8" x14ac:dyDescent="0.35">
      <c r="A1289" s="49"/>
      <c r="B1289" s="49"/>
      <c r="C1289" s="51" t="str">
        <f>IFERROR(VLOOKUP(B1289,منتجات!$A$3:$C$350,2,0),"")</f>
        <v/>
      </c>
      <c r="D1289" s="49" t="str">
        <f>IFERROR(VLOOKUP(B1289,منتجات!$A$3:$C$350,3,0),"")</f>
        <v/>
      </c>
      <c r="E1289" s="49"/>
      <c r="F1289" s="49" t="str">
        <f>IFERROR(INDEX(منتجات!$G$3:$G$114,MATCH(B1289,منتجات!$A$3:$A$115,0)),"")</f>
        <v/>
      </c>
      <c r="G1289" s="51" t="str">
        <f t="shared" si="21"/>
        <v/>
      </c>
      <c r="H1289" s="54"/>
    </row>
    <row r="1290" spans="1:8" x14ac:dyDescent="0.35">
      <c r="A1290" s="51"/>
      <c r="B1290" s="51"/>
      <c r="C1290" s="51" t="str">
        <f>IFERROR(VLOOKUP(B1290,منتجات!$A$3:$C$350,2,0),"")</f>
        <v/>
      </c>
      <c r="D1290" s="51" t="str">
        <f>IFERROR(VLOOKUP(B1290,منتجات!$A$3:$C$350,3,0),"")</f>
        <v/>
      </c>
      <c r="E1290" s="51"/>
      <c r="F1290" s="51" t="str">
        <f>IFERROR(INDEX(منتجات!$G$3:$G$114,MATCH(B1290,منتجات!$A$3:$A$115,0)),"")</f>
        <v/>
      </c>
      <c r="G1290" s="51" t="str">
        <f t="shared" si="21"/>
        <v/>
      </c>
      <c r="H1290" s="53"/>
    </row>
    <row r="1291" spans="1:8" x14ac:dyDescent="0.35">
      <c r="A1291" s="49"/>
      <c r="B1291" s="49"/>
      <c r="C1291" s="51" t="str">
        <f>IFERROR(VLOOKUP(B1291,منتجات!$A$3:$C$350,2,0),"")</f>
        <v/>
      </c>
      <c r="D1291" s="49" t="str">
        <f>IFERROR(VLOOKUP(B1291,منتجات!$A$3:$C$350,3,0),"")</f>
        <v/>
      </c>
      <c r="E1291" s="49"/>
      <c r="F1291" s="49" t="str">
        <f>IFERROR(INDEX(منتجات!$G$3:$G$114,MATCH(B1291,منتجات!$A$3:$A$115,0)),"")</f>
        <v/>
      </c>
      <c r="G1291" s="51" t="str">
        <f t="shared" si="21"/>
        <v/>
      </c>
      <c r="H1291" s="54"/>
    </row>
    <row r="1292" spans="1:8" x14ac:dyDescent="0.35">
      <c r="A1292" s="51"/>
      <c r="B1292" s="51"/>
      <c r="C1292" s="51" t="str">
        <f>IFERROR(VLOOKUP(B1292,منتجات!$A$3:$C$350,2,0),"")</f>
        <v/>
      </c>
      <c r="D1292" s="51" t="str">
        <f>IFERROR(VLOOKUP(B1292,منتجات!$A$3:$C$350,3,0),"")</f>
        <v/>
      </c>
      <c r="E1292" s="51"/>
      <c r="F1292" s="51" t="str">
        <f>IFERROR(INDEX(منتجات!$G$3:$G$114,MATCH(B1292,منتجات!$A$3:$A$115,0)),"")</f>
        <v/>
      </c>
      <c r="G1292" s="51" t="str">
        <f t="shared" si="21"/>
        <v/>
      </c>
      <c r="H1292" s="53"/>
    </row>
    <row r="1293" spans="1:8" x14ac:dyDescent="0.35">
      <c r="A1293" s="49"/>
      <c r="B1293" s="49"/>
      <c r="C1293" s="51" t="str">
        <f>IFERROR(VLOOKUP(B1293,منتجات!$A$3:$C$350,2,0),"")</f>
        <v/>
      </c>
      <c r="D1293" s="49" t="str">
        <f>IFERROR(VLOOKUP(B1293,منتجات!$A$3:$C$350,3,0),"")</f>
        <v/>
      </c>
      <c r="E1293" s="49"/>
      <c r="F1293" s="49" t="str">
        <f>IFERROR(INDEX(منتجات!$G$3:$G$114,MATCH(B1293,منتجات!$A$3:$A$115,0)),"")</f>
        <v/>
      </c>
      <c r="G1293" s="51" t="str">
        <f t="shared" si="21"/>
        <v/>
      </c>
      <c r="H1293" s="54"/>
    </row>
    <row r="1294" spans="1:8" x14ac:dyDescent="0.35">
      <c r="A1294" s="51"/>
      <c r="B1294" s="51"/>
      <c r="C1294" s="51" t="str">
        <f>IFERROR(VLOOKUP(B1294,منتجات!$A$3:$C$350,2,0),"")</f>
        <v/>
      </c>
      <c r="D1294" s="51" t="str">
        <f>IFERROR(VLOOKUP(B1294,منتجات!$A$3:$C$350,3,0),"")</f>
        <v/>
      </c>
      <c r="E1294" s="51"/>
      <c r="F1294" s="51" t="str">
        <f>IFERROR(INDEX(منتجات!$G$3:$G$114,MATCH(B1294,منتجات!$A$3:$A$115,0)),"")</f>
        <v/>
      </c>
      <c r="G1294" s="51" t="str">
        <f t="shared" ref="G1294:G1357" si="22">IFERROR(E1294*F1294*D1294,"")</f>
        <v/>
      </c>
      <c r="H1294" s="53"/>
    </row>
    <row r="1295" spans="1:8" x14ac:dyDescent="0.35">
      <c r="A1295" s="49"/>
      <c r="B1295" s="49"/>
      <c r="C1295" s="51" t="str">
        <f>IFERROR(VLOOKUP(B1295,منتجات!$A$3:$C$350,2,0),"")</f>
        <v/>
      </c>
      <c r="D1295" s="49" t="str">
        <f>IFERROR(VLOOKUP(B1295,منتجات!$A$3:$C$350,3,0),"")</f>
        <v/>
      </c>
      <c r="E1295" s="49"/>
      <c r="F1295" s="49" t="str">
        <f>IFERROR(INDEX(منتجات!$G$3:$G$114,MATCH(B1295,منتجات!$A$3:$A$115,0)),"")</f>
        <v/>
      </c>
      <c r="G1295" s="51" t="str">
        <f t="shared" si="22"/>
        <v/>
      </c>
      <c r="H1295" s="54"/>
    </row>
    <row r="1296" spans="1:8" x14ac:dyDescent="0.35">
      <c r="A1296" s="51"/>
      <c r="B1296" s="51"/>
      <c r="C1296" s="51" t="str">
        <f>IFERROR(VLOOKUP(B1296,منتجات!$A$3:$C$350,2,0),"")</f>
        <v/>
      </c>
      <c r="D1296" s="51" t="str">
        <f>IFERROR(VLOOKUP(B1296,منتجات!$A$3:$C$350,3,0),"")</f>
        <v/>
      </c>
      <c r="E1296" s="51"/>
      <c r="F1296" s="51" t="str">
        <f>IFERROR(INDEX(منتجات!$G$3:$G$114,MATCH(B1296,منتجات!$A$3:$A$115,0)),"")</f>
        <v/>
      </c>
      <c r="G1296" s="51" t="str">
        <f t="shared" si="22"/>
        <v/>
      </c>
      <c r="H1296" s="53"/>
    </row>
    <row r="1297" spans="1:8" x14ac:dyDescent="0.35">
      <c r="A1297" s="49"/>
      <c r="B1297" s="49"/>
      <c r="C1297" s="51" t="str">
        <f>IFERROR(VLOOKUP(B1297,منتجات!$A$3:$C$350,2,0),"")</f>
        <v/>
      </c>
      <c r="D1297" s="49" t="str">
        <f>IFERROR(VLOOKUP(B1297,منتجات!$A$3:$C$350,3,0),"")</f>
        <v/>
      </c>
      <c r="E1297" s="49"/>
      <c r="F1297" s="49" t="str">
        <f>IFERROR(INDEX(منتجات!$G$3:$G$114,MATCH(B1297,منتجات!$A$3:$A$115,0)),"")</f>
        <v/>
      </c>
      <c r="G1297" s="51" t="str">
        <f t="shared" si="22"/>
        <v/>
      </c>
      <c r="H1297" s="54"/>
    </row>
    <row r="1298" spans="1:8" x14ac:dyDescent="0.35">
      <c r="A1298" s="51"/>
      <c r="B1298" s="51"/>
      <c r="C1298" s="51" t="str">
        <f>IFERROR(VLOOKUP(B1298,منتجات!$A$3:$C$350,2,0),"")</f>
        <v/>
      </c>
      <c r="D1298" s="51" t="str">
        <f>IFERROR(VLOOKUP(B1298,منتجات!$A$3:$C$350,3,0),"")</f>
        <v/>
      </c>
      <c r="E1298" s="51"/>
      <c r="F1298" s="51" t="str">
        <f>IFERROR(INDEX(منتجات!$G$3:$G$114,MATCH(B1298,منتجات!$A$3:$A$115,0)),"")</f>
        <v/>
      </c>
      <c r="G1298" s="51" t="str">
        <f t="shared" si="22"/>
        <v/>
      </c>
      <c r="H1298" s="53"/>
    </row>
    <row r="1299" spans="1:8" x14ac:dyDescent="0.35">
      <c r="A1299" s="49"/>
      <c r="B1299" s="49"/>
      <c r="C1299" s="51" t="str">
        <f>IFERROR(VLOOKUP(B1299,منتجات!$A$3:$C$350,2,0),"")</f>
        <v/>
      </c>
      <c r="D1299" s="49" t="str">
        <f>IFERROR(VLOOKUP(B1299,منتجات!$A$3:$C$350,3,0),"")</f>
        <v/>
      </c>
      <c r="E1299" s="49"/>
      <c r="F1299" s="49" t="str">
        <f>IFERROR(INDEX(منتجات!$G$3:$G$114,MATCH(B1299,منتجات!$A$3:$A$115,0)),"")</f>
        <v/>
      </c>
      <c r="G1299" s="51" t="str">
        <f t="shared" si="22"/>
        <v/>
      </c>
      <c r="H1299" s="54"/>
    </row>
    <row r="1300" spans="1:8" x14ac:dyDescent="0.35">
      <c r="A1300" s="51"/>
      <c r="B1300" s="51"/>
      <c r="C1300" s="51" t="str">
        <f>IFERROR(VLOOKUP(B1300,منتجات!$A$3:$C$350,2,0),"")</f>
        <v/>
      </c>
      <c r="D1300" s="51" t="str">
        <f>IFERROR(VLOOKUP(B1300,منتجات!$A$3:$C$350,3,0),"")</f>
        <v/>
      </c>
      <c r="E1300" s="51"/>
      <c r="F1300" s="51" t="str">
        <f>IFERROR(INDEX(منتجات!$G$3:$G$114,MATCH(B1300,منتجات!$A$3:$A$115,0)),"")</f>
        <v/>
      </c>
      <c r="G1300" s="51" t="str">
        <f t="shared" si="22"/>
        <v/>
      </c>
      <c r="H1300" s="53"/>
    </row>
    <row r="1301" spans="1:8" x14ac:dyDescent="0.35">
      <c r="A1301" s="49"/>
      <c r="B1301" s="49"/>
      <c r="C1301" s="51" t="str">
        <f>IFERROR(VLOOKUP(B1301,منتجات!$A$3:$C$350,2,0),"")</f>
        <v/>
      </c>
      <c r="D1301" s="49" t="str">
        <f>IFERROR(VLOOKUP(B1301,منتجات!$A$3:$C$350,3,0),"")</f>
        <v/>
      </c>
      <c r="E1301" s="49"/>
      <c r="F1301" s="49" t="str">
        <f>IFERROR(INDEX(منتجات!$G$3:$G$114,MATCH(B1301,منتجات!$A$3:$A$115,0)),"")</f>
        <v/>
      </c>
      <c r="G1301" s="51" t="str">
        <f t="shared" si="22"/>
        <v/>
      </c>
      <c r="H1301" s="54"/>
    </row>
    <row r="1302" spans="1:8" x14ac:dyDescent="0.35">
      <c r="A1302" s="51"/>
      <c r="B1302" s="51"/>
      <c r="C1302" s="51" t="str">
        <f>IFERROR(VLOOKUP(B1302,منتجات!$A$3:$C$350,2,0),"")</f>
        <v/>
      </c>
      <c r="D1302" s="51" t="str">
        <f>IFERROR(VLOOKUP(B1302,منتجات!$A$3:$C$350,3,0),"")</f>
        <v/>
      </c>
      <c r="E1302" s="51"/>
      <c r="F1302" s="51" t="str">
        <f>IFERROR(INDEX(منتجات!$G$3:$G$114,MATCH(B1302,منتجات!$A$3:$A$115,0)),"")</f>
        <v/>
      </c>
      <c r="G1302" s="51" t="str">
        <f t="shared" si="22"/>
        <v/>
      </c>
      <c r="H1302" s="53"/>
    </row>
    <row r="1303" spans="1:8" x14ac:dyDescent="0.35">
      <c r="A1303" s="49"/>
      <c r="B1303" s="49"/>
      <c r="C1303" s="51" t="str">
        <f>IFERROR(VLOOKUP(B1303,منتجات!$A$3:$C$350,2,0),"")</f>
        <v/>
      </c>
      <c r="D1303" s="49" t="str">
        <f>IFERROR(VLOOKUP(B1303,منتجات!$A$3:$C$350,3,0),"")</f>
        <v/>
      </c>
      <c r="E1303" s="49"/>
      <c r="F1303" s="49" t="str">
        <f>IFERROR(INDEX(منتجات!$G$3:$G$114,MATCH(B1303,منتجات!$A$3:$A$115,0)),"")</f>
        <v/>
      </c>
      <c r="G1303" s="51" t="str">
        <f t="shared" si="22"/>
        <v/>
      </c>
      <c r="H1303" s="54"/>
    </row>
    <row r="1304" spans="1:8" x14ac:dyDescent="0.35">
      <c r="A1304" s="51"/>
      <c r="B1304" s="51"/>
      <c r="C1304" s="51" t="str">
        <f>IFERROR(VLOOKUP(B1304,منتجات!$A$3:$C$350,2,0),"")</f>
        <v/>
      </c>
      <c r="D1304" s="51" t="str">
        <f>IFERROR(VLOOKUP(B1304,منتجات!$A$3:$C$350,3,0),"")</f>
        <v/>
      </c>
      <c r="E1304" s="51"/>
      <c r="F1304" s="51" t="str">
        <f>IFERROR(INDEX(منتجات!$G$3:$G$114,MATCH(B1304,منتجات!$A$3:$A$115,0)),"")</f>
        <v/>
      </c>
      <c r="G1304" s="51" t="str">
        <f t="shared" si="22"/>
        <v/>
      </c>
      <c r="H1304" s="53"/>
    </row>
    <row r="1305" spans="1:8" x14ac:dyDescent="0.35">
      <c r="A1305" s="49"/>
      <c r="B1305" s="49"/>
      <c r="C1305" s="51" t="str">
        <f>IFERROR(VLOOKUP(B1305,منتجات!$A$3:$C$350,2,0),"")</f>
        <v/>
      </c>
      <c r="D1305" s="49" t="str">
        <f>IFERROR(VLOOKUP(B1305,منتجات!$A$3:$C$350,3,0),"")</f>
        <v/>
      </c>
      <c r="E1305" s="49"/>
      <c r="F1305" s="49" t="str">
        <f>IFERROR(INDEX(منتجات!$G$3:$G$114,MATCH(B1305,منتجات!$A$3:$A$115,0)),"")</f>
        <v/>
      </c>
      <c r="G1305" s="51" t="str">
        <f t="shared" si="22"/>
        <v/>
      </c>
      <c r="H1305" s="54"/>
    </row>
    <row r="1306" spans="1:8" x14ac:dyDescent="0.35">
      <c r="A1306" s="51"/>
      <c r="B1306" s="51"/>
      <c r="C1306" s="51" t="str">
        <f>IFERROR(VLOOKUP(B1306,منتجات!$A$3:$C$350,2,0),"")</f>
        <v/>
      </c>
      <c r="D1306" s="51" t="str">
        <f>IFERROR(VLOOKUP(B1306,منتجات!$A$3:$C$350,3,0),"")</f>
        <v/>
      </c>
      <c r="E1306" s="51"/>
      <c r="F1306" s="51" t="str">
        <f>IFERROR(INDEX(منتجات!$G$3:$G$114,MATCH(B1306,منتجات!$A$3:$A$115,0)),"")</f>
        <v/>
      </c>
      <c r="G1306" s="51" t="str">
        <f t="shared" si="22"/>
        <v/>
      </c>
      <c r="H1306" s="53"/>
    </row>
    <row r="1307" spans="1:8" x14ac:dyDescent="0.35">
      <c r="A1307" s="49"/>
      <c r="B1307" s="49"/>
      <c r="C1307" s="51" t="str">
        <f>IFERROR(VLOOKUP(B1307,منتجات!$A$3:$C$350,2,0),"")</f>
        <v/>
      </c>
      <c r="D1307" s="49" t="str">
        <f>IFERROR(VLOOKUP(B1307,منتجات!$A$3:$C$350,3,0),"")</f>
        <v/>
      </c>
      <c r="E1307" s="49"/>
      <c r="F1307" s="49" t="str">
        <f>IFERROR(INDEX(منتجات!$G$3:$G$114,MATCH(B1307,منتجات!$A$3:$A$115,0)),"")</f>
        <v/>
      </c>
      <c r="G1307" s="51" t="str">
        <f t="shared" si="22"/>
        <v/>
      </c>
      <c r="H1307" s="54"/>
    </row>
    <row r="1308" spans="1:8" x14ac:dyDescent="0.35">
      <c r="A1308" s="51"/>
      <c r="B1308" s="51"/>
      <c r="C1308" s="51" t="str">
        <f>IFERROR(VLOOKUP(B1308,منتجات!$A$3:$C$350,2,0),"")</f>
        <v/>
      </c>
      <c r="D1308" s="51" t="str">
        <f>IFERROR(VLOOKUP(B1308,منتجات!$A$3:$C$350,3,0),"")</f>
        <v/>
      </c>
      <c r="E1308" s="51"/>
      <c r="F1308" s="51" t="str">
        <f>IFERROR(INDEX(منتجات!$G$3:$G$114,MATCH(B1308,منتجات!$A$3:$A$115,0)),"")</f>
        <v/>
      </c>
      <c r="G1308" s="51" t="str">
        <f t="shared" si="22"/>
        <v/>
      </c>
      <c r="H1308" s="53"/>
    </row>
    <row r="1309" spans="1:8" x14ac:dyDescent="0.35">
      <c r="A1309" s="49"/>
      <c r="B1309" s="49"/>
      <c r="C1309" s="51" t="str">
        <f>IFERROR(VLOOKUP(B1309,منتجات!$A$3:$C$350,2,0),"")</f>
        <v/>
      </c>
      <c r="D1309" s="49" t="str">
        <f>IFERROR(VLOOKUP(B1309,منتجات!$A$3:$C$350,3,0),"")</f>
        <v/>
      </c>
      <c r="E1309" s="49"/>
      <c r="F1309" s="49" t="str">
        <f>IFERROR(INDEX(منتجات!$G$3:$G$114,MATCH(B1309,منتجات!$A$3:$A$115,0)),"")</f>
        <v/>
      </c>
      <c r="G1309" s="51" t="str">
        <f t="shared" si="22"/>
        <v/>
      </c>
      <c r="H1309" s="54"/>
    </row>
    <row r="1310" spans="1:8" x14ac:dyDescent="0.35">
      <c r="A1310" s="51"/>
      <c r="B1310" s="51"/>
      <c r="C1310" s="51" t="str">
        <f>IFERROR(VLOOKUP(B1310,منتجات!$A$3:$C$350,2,0),"")</f>
        <v/>
      </c>
      <c r="D1310" s="51" t="str">
        <f>IFERROR(VLOOKUP(B1310,منتجات!$A$3:$C$350,3,0),"")</f>
        <v/>
      </c>
      <c r="E1310" s="51"/>
      <c r="F1310" s="51" t="str">
        <f>IFERROR(INDEX(منتجات!$G$3:$G$114,MATCH(B1310,منتجات!$A$3:$A$115,0)),"")</f>
        <v/>
      </c>
      <c r="G1310" s="51" t="str">
        <f t="shared" si="22"/>
        <v/>
      </c>
      <c r="H1310" s="53"/>
    </row>
    <row r="1311" spans="1:8" x14ac:dyDescent="0.35">
      <c r="A1311" s="49"/>
      <c r="B1311" s="49"/>
      <c r="C1311" s="51" t="str">
        <f>IFERROR(VLOOKUP(B1311,منتجات!$A$3:$C$350,2,0),"")</f>
        <v/>
      </c>
      <c r="D1311" s="49" t="str">
        <f>IFERROR(VLOOKUP(B1311,منتجات!$A$3:$C$350,3,0),"")</f>
        <v/>
      </c>
      <c r="E1311" s="49"/>
      <c r="F1311" s="49" t="str">
        <f>IFERROR(INDEX(منتجات!$G$3:$G$114,MATCH(B1311,منتجات!$A$3:$A$115,0)),"")</f>
        <v/>
      </c>
      <c r="G1311" s="51" t="str">
        <f t="shared" si="22"/>
        <v/>
      </c>
      <c r="H1311" s="54"/>
    </row>
    <row r="1312" spans="1:8" x14ac:dyDescent="0.35">
      <c r="A1312" s="51"/>
      <c r="B1312" s="51"/>
      <c r="C1312" s="51" t="str">
        <f>IFERROR(VLOOKUP(B1312,منتجات!$A$3:$C$350,2,0),"")</f>
        <v/>
      </c>
      <c r="D1312" s="51" t="str">
        <f>IFERROR(VLOOKUP(B1312,منتجات!$A$3:$C$350,3,0),"")</f>
        <v/>
      </c>
      <c r="E1312" s="51"/>
      <c r="F1312" s="51" t="str">
        <f>IFERROR(INDEX(منتجات!$G$3:$G$114,MATCH(B1312,منتجات!$A$3:$A$115,0)),"")</f>
        <v/>
      </c>
      <c r="G1312" s="51" t="str">
        <f t="shared" si="22"/>
        <v/>
      </c>
      <c r="H1312" s="53"/>
    </row>
    <row r="1313" spans="1:8" x14ac:dyDescent="0.35">
      <c r="A1313" s="49"/>
      <c r="B1313" s="49"/>
      <c r="C1313" s="51" t="str">
        <f>IFERROR(VLOOKUP(B1313,منتجات!$A$3:$C$350,2,0),"")</f>
        <v/>
      </c>
      <c r="D1313" s="49" t="str">
        <f>IFERROR(VLOOKUP(B1313,منتجات!$A$3:$C$350,3,0),"")</f>
        <v/>
      </c>
      <c r="E1313" s="49"/>
      <c r="F1313" s="49" t="str">
        <f>IFERROR(INDEX(منتجات!$G$3:$G$114,MATCH(B1313,منتجات!$A$3:$A$115,0)),"")</f>
        <v/>
      </c>
      <c r="G1313" s="51" t="str">
        <f t="shared" si="22"/>
        <v/>
      </c>
      <c r="H1313" s="54"/>
    </row>
    <row r="1314" spans="1:8" x14ac:dyDescent="0.35">
      <c r="A1314" s="51"/>
      <c r="B1314" s="51"/>
      <c r="C1314" s="51" t="str">
        <f>IFERROR(VLOOKUP(B1314,منتجات!$A$3:$C$350,2,0),"")</f>
        <v/>
      </c>
      <c r="D1314" s="51" t="str">
        <f>IFERROR(VLOOKUP(B1314,منتجات!$A$3:$C$350,3,0),"")</f>
        <v/>
      </c>
      <c r="E1314" s="51"/>
      <c r="F1314" s="51" t="str">
        <f>IFERROR(INDEX(منتجات!$G$3:$G$114,MATCH(B1314,منتجات!$A$3:$A$115,0)),"")</f>
        <v/>
      </c>
      <c r="G1314" s="51" t="str">
        <f t="shared" si="22"/>
        <v/>
      </c>
      <c r="H1314" s="53"/>
    </row>
    <row r="1315" spans="1:8" x14ac:dyDescent="0.35">
      <c r="A1315" s="49"/>
      <c r="B1315" s="49"/>
      <c r="C1315" s="51" t="str">
        <f>IFERROR(VLOOKUP(B1315,منتجات!$A$3:$C$350,2,0),"")</f>
        <v/>
      </c>
      <c r="D1315" s="49" t="str">
        <f>IFERROR(VLOOKUP(B1315,منتجات!$A$3:$C$350,3,0),"")</f>
        <v/>
      </c>
      <c r="E1315" s="49"/>
      <c r="F1315" s="49" t="str">
        <f>IFERROR(INDEX(منتجات!$G$3:$G$114,MATCH(B1315,منتجات!$A$3:$A$115,0)),"")</f>
        <v/>
      </c>
      <c r="G1315" s="51" t="str">
        <f t="shared" si="22"/>
        <v/>
      </c>
      <c r="H1315" s="54"/>
    </row>
    <row r="1316" spans="1:8" x14ac:dyDescent="0.35">
      <c r="A1316" s="51"/>
      <c r="B1316" s="51"/>
      <c r="C1316" s="51" t="str">
        <f>IFERROR(VLOOKUP(B1316,منتجات!$A$3:$C$350,2,0),"")</f>
        <v/>
      </c>
      <c r="D1316" s="51" t="str">
        <f>IFERROR(VLOOKUP(B1316,منتجات!$A$3:$C$350,3,0),"")</f>
        <v/>
      </c>
      <c r="E1316" s="51"/>
      <c r="F1316" s="51" t="str">
        <f>IFERROR(INDEX(منتجات!$G$3:$G$114,MATCH(B1316,منتجات!$A$3:$A$115,0)),"")</f>
        <v/>
      </c>
      <c r="G1316" s="51" t="str">
        <f t="shared" si="22"/>
        <v/>
      </c>
      <c r="H1316" s="53"/>
    </row>
    <row r="1317" spans="1:8" x14ac:dyDescent="0.35">
      <c r="A1317" s="49"/>
      <c r="B1317" s="49"/>
      <c r="C1317" s="51" t="str">
        <f>IFERROR(VLOOKUP(B1317,منتجات!$A$3:$C$350,2,0),"")</f>
        <v/>
      </c>
      <c r="D1317" s="49" t="str">
        <f>IFERROR(VLOOKUP(B1317,منتجات!$A$3:$C$350,3,0),"")</f>
        <v/>
      </c>
      <c r="E1317" s="49"/>
      <c r="F1317" s="49" t="str">
        <f>IFERROR(INDEX(منتجات!$G$3:$G$114,MATCH(B1317,منتجات!$A$3:$A$115,0)),"")</f>
        <v/>
      </c>
      <c r="G1317" s="51" t="str">
        <f t="shared" si="22"/>
        <v/>
      </c>
      <c r="H1317" s="54"/>
    </row>
    <row r="1318" spans="1:8" x14ac:dyDescent="0.35">
      <c r="A1318" s="51"/>
      <c r="B1318" s="51"/>
      <c r="C1318" s="51" t="str">
        <f>IFERROR(VLOOKUP(B1318,منتجات!$A$3:$C$350,2,0),"")</f>
        <v/>
      </c>
      <c r="D1318" s="51" t="str">
        <f>IFERROR(VLOOKUP(B1318,منتجات!$A$3:$C$350,3,0),"")</f>
        <v/>
      </c>
      <c r="E1318" s="51"/>
      <c r="F1318" s="51" t="str">
        <f>IFERROR(INDEX(منتجات!$G$3:$G$114,MATCH(B1318,منتجات!$A$3:$A$115,0)),"")</f>
        <v/>
      </c>
      <c r="G1318" s="51" t="str">
        <f t="shared" si="22"/>
        <v/>
      </c>
      <c r="H1318" s="53"/>
    </row>
    <row r="1319" spans="1:8" x14ac:dyDescent="0.35">
      <c r="A1319" s="49"/>
      <c r="B1319" s="49"/>
      <c r="C1319" s="51" t="str">
        <f>IFERROR(VLOOKUP(B1319,منتجات!$A$3:$C$350,2,0),"")</f>
        <v/>
      </c>
      <c r="D1319" s="49" t="str">
        <f>IFERROR(VLOOKUP(B1319,منتجات!$A$3:$C$350,3,0),"")</f>
        <v/>
      </c>
      <c r="E1319" s="49"/>
      <c r="F1319" s="49" t="str">
        <f>IFERROR(INDEX(منتجات!$G$3:$G$114,MATCH(B1319,منتجات!$A$3:$A$115,0)),"")</f>
        <v/>
      </c>
      <c r="G1319" s="51" t="str">
        <f t="shared" si="22"/>
        <v/>
      </c>
      <c r="H1319" s="54"/>
    </row>
    <row r="1320" spans="1:8" x14ac:dyDescent="0.35">
      <c r="A1320" s="51"/>
      <c r="B1320" s="51"/>
      <c r="C1320" s="51" t="str">
        <f>IFERROR(VLOOKUP(B1320,منتجات!$A$3:$C$350,2,0),"")</f>
        <v/>
      </c>
      <c r="D1320" s="51" t="str">
        <f>IFERROR(VLOOKUP(B1320,منتجات!$A$3:$C$350,3,0),"")</f>
        <v/>
      </c>
      <c r="E1320" s="51"/>
      <c r="F1320" s="51" t="str">
        <f>IFERROR(INDEX(منتجات!$G$3:$G$114,MATCH(B1320,منتجات!$A$3:$A$115,0)),"")</f>
        <v/>
      </c>
      <c r="G1320" s="51" t="str">
        <f t="shared" si="22"/>
        <v/>
      </c>
      <c r="H1320" s="53"/>
    </row>
    <row r="1321" spans="1:8" x14ac:dyDescent="0.35">
      <c r="A1321" s="49"/>
      <c r="B1321" s="49"/>
      <c r="C1321" s="51" t="str">
        <f>IFERROR(VLOOKUP(B1321,منتجات!$A$3:$C$350,2,0),"")</f>
        <v/>
      </c>
      <c r="D1321" s="49" t="str">
        <f>IFERROR(VLOOKUP(B1321,منتجات!$A$3:$C$350,3,0),"")</f>
        <v/>
      </c>
      <c r="E1321" s="49"/>
      <c r="F1321" s="49" t="str">
        <f>IFERROR(INDEX(منتجات!$G$3:$G$114,MATCH(B1321,منتجات!$A$3:$A$115,0)),"")</f>
        <v/>
      </c>
      <c r="G1321" s="51" t="str">
        <f t="shared" si="22"/>
        <v/>
      </c>
      <c r="H1321" s="54"/>
    </row>
    <row r="1322" spans="1:8" x14ac:dyDescent="0.35">
      <c r="A1322" s="51"/>
      <c r="B1322" s="51"/>
      <c r="C1322" s="51" t="str">
        <f>IFERROR(VLOOKUP(B1322,منتجات!$A$3:$C$350,2,0),"")</f>
        <v/>
      </c>
      <c r="D1322" s="51" t="str">
        <f>IFERROR(VLOOKUP(B1322,منتجات!$A$3:$C$350,3,0),"")</f>
        <v/>
      </c>
      <c r="E1322" s="51"/>
      <c r="F1322" s="51" t="str">
        <f>IFERROR(INDEX(منتجات!$G$3:$G$114,MATCH(B1322,منتجات!$A$3:$A$115,0)),"")</f>
        <v/>
      </c>
      <c r="G1322" s="51" t="str">
        <f t="shared" si="22"/>
        <v/>
      </c>
      <c r="H1322" s="53"/>
    </row>
    <row r="1323" spans="1:8" x14ac:dyDescent="0.35">
      <c r="A1323" s="49"/>
      <c r="B1323" s="49"/>
      <c r="C1323" s="51" t="str">
        <f>IFERROR(VLOOKUP(B1323,منتجات!$A$3:$C$350,2,0),"")</f>
        <v/>
      </c>
      <c r="D1323" s="49" t="str">
        <f>IFERROR(VLOOKUP(B1323,منتجات!$A$3:$C$350,3,0),"")</f>
        <v/>
      </c>
      <c r="E1323" s="49"/>
      <c r="F1323" s="49" t="str">
        <f>IFERROR(INDEX(منتجات!$G$3:$G$114,MATCH(B1323,منتجات!$A$3:$A$115,0)),"")</f>
        <v/>
      </c>
      <c r="G1323" s="51" t="str">
        <f t="shared" si="22"/>
        <v/>
      </c>
      <c r="H1323" s="54"/>
    </row>
    <row r="1324" spans="1:8" x14ac:dyDescent="0.35">
      <c r="A1324" s="51"/>
      <c r="B1324" s="51"/>
      <c r="C1324" s="51" t="str">
        <f>IFERROR(VLOOKUP(B1324,منتجات!$A$3:$C$350,2,0),"")</f>
        <v/>
      </c>
      <c r="D1324" s="51" t="str">
        <f>IFERROR(VLOOKUP(B1324,منتجات!$A$3:$C$350,3,0),"")</f>
        <v/>
      </c>
      <c r="E1324" s="51"/>
      <c r="F1324" s="51" t="str">
        <f>IFERROR(INDEX(منتجات!$G$3:$G$114,MATCH(B1324,منتجات!$A$3:$A$115,0)),"")</f>
        <v/>
      </c>
      <c r="G1324" s="51" t="str">
        <f t="shared" si="22"/>
        <v/>
      </c>
      <c r="H1324" s="53"/>
    </row>
    <row r="1325" spans="1:8" x14ac:dyDescent="0.35">
      <c r="A1325" s="49"/>
      <c r="B1325" s="49"/>
      <c r="C1325" s="51" t="str">
        <f>IFERROR(VLOOKUP(B1325,منتجات!$A$3:$C$350,2,0),"")</f>
        <v/>
      </c>
      <c r="D1325" s="49" t="str">
        <f>IFERROR(VLOOKUP(B1325,منتجات!$A$3:$C$350,3,0),"")</f>
        <v/>
      </c>
      <c r="E1325" s="49"/>
      <c r="F1325" s="49" t="str">
        <f>IFERROR(INDEX(منتجات!$G$3:$G$114,MATCH(B1325,منتجات!$A$3:$A$115,0)),"")</f>
        <v/>
      </c>
      <c r="G1325" s="51" t="str">
        <f t="shared" si="22"/>
        <v/>
      </c>
      <c r="H1325" s="54"/>
    </row>
    <row r="1326" spans="1:8" x14ac:dyDescent="0.35">
      <c r="A1326" s="51"/>
      <c r="B1326" s="51"/>
      <c r="C1326" s="51" t="str">
        <f>IFERROR(VLOOKUP(B1326,منتجات!$A$3:$C$350,2,0),"")</f>
        <v/>
      </c>
      <c r="D1326" s="51" t="str">
        <f>IFERROR(VLOOKUP(B1326,منتجات!$A$3:$C$350,3,0),"")</f>
        <v/>
      </c>
      <c r="E1326" s="51"/>
      <c r="F1326" s="51" t="str">
        <f>IFERROR(INDEX(منتجات!$G$3:$G$114,MATCH(B1326,منتجات!$A$3:$A$115,0)),"")</f>
        <v/>
      </c>
      <c r="G1326" s="51" t="str">
        <f t="shared" si="22"/>
        <v/>
      </c>
      <c r="H1326" s="53"/>
    </row>
    <row r="1327" spans="1:8" x14ac:dyDescent="0.35">
      <c r="A1327" s="49"/>
      <c r="B1327" s="49"/>
      <c r="C1327" s="51" t="str">
        <f>IFERROR(VLOOKUP(B1327,منتجات!$A$3:$C$350,2,0),"")</f>
        <v/>
      </c>
      <c r="D1327" s="49" t="str">
        <f>IFERROR(VLOOKUP(B1327,منتجات!$A$3:$C$350,3,0),"")</f>
        <v/>
      </c>
      <c r="E1327" s="49"/>
      <c r="F1327" s="49" t="str">
        <f>IFERROR(INDEX(منتجات!$G$3:$G$114,MATCH(B1327,منتجات!$A$3:$A$115,0)),"")</f>
        <v/>
      </c>
      <c r="G1327" s="51" t="str">
        <f t="shared" si="22"/>
        <v/>
      </c>
      <c r="H1327" s="54"/>
    </row>
    <row r="1328" spans="1:8" x14ac:dyDescent="0.35">
      <c r="A1328" s="51"/>
      <c r="B1328" s="51"/>
      <c r="C1328" s="51" t="str">
        <f>IFERROR(VLOOKUP(B1328,منتجات!$A$3:$C$350,2,0),"")</f>
        <v/>
      </c>
      <c r="D1328" s="51" t="str">
        <f>IFERROR(VLOOKUP(B1328,منتجات!$A$3:$C$350,3,0),"")</f>
        <v/>
      </c>
      <c r="E1328" s="51"/>
      <c r="F1328" s="51" t="str">
        <f>IFERROR(INDEX(منتجات!$G$3:$G$114,MATCH(B1328,منتجات!$A$3:$A$115,0)),"")</f>
        <v/>
      </c>
      <c r="G1328" s="51" t="str">
        <f t="shared" si="22"/>
        <v/>
      </c>
      <c r="H1328" s="53"/>
    </row>
    <row r="1329" spans="1:8" x14ac:dyDescent="0.35">
      <c r="A1329" s="49"/>
      <c r="B1329" s="49"/>
      <c r="C1329" s="51" t="str">
        <f>IFERROR(VLOOKUP(B1329,منتجات!$A$3:$C$350,2,0),"")</f>
        <v/>
      </c>
      <c r="D1329" s="49" t="str">
        <f>IFERROR(VLOOKUP(B1329,منتجات!$A$3:$C$350,3,0),"")</f>
        <v/>
      </c>
      <c r="E1329" s="49"/>
      <c r="F1329" s="49" t="str">
        <f>IFERROR(INDEX(منتجات!$G$3:$G$114,MATCH(B1329,منتجات!$A$3:$A$115,0)),"")</f>
        <v/>
      </c>
      <c r="G1329" s="51" t="str">
        <f t="shared" si="22"/>
        <v/>
      </c>
      <c r="H1329" s="54"/>
    </row>
    <row r="1330" spans="1:8" x14ac:dyDescent="0.35">
      <c r="A1330" s="51"/>
      <c r="B1330" s="51"/>
      <c r="C1330" s="51" t="str">
        <f>IFERROR(VLOOKUP(B1330,منتجات!$A$3:$C$350,2,0),"")</f>
        <v/>
      </c>
      <c r="D1330" s="51" t="str">
        <f>IFERROR(VLOOKUP(B1330,منتجات!$A$3:$C$350,3,0),"")</f>
        <v/>
      </c>
      <c r="E1330" s="51"/>
      <c r="F1330" s="51" t="str">
        <f>IFERROR(INDEX(منتجات!$G$3:$G$114,MATCH(B1330,منتجات!$A$3:$A$115,0)),"")</f>
        <v/>
      </c>
      <c r="G1330" s="51" t="str">
        <f t="shared" si="22"/>
        <v/>
      </c>
      <c r="H1330" s="53"/>
    </row>
    <row r="1331" spans="1:8" x14ac:dyDescent="0.35">
      <c r="A1331" s="49"/>
      <c r="B1331" s="49"/>
      <c r="C1331" s="51" t="str">
        <f>IFERROR(VLOOKUP(B1331,منتجات!$A$3:$C$350,2,0),"")</f>
        <v/>
      </c>
      <c r="D1331" s="49" t="str">
        <f>IFERROR(VLOOKUP(B1331,منتجات!$A$3:$C$350,3,0),"")</f>
        <v/>
      </c>
      <c r="E1331" s="49"/>
      <c r="F1331" s="49" t="str">
        <f>IFERROR(INDEX(منتجات!$G$3:$G$114,MATCH(B1331,منتجات!$A$3:$A$115,0)),"")</f>
        <v/>
      </c>
      <c r="G1331" s="51" t="str">
        <f t="shared" si="22"/>
        <v/>
      </c>
      <c r="H1331" s="54"/>
    </row>
    <row r="1332" spans="1:8" x14ac:dyDescent="0.35">
      <c r="A1332" s="51"/>
      <c r="B1332" s="51"/>
      <c r="C1332" s="51" t="str">
        <f>IFERROR(VLOOKUP(B1332,منتجات!$A$3:$C$350,2,0),"")</f>
        <v/>
      </c>
      <c r="D1332" s="51" t="str">
        <f>IFERROR(VLOOKUP(B1332,منتجات!$A$3:$C$350,3,0),"")</f>
        <v/>
      </c>
      <c r="E1332" s="51"/>
      <c r="F1332" s="51" t="str">
        <f>IFERROR(INDEX(منتجات!$G$3:$G$114,MATCH(B1332,منتجات!$A$3:$A$115,0)),"")</f>
        <v/>
      </c>
      <c r="G1332" s="51" t="str">
        <f t="shared" si="22"/>
        <v/>
      </c>
      <c r="H1332" s="53"/>
    </row>
    <row r="1333" spans="1:8" x14ac:dyDescent="0.35">
      <c r="A1333" s="49"/>
      <c r="B1333" s="49"/>
      <c r="C1333" s="51" t="str">
        <f>IFERROR(VLOOKUP(B1333,منتجات!$A$3:$C$350,2,0),"")</f>
        <v/>
      </c>
      <c r="D1333" s="49" t="str">
        <f>IFERROR(VLOOKUP(B1333,منتجات!$A$3:$C$350,3,0),"")</f>
        <v/>
      </c>
      <c r="E1333" s="49"/>
      <c r="F1333" s="49" t="str">
        <f>IFERROR(INDEX(منتجات!$G$3:$G$114,MATCH(B1333,منتجات!$A$3:$A$115,0)),"")</f>
        <v/>
      </c>
      <c r="G1333" s="51" t="str">
        <f t="shared" si="22"/>
        <v/>
      </c>
      <c r="H1333" s="54"/>
    </row>
    <row r="1334" spans="1:8" x14ac:dyDescent="0.35">
      <c r="A1334" s="51"/>
      <c r="B1334" s="51"/>
      <c r="C1334" s="51" t="str">
        <f>IFERROR(VLOOKUP(B1334,منتجات!$A$3:$C$350,2,0),"")</f>
        <v/>
      </c>
      <c r="D1334" s="51" t="str">
        <f>IFERROR(VLOOKUP(B1334,منتجات!$A$3:$C$350,3,0),"")</f>
        <v/>
      </c>
      <c r="E1334" s="51"/>
      <c r="F1334" s="51" t="str">
        <f>IFERROR(INDEX(منتجات!$G$3:$G$114,MATCH(B1334,منتجات!$A$3:$A$115,0)),"")</f>
        <v/>
      </c>
      <c r="G1334" s="51" t="str">
        <f t="shared" si="22"/>
        <v/>
      </c>
      <c r="H1334" s="53"/>
    </row>
    <row r="1335" spans="1:8" x14ac:dyDescent="0.35">
      <c r="A1335" s="49"/>
      <c r="B1335" s="49"/>
      <c r="C1335" s="51" t="str">
        <f>IFERROR(VLOOKUP(B1335,منتجات!$A$3:$C$350,2,0),"")</f>
        <v/>
      </c>
      <c r="D1335" s="49" t="str">
        <f>IFERROR(VLOOKUP(B1335,منتجات!$A$3:$C$350,3,0),"")</f>
        <v/>
      </c>
      <c r="E1335" s="49"/>
      <c r="F1335" s="49" t="str">
        <f>IFERROR(INDEX(منتجات!$G$3:$G$114,MATCH(B1335,منتجات!$A$3:$A$115,0)),"")</f>
        <v/>
      </c>
      <c r="G1335" s="51" t="str">
        <f t="shared" si="22"/>
        <v/>
      </c>
      <c r="H1335" s="54"/>
    </row>
    <row r="1336" spans="1:8" x14ac:dyDescent="0.35">
      <c r="A1336" s="51"/>
      <c r="B1336" s="51"/>
      <c r="C1336" s="51" t="str">
        <f>IFERROR(VLOOKUP(B1336,منتجات!$A$3:$C$350,2,0),"")</f>
        <v/>
      </c>
      <c r="D1336" s="51" t="str">
        <f>IFERROR(VLOOKUP(B1336,منتجات!$A$3:$C$350,3,0),"")</f>
        <v/>
      </c>
      <c r="E1336" s="51"/>
      <c r="F1336" s="51" t="str">
        <f>IFERROR(INDEX(منتجات!$G$3:$G$114,MATCH(B1336,منتجات!$A$3:$A$115,0)),"")</f>
        <v/>
      </c>
      <c r="G1336" s="51" t="str">
        <f t="shared" si="22"/>
        <v/>
      </c>
      <c r="H1336" s="53"/>
    </row>
    <row r="1337" spans="1:8" x14ac:dyDescent="0.35">
      <c r="A1337" s="49"/>
      <c r="B1337" s="49"/>
      <c r="C1337" s="51" t="str">
        <f>IFERROR(VLOOKUP(B1337,منتجات!$A$3:$C$350,2,0),"")</f>
        <v/>
      </c>
      <c r="D1337" s="49" t="str">
        <f>IFERROR(VLOOKUP(B1337,منتجات!$A$3:$C$350,3,0),"")</f>
        <v/>
      </c>
      <c r="E1337" s="49"/>
      <c r="F1337" s="49" t="str">
        <f>IFERROR(INDEX(منتجات!$G$3:$G$114,MATCH(B1337,منتجات!$A$3:$A$115,0)),"")</f>
        <v/>
      </c>
      <c r="G1337" s="51" t="str">
        <f t="shared" si="22"/>
        <v/>
      </c>
      <c r="H1337" s="54"/>
    </row>
    <row r="1338" spans="1:8" x14ac:dyDescent="0.35">
      <c r="A1338" s="51"/>
      <c r="B1338" s="51"/>
      <c r="C1338" s="51" t="str">
        <f>IFERROR(VLOOKUP(B1338,منتجات!$A$3:$C$350,2,0),"")</f>
        <v/>
      </c>
      <c r="D1338" s="51" t="str">
        <f>IFERROR(VLOOKUP(B1338,منتجات!$A$3:$C$350,3,0),"")</f>
        <v/>
      </c>
      <c r="E1338" s="51"/>
      <c r="F1338" s="51" t="str">
        <f>IFERROR(INDEX(منتجات!$G$3:$G$114,MATCH(B1338,منتجات!$A$3:$A$115,0)),"")</f>
        <v/>
      </c>
      <c r="G1338" s="51" t="str">
        <f t="shared" si="22"/>
        <v/>
      </c>
      <c r="H1338" s="53"/>
    </row>
    <row r="1339" spans="1:8" x14ac:dyDescent="0.35">
      <c r="A1339" s="49"/>
      <c r="B1339" s="49"/>
      <c r="C1339" s="51" t="str">
        <f>IFERROR(VLOOKUP(B1339,منتجات!$A$3:$C$350,2,0),"")</f>
        <v/>
      </c>
      <c r="D1339" s="49" t="str">
        <f>IFERROR(VLOOKUP(B1339,منتجات!$A$3:$C$350,3,0),"")</f>
        <v/>
      </c>
      <c r="E1339" s="49"/>
      <c r="F1339" s="49" t="str">
        <f>IFERROR(INDEX(منتجات!$G$3:$G$114,MATCH(B1339,منتجات!$A$3:$A$115,0)),"")</f>
        <v/>
      </c>
      <c r="G1339" s="51" t="str">
        <f t="shared" si="22"/>
        <v/>
      </c>
      <c r="H1339" s="54"/>
    </row>
    <row r="1340" spans="1:8" x14ac:dyDescent="0.35">
      <c r="A1340" s="51"/>
      <c r="B1340" s="51"/>
      <c r="C1340" s="51" t="str">
        <f>IFERROR(VLOOKUP(B1340,منتجات!$A$3:$C$350,2,0),"")</f>
        <v/>
      </c>
      <c r="D1340" s="51" t="str">
        <f>IFERROR(VLOOKUP(B1340,منتجات!$A$3:$C$350,3,0),"")</f>
        <v/>
      </c>
      <c r="E1340" s="51"/>
      <c r="F1340" s="51" t="str">
        <f>IFERROR(INDEX(منتجات!$G$3:$G$114,MATCH(B1340,منتجات!$A$3:$A$115,0)),"")</f>
        <v/>
      </c>
      <c r="G1340" s="51" t="str">
        <f t="shared" si="22"/>
        <v/>
      </c>
      <c r="H1340" s="53"/>
    </row>
    <row r="1341" spans="1:8" x14ac:dyDescent="0.35">
      <c r="A1341" s="49"/>
      <c r="B1341" s="49"/>
      <c r="C1341" s="51" t="str">
        <f>IFERROR(VLOOKUP(B1341,منتجات!$A$3:$C$350,2,0),"")</f>
        <v/>
      </c>
      <c r="D1341" s="49" t="str">
        <f>IFERROR(VLOOKUP(B1341,منتجات!$A$3:$C$350,3,0),"")</f>
        <v/>
      </c>
      <c r="E1341" s="49"/>
      <c r="F1341" s="49" t="str">
        <f>IFERROR(INDEX(منتجات!$G$3:$G$114,MATCH(B1341,منتجات!$A$3:$A$115,0)),"")</f>
        <v/>
      </c>
      <c r="G1341" s="51" t="str">
        <f t="shared" si="22"/>
        <v/>
      </c>
      <c r="H1341" s="54"/>
    </row>
    <row r="1342" spans="1:8" x14ac:dyDescent="0.35">
      <c r="A1342" s="51"/>
      <c r="B1342" s="51"/>
      <c r="C1342" s="51" t="str">
        <f>IFERROR(VLOOKUP(B1342,منتجات!$A$3:$C$350,2,0),"")</f>
        <v/>
      </c>
      <c r="D1342" s="51" t="str">
        <f>IFERROR(VLOOKUP(B1342,منتجات!$A$3:$C$350,3,0),"")</f>
        <v/>
      </c>
      <c r="E1342" s="51"/>
      <c r="F1342" s="51" t="str">
        <f>IFERROR(INDEX(منتجات!$G$3:$G$114,MATCH(B1342,منتجات!$A$3:$A$115,0)),"")</f>
        <v/>
      </c>
      <c r="G1342" s="51" t="str">
        <f t="shared" si="22"/>
        <v/>
      </c>
      <c r="H1342" s="53"/>
    </row>
    <row r="1343" spans="1:8" x14ac:dyDescent="0.35">
      <c r="A1343" s="49"/>
      <c r="B1343" s="49"/>
      <c r="C1343" s="51" t="str">
        <f>IFERROR(VLOOKUP(B1343,منتجات!$A$3:$C$350,2,0),"")</f>
        <v/>
      </c>
      <c r="D1343" s="49" t="str">
        <f>IFERROR(VLOOKUP(B1343,منتجات!$A$3:$C$350,3,0),"")</f>
        <v/>
      </c>
      <c r="E1343" s="49"/>
      <c r="F1343" s="49" t="str">
        <f>IFERROR(INDEX(منتجات!$G$3:$G$114,MATCH(B1343,منتجات!$A$3:$A$115,0)),"")</f>
        <v/>
      </c>
      <c r="G1343" s="51" t="str">
        <f t="shared" si="22"/>
        <v/>
      </c>
      <c r="H1343" s="54"/>
    </row>
    <row r="1344" spans="1:8" x14ac:dyDescent="0.35">
      <c r="A1344" s="51"/>
      <c r="B1344" s="51"/>
      <c r="C1344" s="51" t="str">
        <f>IFERROR(VLOOKUP(B1344,منتجات!$A$3:$C$350,2,0),"")</f>
        <v/>
      </c>
      <c r="D1344" s="51" t="str">
        <f>IFERROR(VLOOKUP(B1344,منتجات!$A$3:$C$350,3,0),"")</f>
        <v/>
      </c>
      <c r="E1344" s="51"/>
      <c r="F1344" s="51" t="str">
        <f>IFERROR(INDEX(منتجات!$G$3:$G$114,MATCH(B1344,منتجات!$A$3:$A$115,0)),"")</f>
        <v/>
      </c>
      <c r="G1344" s="51" t="str">
        <f t="shared" si="22"/>
        <v/>
      </c>
      <c r="H1344" s="53"/>
    </row>
    <row r="1345" spans="1:8" x14ac:dyDescent="0.35">
      <c r="A1345" s="49"/>
      <c r="B1345" s="49"/>
      <c r="C1345" s="51" t="str">
        <f>IFERROR(VLOOKUP(B1345,منتجات!$A$3:$C$350,2,0),"")</f>
        <v/>
      </c>
      <c r="D1345" s="49" t="str">
        <f>IFERROR(VLOOKUP(B1345,منتجات!$A$3:$C$350,3,0),"")</f>
        <v/>
      </c>
      <c r="E1345" s="49"/>
      <c r="F1345" s="49" t="str">
        <f>IFERROR(INDEX(منتجات!$G$3:$G$114,MATCH(B1345,منتجات!$A$3:$A$115,0)),"")</f>
        <v/>
      </c>
      <c r="G1345" s="51" t="str">
        <f t="shared" si="22"/>
        <v/>
      </c>
      <c r="H1345" s="54"/>
    </row>
    <row r="1346" spans="1:8" x14ac:dyDescent="0.35">
      <c r="A1346" s="51"/>
      <c r="B1346" s="51"/>
      <c r="C1346" s="51" t="str">
        <f>IFERROR(VLOOKUP(B1346,منتجات!$A$3:$C$350,2,0),"")</f>
        <v/>
      </c>
      <c r="D1346" s="51" t="str">
        <f>IFERROR(VLOOKUP(B1346,منتجات!$A$3:$C$350,3,0),"")</f>
        <v/>
      </c>
      <c r="E1346" s="51"/>
      <c r="F1346" s="51" t="str">
        <f>IFERROR(INDEX(منتجات!$G$3:$G$114,MATCH(B1346,منتجات!$A$3:$A$115,0)),"")</f>
        <v/>
      </c>
      <c r="G1346" s="51" t="str">
        <f t="shared" si="22"/>
        <v/>
      </c>
      <c r="H1346" s="53"/>
    </row>
    <row r="1347" spans="1:8" x14ac:dyDescent="0.35">
      <c r="A1347" s="49"/>
      <c r="B1347" s="49"/>
      <c r="C1347" s="51" t="str">
        <f>IFERROR(VLOOKUP(B1347,منتجات!$A$3:$C$350,2,0),"")</f>
        <v/>
      </c>
      <c r="D1347" s="49" t="str">
        <f>IFERROR(VLOOKUP(B1347,منتجات!$A$3:$C$350,3,0),"")</f>
        <v/>
      </c>
      <c r="E1347" s="49"/>
      <c r="F1347" s="49" t="str">
        <f>IFERROR(INDEX(منتجات!$G$3:$G$114,MATCH(B1347,منتجات!$A$3:$A$115,0)),"")</f>
        <v/>
      </c>
      <c r="G1347" s="51" t="str">
        <f t="shared" si="22"/>
        <v/>
      </c>
      <c r="H1347" s="54"/>
    </row>
    <row r="1348" spans="1:8" x14ac:dyDescent="0.35">
      <c r="A1348" s="51"/>
      <c r="B1348" s="51"/>
      <c r="C1348" s="51" t="str">
        <f>IFERROR(VLOOKUP(B1348,منتجات!$A$3:$C$350,2,0),"")</f>
        <v/>
      </c>
      <c r="D1348" s="51" t="str">
        <f>IFERROR(VLOOKUP(B1348,منتجات!$A$3:$C$350,3,0),"")</f>
        <v/>
      </c>
      <c r="E1348" s="51"/>
      <c r="F1348" s="51" t="str">
        <f>IFERROR(INDEX(منتجات!$G$3:$G$114,MATCH(B1348,منتجات!$A$3:$A$115,0)),"")</f>
        <v/>
      </c>
      <c r="G1348" s="51" t="str">
        <f t="shared" si="22"/>
        <v/>
      </c>
      <c r="H1348" s="53"/>
    </row>
    <row r="1349" spans="1:8" x14ac:dyDescent="0.35">
      <c r="A1349" s="49"/>
      <c r="B1349" s="49"/>
      <c r="C1349" s="51" t="str">
        <f>IFERROR(VLOOKUP(B1349,منتجات!$A$3:$C$350,2,0),"")</f>
        <v/>
      </c>
      <c r="D1349" s="49" t="str">
        <f>IFERROR(VLOOKUP(B1349,منتجات!$A$3:$C$350,3,0),"")</f>
        <v/>
      </c>
      <c r="E1349" s="49"/>
      <c r="F1349" s="49" t="str">
        <f>IFERROR(INDEX(منتجات!$G$3:$G$114,MATCH(B1349,منتجات!$A$3:$A$115,0)),"")</f>
        <v/>
      </c>
      <c r="G1349" s="51" t="str">
        <f t="shared" si="22"/>
        <v/>
      </c>
      <c r="H1349" s="54"/>
    </row>
    <row r="1350" spans="1:8" x14ac:dyDescent="0.35">
      <c r="A1350" s="51"/>
      <c r="B1350" s="51"/>
      <c r="C1350" s="51" t="str">
        <f>IFERROR(VLOOKUP(B1350,منتجات!$A$3:$C$350,2,0),"")</f>
        <v/>
      </c>
      <c r="D1350" s="51" t="str">
        <f>IFERROR(VLOOKUP(B1350,منتجات!$A$3:$C$350,3,0),"")</f>
        <v/>
      </c>
      <c r="E1350" s="51"/>
      <c r="F1350" s="51" t="str">
        <f>IFERROR(INDEX(منتجات!$G$3:$G$114,MATCH(B1350,منتجات!$A$3:$A$115,0)),"")</f>
        <v/>
      </c>
      <c r="G1350" s="51" t="str">
        <f t="shared" si="22"/>
        <v/>
      </c>
      <c r="H1350" s="53"/>
    </row>
    <row r="1351" spans="1:8" x14ac:dyDescent="0.35">
      <c r="A1351" s="49"/>
      <c r="B1351" s="49"/>
      <c r="C1351" s="51" t="str">
        <f>IFERROR(VLOOKUP(B1351,منتجات!$A$3:$C$350,2,0),"")</f>
        <v/>
      </c>
      <c r="D1351" s="49" t="str">
        <f>IFERROR(VLOOKUP(B1351,منتجات!$A$3:$C$350,3,0),"")</f>
        <v/>
      </c>
      <c r="E1351" s="49"/>
      <c r="F1351" s="49" t="str">
        <f>IFERROR(INDEX(منتجات!$G$3:$G$114,MATCH(B1351,منتجات!$A$3:$A$115,0)),"")</f>
        <v/>
      </c>
      <c r="G1351" s="51" t="str">
        <f t="shared" si="22"/>
        <v/>
      </c>
      <c r="H1351" s="54"/>
    </row>
    <row r="1352" spans="1:8" x14ac:dyDescent="0.35">
      <c r="A1352" s="51"/>
      <c r="B1352" s="51"/>
      <c r="C1352" s="51" t="str">
        <f>IFERROR(VLOOKUP(B1352,منتجات!$A$3:$C$350,2,0),"")</f>
        <v/>
      </c>
      <c r="D1352" s="51" t="str">
        <f>IFERROR(VLOOKUP(B1352,منتجات!$A$3:$C$350,3,0),"")</f>
        <v/>
      </c>
      <c r="E1352" s="51"/>
      <c r="F1352" s="51" t="str">
        <f>IFERROR(INDEX(منتجات!$G$3:$G$114,MATCH(B1352,منتجات!$A$3:$A$115,0)),"")</f>
        <v/>
      </c>
      <c r="G1352" s="51" t="str">
        <f t="shared" si="22"/>
        <v/>
      </c>
      <c r="H1352" s="53"/>
    </row>
    <row r="1353" spans="1:8" x14ac:dyDescent="0.35">
      <c r="A1353" s="49"/>
      <c r="B1353" s="49"/>
      <c r="C1353" s="51" t="str">
        <f>IFERROR(VLOOKUP(B1353,منتجات!$A$3:$C$350,2,0),"")</f>
        <v/>
      </c>
      <c r="D1353" s="49" t="str">
        <f>IFERROR(VLOOKUP(B1353,منتجات!$A$3:$C$350,3,0),"")</f>
        <v/>
      </c>
      <c r="E1353" s="49"/>
      <c r="F1353" s="49" t="str">
        <f>IFERROR(INDEX(منتجات!$G$3:$G$114,MATCH(B1353,منتجات!$A$3:$A$115,0)),"")</f>
        <v/>
      </c>
      <c r="G1353" s="51" t="str">
        <f t="shared" si="22"/>
        <v/>
      </c>
      <c r="H1353" s="54"/>
    </row>
    <row r="1354" spans="1:8" x14ac:dyDescent="0.35">
      <c r="A1354" s="51"/>
      <c r="B1354" s="51"/>
      <c r="C1354" s="51" t="str">
        <f>IFERROR(VLOOKUP(B1354,منتجات!$A$3:$C$350,2,0),"")</f>
        <v/>
      </c>
      <c r="D1354" s="51" t="str">
        <f>IFERROR(VLOOKUP(B1354,منتجات!$A$3:$C$350,3,0),"")</f>
        <v/>
      </c>
      <c r="E1354" s="51"/>
      <c r="F1354" s="51" t="str">
        <f>IFERROR(INDEX(منتجات!$G$3:$G$114,MATCH(B1354,منتجات!$A$3:$A$115,0)),"")</f>
        <v/>
      </c>
      <c r="G1354" s="51" t="str">
        <f t="shared" si="22"/>
        <v/>
      </c>
      <c r="H1354" s="53"/>
    </row>
    <row r="1355" spans="1:8" x14ac:dyDescent="0.35">
      <c r="A1355" s="49"/>
      <c r="B1355" s="49"/>
      <c r="C1355" s="51" t="str">
        <f>IFERROR(VLOOKUP(B1355,منتجات!$A$3:$C$350,2,0),"")</f>
        <v/>
      </c>
      <c r="D1355" s="49" t="str">
        <f>IFERROR(VLOOKUP(B1355,منتجات!$A$3:$C$350,3,0),"")</f>
        <v/>
      </c>
      <c r="E1355" s="49"/>
      <c r="F1355" s="49" t="str">
        <f>IFERROR(INDEX(منتجات!$G$3:$G$114,MATCH(B1355,منتجات!$A$3:$A$115,0)),"")</f>
        <v/>
      </c>
      <c r="G1355" s="51" t="str">
        <f t="shared" si="22"/>
        <v/>
      </c>
      <c r="H1355" s="54"/>
    </row>
    <row r="1356" spans="1:8" x14ac:dyDescent="0.35">
      <c r="A1356" s="51"/>
      <c r="B1356" s="51"/>
      <c r="C1356" s="51" t="str">
        <f>IFERROR(VLOOKUP(B1356,منتجات!$A$3:$C$350,2,0),"")</f>
        <v/>
      </c>
      <c r="D1356" s="51" t="str">
        <f>IFERROR(VLOOKUP(B1356,منتجات!$A$3:$C$350,3,0),"")</f>
        <v/>
      </c>
      <c r="E1356" s="51"/>
      <c r="F1356" s="51" t="str">
        <f>IFERROR(INDEX(منتجات!$G$3:$G$114,MATCH(B1356,منتجات!$A$3:$A$115,0)),"")</f>
        <v/>
      </c>
      <c r="G1356" s="51" t="str">
        <f t="shared" si="22"/>
        <v/>
      </c>
      <c r="H1356" s="53"/>
    </row>
    <row r="1357" spans="1:8" x14ac:dyDescent="0.35">
      <c r="A1357" s="49"/>
      <c r="B1357" s="49"/>
      <c r="C1357" s="51" t="str">
        <f>IFERROR(VLOOKUP(B1357,منتجات!$A$3:$C$350,2,0),"")</f>
        <v/>
      </c>
      <c r="D1357" s="49" t="str">
        <f>IFERROR(VLOOKUP(B1357,منتجات!$A$3:$C$350,3,0),"")</f>
        <v/>
      </c>
      <c r="E1357" s="49"/>
      <c r="F1357" s="49" t="str">
        <f>IFERROR(INDEX(منتجات!$G$3:$G$114,MATCH(B1357,منتجات!$A$3:$A$115,0)),"")</f>
        <v/>
      </c>
      <c r="G1357" s="51" t="str">
        <f t="shared" si="22"/>
        <v/>
      </c>
      <c r="H1357" s="54"/>
    </row>
    <row r="1358" spans="1:8" x14ac:dyDescent="0.35">
      <c r="A1358" s="51"/>
      <c r="B1358" s="51"/>
      <c r="C1358" s="51" t="str">
        <f>IFERROR(VLOOKUP(B1358,منتجات!$A$3:$C$350,2,0),"")</f>
        <v/>
      </c>
      <c r="D1358" s="51" t="str">
        <f>IFERROR(VLOOKUP(B1358,منتجات!$A$3:$C$350,3,0),"")</f>
        <v/>
      </c>
      <c r="E1358" s="51"/>
      <c r="F1358" s="51" t="str">
        <f>IFERROR(INDEX(منتجات!$G$3:$G$114,MATCH(B1358,منتجات!$A$3:$A$115,0)),"")</f>
        <v/>
      </c>
      <c r="G1358" s="51" t="str">
        <f t="shared" ref="G1358:G1421" si="23">IFERROR(E1358*F1358*D1358,"")</f>
        <v/>
      </c>
      <c r="H1358" s="53"/>
    </row>
    <row r="1359" spans="1:8" x14ac:dyDescent="0.35">
      <c r="A1359" s="49"/>
      <c r="B1359" s="49"/>
      <c r="C1359" s="51" t="str">
        <f>IFERROR(VLOOKUP(B1359,منتجات!$A$3:$C$350,2,0),"")</f>
        <v/>
      </c>
      <c r="D1359" s="49" t="str">
        <f>IFERROR(VLOOKUP(B1359,منتجات!$A$3:$C$350,3,0),"")</f>
        <v/>
      </c>
      <c r="E1359" s="49"/>
      <c r="F1359" s="49" t="str">
        <f>IFERROR(INDEX(منتجات!$G$3:$G$114,MATCH(B1359,منتجات!$A$3:$A$115,0)),"")</f>
        <v/>
      </c>
      <c r="G1359" s="51" t="str">
        <f t="shared" si="23"/>
        <v/>
      </c>
      <c r="H1359" s="54"/>
    </row>
    <row r="1360" spans="1:8" x14ac:dyDescent="0.35">
      <c r="A1360" s="51"/>
      <c r="B1360" s="51"/>
      <c r="C1360" s="51" t="str">
        <f>IFERROR(VLOOKUP(B1360,منتجات!$A$3:$C$350,2,0),"")</f>
        <v/>
      </c>
      <c r="D1360" s="51" t="str">
        <f>IFERROR(VLOOKUP(B1360,منتجات!$A$3:$C$350,3,0),"")</f>
        <v/>
      </c>
      <c r="E1360" s="51"/>
      <c r="F1360" s="51" t="str">
        <f>IFERROR(INDEX(منتجات!$G$3:$G$114,MATCH(B1360,منتجات!$A$3:$A$115,0)),"")</f>
        <v/>
      </c>
      <c r="G1360" s="51" t="str">
        <f t="shared" si="23"/>
        <v/>
      </c>
      <c r="H1360" s="53"/>
    </row>
    <row r="1361" spans="1:8" x14ac:dyDescent="0.35">
      <c r="A1361" s="49"/>
      <c r="B1361" s="49"/>
      <c r="C1361" s="51" t="str">
        <f>IFERROR(VLOOKUP(B1361,منتجات!$A$3:$C$350,2,0),"")</f>
        <v/>
      </c>
      <c r="D1361" s="49" t="str">
        <f>IFERROR(VLOOKUP(B1361,منتجات!$A$3:$C$350,3,0),"")</f>
        <v/>
      </c>
      <c r="E1361" s="49"/>
      <c r="F1361" s="49" t="str">
        <f>IFERROR(INDEX(منتجات!$G$3:$G$114,MATCH(B1361,منتجات!$A$3:$A$115,0)),"")</f>
        <v/>
      </c>
      <c r="G1361" s="51" t="str">
        <f t="shared" si="23"/>
        <v/>
      </c>
      <c r="H1361" s="54"/>
    </row>
    <row r="1362" spans="1:8" x14ac:dyDescent="0.35">
      <c r="A1362" s="51"/>
      <c r="B1362" s="51"/>
      <c r="C1362" s="51" t="str">
        <f>IFERROR(VLOOKUP(B1362,منتجات!$A$3:$C$350,2,0),"")</f>
        <v/>
      </c>
      <c r="D1362" s="51" t="str">
        <f>IFERROR(VLOOKUP(B1362,منتجات!$A$3:$C$350,3,0),"")</f>
        <v/>
      </c>
      <c r="E1362" s="51"/>
      <c r="F1362" s="51" t="str">
        <f>IFERROR(INDEX(منتجات!$G$3:$G$114,MATCH(B1362,منتجات!$A$3:$A$115,0)),"")</f>
        <v/>
      </c>
      <c r="G1362" s="51" t="str">
        <f t="shared" si="23"/>
        <v/>
      </c>
      <c r="H1362" s="53"/>
    </row>
    <row r="1363" spans="1:8" x14ac:dyDescent="0.35">
      <c r="A1363" s="49"/>
      <c r="B1363" s="49"/>
      <c r="C1363" s="51" t="str">
        <f>IFERROR(VLOOKUP(B1363,منتجات!$A$3:$C$350,2,0),"")</f>
        <v/>
      </c>
      <c r="D1363" s="49" t="str">
        <f>IFERROR(VLOOKUP(B1363,منتجات!$A$3:$C$350,3,0),"")</f>
        <v/>
      </c>
      <c r="E1363" s="49"/>
      <c r="F1363" s="49" t="str">
        <f>IFERROR(INDEX(منتجات!$G$3:$G$114,MATCH(B1363,منتجات!$A$3:$A$115,0)),"")</f>
        <v/>
      </c>
      <c r="G1363" s="51" t="str">
        <f t="shared" si="23"/>
        <v/>
      </c>
      <c r="H1363" s="54"/>
    </row>
    <row r="1364" spans="1:8" x14ac:dyDescent="0.35">
      <c r="A1364" s="51"/>
      <c r="B1364" s="51"/>
      <c r="C1364" s="51" t="str">
        <f>IFERROR(VLOOKUP(B1364,منتجات!$A$3:$C$350,2,0),"")</f>
        <v/>
      </c>
      <c r="D1364" s="51" t="str">
        <f>IFERROR(VLOOKUP(B1364,منتجات!$A$3:$C$350,3,0),"")</f>
        <v/>
      </c>
      <c r="E1364" s="51"/>
      <c r="F1364" s="51" t="str">
        <f>IFERROR(INDEX(منتجات!$G$3:$G$114,MATCH(B1364,منتجات!$A$3:$A$115,0)),"")</f>
        <v/>
      </c>
      <c r="G1364" s="51" t="str">
        <f t="shared" si="23"/>
        <v/>
      </c>
      <c r="H1364" s="53"/>
    </row>
    <row r="1365" spans="1:8" x14ac:dyDescent="0.35">
      <c r="A1365" s="49"/>
      <c r="B1365" s="49"/>
      <c r="C1365" s="51" t="str">
        <f>IFERROR(VLOOKUP(B1365,منتجات!$A$3:$C$350,2,0),"")</f>
        <v/>
      </c>
      <c r="D1365" s="49" t="str">
        <f>IFERROR(VLOOKUP(B1365,منتجات!$A$3:$C$350,3,0),"")</f>
        <v/>
      </c>
      <c r="E1365" s="49"/>
      <c r="F1365" s="49" t="str">
        <f>IFERROR(INDEX(منتجات!$G$3:$G$114,MATCH(B1365,منتجات!$A$3:$A$115,0)),"")</f>
        <v/>
      </c>
      <c r="G1365" s="51" t="str">
        <f t="shared" si="23"/>
        <v/>
      </c>
      <c r="H1365" s="54"/>
    </row>
    <row r="1366" spans="1:8" x14ac:dyDescent="0.35">
      <c r="A1366" s="51"/>
      <c r="B1366" s="51"/>
      <c r="C1366" s="51" t="str">
        <f>IFERROR(VLOOKUP(B1366,منتجات!$A$3:$C$350,2,0),"")</f>
        <v/>
      </c>
      <c r="D1366" s="51" t="str">
        <f>IFERROR(VLOOKUP(B1366,منتجات!$A$3:$C$350,3,0),"")</f>
        <v/>
      </c>
      <c r="E1366" s="51"/>
      <c r="F1366" s="51" t="str">
        <f>IFERROR(INDEX(منتجات!$G$3:$G$114,MATCH(B1366,منتجات!$A$3:$A$115,0)),"")</f>
        <v/>
      </c>
      <c r="G1366" s="51" t="str">
        <f t="shared" si="23"/>
        <v/>
      </c>
      <c r="H1366" s="53"/>
    </row>
    <row r="1367" spans="1:8" x14ac:dyDescent="0.35">
      <c r="A1367" s="49"/>
      <c r="B1367" s="49"/>
      <c r="C1367" s="51" t="str">
        <f>IFERROR(VLOOKUP(B1367,منتجات!$A$3:$C$350,2,0),"")</f>
        <v/>
      </c>
      <c r="D1367" s="49" t="str">
        <f>IFERROR(VLOOKUP(B1367,منتجات!$A$3:$C$350,3,0),"")</f>
        <v/>
      </c>
      <c r="E1367" s="49"/>
      <c r="F1367" s="49" t="str">
        <f>IFERROR(INDEX(منتجات!$G$3:$G$114,MATCH(B1367,منتجات!$A$3:$A$115,0)),"")</f>
        <v/>
      </c>
      <c r="G1367" s="51" t="str">
        <f t="shared" si="23"/>
        <v/>
      </c>
      <c r="H1367" s="54"/>
    </row>
    <row r="1368" spans="1:8" x14ac:dyDescent="0.35">
      <c r="A1368" s="51"/>
      <c r="B1368" s="51"/>
      <c r="C1368" s="51" t="str">
        <f>IFERROR(VLOOKUP(B1368,منتجات!$A$3:$C$350,2,0),"")</f>
        <v/>
      </c>
      <c r="D1368" s="51" t="str">
        <f>IFERROR(VLOOKUP(B1368,منتجات!$A$3:$C$350,3,0),"")</f>
        <v/>
      </c>
      <c r="E1368" s="51"/>
      <c r="F1368" s="51" t="str">
        <f>IFERROR(INDEX(منتجات!$G$3:$G$114,MATCH(B1368,منتجات!$A$3:$A$115,0)),"")</f>
        <v/>
      </c>
      <c r="G1368" s="51" t="str">
        <f t="shared" si="23"/>
        <v/>
      </c>
      <c r="H1368" s="53"/>
    </row>
    <row r="1369" spans="1:8" x14ac:dyDescent="0.35">
      <c r="A1369" s="49"/>
      <c r="B1369" s="49"/>
      <c r="C1369" s="51" t="str">
        <f>IFERROR(VLOOKUP(B1369,منتجات!$A$3:$C$350,2,0),"")</f>
        <v/>
      </c>
      <c r="D1369" s="49" t="str">
        <f>IFERROR(VLOOKUP(B1369,منتجات!$A$3:$C$350,3,0),"")</f>
        <v/>
      </c>
      <c r="E1369" s="49"/>
      <c r="F1369" s="49" t="str">
        <f>IFERROR(INDEX(منتجات!$G$3:$G$114,MATCH(B1369,منتجات!$A$3:$A$115,0)),"")</f>
        <v/>
      </c>
      <c r="G1369" s="51" t="str">
        <f t="shared" si="23"/>
        <v/>
      </c>
      <c r="H1369" s="54"/>
    </row>
    <row r="1370" spans="1:8" x14ac:dyDescent="0.35">
      <c r="A1370" s="51"/>
      <c r="B1370" s="51"/>
      <c r="C1370" s="51" t="str">
        <f>IFERROR(VLOOKUP(B1370,منتجات!$A$3:$C$350,2,0),"")</f>
        <v/>
      </c>
      <c r="D1370" s="51" t="str">
        <f>IFERROR(VLOOKUP(B1370,منتجات!$A$3:$C$350,3,0),"")</f>
        <v/>
      </c>
      <c r="E1370" s="51"/>
      <c r="F1370" s="51" t="str">
        <f>IFERROR(INDEX(منتجات!$G$3:$G$114,MATCH(B1370,منتجات!$A$3:$A$115,0)),"")</f>
        <v/>
      </c>
      <c r="G1370" s="51" t="str">
        <f t="shared" si="23"/>
        <v/>
      </c>
      <c r="H1370" s="53"/>
    </row>
    <row r="1371" spans="1:8" x14ac:dyDescent="0.35">
      <c r="A1371" s="49"/>
      <c r="B1371" s="49"/>
      <c r="C1371" s="51" t="str">
        <f>IFERROR(VLOOKUP(B1371,منتجات!$A$3:$C$350,2,0),"")</f>
        <v/>
      </c>
      <c r="D1371" s="49" t="str">
        <f>IFERROR(VLOOKUP(B1371,منتجات!$A$3:$C$350,3,0),"")</f>
        <v/>
      </c>
      <c r="E1371" s="49"/>
      <c r="F1371" s="49" t="str">
        <f>IFERROR(INDEX(منتجات!$G$3:$G$114,MATCH(B1371,منتجات!$A$3:$A$115,0)),"")</f>
        <v/>
      </c>
      <c r="G1371" s="51" t="str">
        <f t="shared" si="23"/>
        <v/>
      </c>
      <c r="H1371" s="54"/>
    </row>
    <row r="1372" spans="1:8" x14ac:dyDescent="0.35">
      <c r="A1372" s="51"/>
      <c r="B1372" s="51"/>
      <c r="C1372" s="51" t="str">
        <f>IFERROR(VLOOKUP(B1372,منتجات!$A$3:$C$350,2,0),"")</f>
        <v/>
      </c>
      <c r="D1372" s="51" t="str">
        <f>IFERROR(VLOOKUP(B1372,منتجات!$A$3:$C$350,3,0),"")</f>
        <v/>
      </c>
      <c r="E1372" s="51"/>
      <c r="F1372" s="51" t="str">
        <f>IFERROR(INDEX(منتجات!$G$3:$G$114,MATCH(B1372,منتجات!$A$3:$A$115,0)),"")</f>
        <v/>
      </c>
      <c r="G1372" s="51" t="str">
        <f t="shared" si="23"/>
        <v/>
      </c>
      <c r="H1372" s="53"/>
    </row>
    <row r="1373" spans="1:8" x14ac:dyDescent="0.35">
      <c r="A1373" s="49"/>
      <c r="B1373" s="49"/>
      <c r="C1373" s="51" t="str">
        <f>IFERROR(VLOOKUP(B1373,منتجات!$A$3:$C$350,2,0),"")</f>
        <v/>
      </c>
      <c r="D1373" s="49" t="str">
        <f>IFERROR(VLOOKUP(B1373,منتجات!$A$3:$C$350,3,0),"")</f>
        <v/>
      </c>
      <c r="E1373" s="49"/>
      <c r="F1373" s="49" t="str">
        <f>IFERROR(INDEX(منتجات!$G$3:$G$114,MATCH(B1373,منتجات!$A$3:$A$115,0)),"")</f>
        <v/>
      </c>
      <c r="G1373" s="51" t="str">
        <f t="shared" si="23"/>
        <v/>
      </c>
      <c r="H1373" s="54"/>
    </row>
    <row r="1374" spans="1:8" x14ac:dyDescent="0.35">
      <c r="A1374" s="51"/>
      <c r="B1374" s="51"/>
      <c r="C1374" s="51" t="str">
        <f>IFERROR(VLOOKUP(B1374,منتجات!$A$3:$C$350,2,0),"")</f>
        <v/>
      </c>
      <c r="D1374" s="51" t="str">
        <f>IFERROR(VLOOKUP(B1374,منتجات!$A$3:$C$350,3,0),"")</f>
        <v/>
      </c>
      <c r="E1374" s="51"/>
      <c r="F1374" s="51" t="str">
        <f>IFERROR(INDEX(منتجات!$G$3:$G$114,MATCH(B1374,منتجات!$A$3:$A$115,0)),"")</f>
        <v/>
      </c>
      <c r="G1374" s="51" t="str">
        <f t="shared" si="23"/>
        <v/>
      </c>
      <c r="H1374" s="53"/>
    </row>
    <row r="1375" spans="1:8" x14ac:dyDescent="0.35">
      <c r="A1375" s="49"/>
      <c r="B1375" s="49"/>
      <c r="C1375" s="51" t="str">
        <f>IFERROR(VLOOKUP(B1375,منتجات!$A$3:$C$350,2,0),"")</f>
        <v/>
      </c>
      <c r="D1375" s="49" t="str">
        <f>IFERROR(VLOOKUP(B1375,منتجات!$A$3:$C$350,3,0),"")</f>
        <v/>
      </c>
      <c r="E1375" s="49"/>
      <c r="F1375" s="49" t="str">
        <f>IFERROR(INDEX(منتجات!$G$3:$G$114,MATCH(B1375,منتجات!$A$3:$A$115,0)),"")</f>
        <v/>
      </c>
      <c r="G1375" s="51" t="str">
        <f t="shared" si="23"/>
        <v/>
      </c>
      <c r="H1375" s="54"/>
    </row>
    <row r="1376" spans="1:8" x14ac:dyDescent="0.35">
      <c r="A1376" s="51"/>
      <c r="B1376" s="51"/>
      <c r="C1376" s="51" t="str">
        <f>IFERROR(VLOOKUP(B1376,منتجات!$A$3:$C$350,2,0),"")</f>
        <v/>
      </c>
      <c r="D1376" s="51" t="str">
        <f>IFERROR(VLOOKUP(B1376,منتجات!$A$3:$C$350,3,0),"")</f>
        <v/>
      </c>
      <c r="E1376" s="51"/>
      <c r="F1376" s="51" t="str">
        <f>IFERROR(INDEX(منتجات!$G$3:$G$114,MATCH(B1376,منتجات!$A$3:$A$115,0)),"")</f>
        <v/>
      </c>
      <c r="G1376" s="51" t="str">
        <f t="shared" si="23"/>
        <v/>
      </c>
      <c r="H1376" s="53"/>
    </row>
    <row r="1377" spans="1:8" x14ac:dyDescent="0.35">
      <c r="A1377" s="49"/>
      <c r="B1377" s="49"/>
      <c r="C1377" s="51" t="str">
        <f>IFERROR(VLOOKUP(B1377,منتجات!$A$3:$C$350,2,0),"")</f>
        <v/>
      </c>
      <c r="D1377" s="49" t="str">
        <f>IFERROR(VLOOKUP(B1377,منتجات!$A$3:$C$350,3,0),"")</f>
        <v/>
      </c>
      <c r="E1377" s="49"/>
      <c r="F1377" s="49" t="str">
        <f>IFERROR(INDEX(منتجات!$G$3:$G$114,MATCH(B1377,منتجات!$A$3:$A$115,0)),"")</f>
        <v/>
      </c>
      <c r="G1377" s="51" t="str">
        <f t="shared" si="23"/>
        <v/>
      </c>
      <c r="H1377" s="54"/>
    </row>
    <row r="1378" spans="1:8" x14ac:dyDescent="0.35">
      <c r="A1378" s="51"/>
      <c r="B1378" s="51"/>
      <c r="C1378" s="51" t="str">
        <f>IFERROR(VLOOKUP(B1378,منتجات!$A$3:$C$350,2,0),"")</f>
        <v/>
      </c>
      <c r="D1378" s="51" t="str">
        <f>IFERROR(VLOOKUP(B1378,منتجات!$A$3:$C$350,3,0),"")</f>
        <v/>
      </c>
      <c r="E1378" s="51"/>
      <c r="F1378" s="51" t="str">
        <f>IFERROR(INDEX(منتجات!$G$3:$G$114,MATCH(B1378,منتجات!$A$3:$A$115,0)),"")</f>
        <v/>
      </c>
      <c r="G1378" s="51" t="str">
        <f t="shared" si="23"/>
        <v/>
      </c>
      <c r="H1378" s="53"/>
    </row>
    <row r="1379" spans="1:8" x14ac:dyDescent="0.35">
      <c r="A1379" s="49"/>
      <c r="B1379" s="49"/>
      <c r="C1379" s="51" t="str">
        <f>IFERROR(VLOOKUP(B1379,منتجات!$A$3:$C$350,2,0),"")</f>
        <v/>
      </c>
      <c r="D1379" s="49" t="str">
        <f>IFERROR(VLOOKUP(B1379,منتجات!$A$3:$C$350,3,0),"")</f>
        <v/>
      </c>
      <c r="E1379" s="49"/>
      <c r="F1379" s="49" t="str">
        <f>IFERROR(INDEX(منتجات!$G$3:$G$114,MATCH(B1379,منتجات!$A$3:$A$115,0)),"")</f>
        <v/>
      </c>
      <c r="G1379" s="51" t="str">
        <f t="shared" si="23"/>
        <v/>
      </c>
      <c r="H1379" s="54"/>
    </row>
    <row r="1380" spans="1:8" x14ac:dyDescent="0.35">
      <c r="A1380" s="51"/>
      <c r="B1380" s="51"/>
      <c r="C1380" s="51" t="str">
        <f>IFERROR(VLOOKUP(B1380,منتجات!$A$3:$C$350,2,0),"")</f>
        <v/>
      </c>
      <c r="D1380" s="51" t="str">
        <f>IFERROR(VLOOKUP(B1380,منتجات!$A$3:$C$350,3,0),"")</f>
        <v/>
      </c>
      <c r="E1380" s="51"/>
      <c r="F1380" s="51" t="str">
        <f>IFERROR(INDEX(منتجات!$G$3:$G$114,MATCH(B1380,منتجات!$A$3:$A$115,0)),"")</f>
        <v/>
      </c>
      <c r="G1380" s="51" t="str">
        <f t="shared" si="23"/>
        <v/>
      </c>
      <c r="H1380" s="53"/>
    </row>
    <row r="1381" spans="1:8" x14ac:dyDescent="0.35">
      <c r="A1381" s="49"/>
      <c r="B1381" s="49"/>
      <c r="C1381" s="51" t="str">
        <f>IFERROR(VLOOKUP(B1381,منتجات!$A$3:$C$350,2,0),"")</f>
        <v/>
      </c>
      <c r="D1381" s="49" t="str">
        <f>IFERROR(VLOOKUP(B1381,منتجات!$A$3:$C$350,3,0),"")</f>
        <v/>
      </c>
      <c r="E1381" s="49"/>
      <c r="F1381" s="49" t="str">
        <f>IFERROR(INDEX(منتجات!$G$3:$G$114,MATCH(B1381,منتجات!$A$3:$A$115,0)),"")</f>
        <v/>
      </c>
      <c r="G1381" s="51" t="str">
        <f t="shared" si="23"/>
        <v/>
      </c>
      <c r="H1381" s="54"/>
    </row>
    <row r="1382" spans="1:8" x14ac:dyDescent="0.35">
      <c r="A1382" s="51"/>
      <c r="B1382" s="51"/>
      <c r="C1382" s="51" t="str">
        <f>IFERROR(VLOOKUP(B1382,منتجات!$A$3:$C$350,2,0),"")</f>
        <v/>
      </c>
      <c r="D1382" s="51" t="str">
        <f>IFERROR(VLOOKUP(B1382,منتجات!$A$3:$C$350,3,0),"")</f>
        <v/>
      </c>
      <c r="E1382" s="51"/>
      <c r="F1382" s="51" t="str">
        <f>IFERROR(INDEX(منتجات!$G$3:$G$114,MATCH(B1382,منتجات!$A$3:$A$115,0)),"")</f>
        <v/>
      </c>
      <c r="G1382" s="51" t="str">
        <f t="shared" si="23"/>
        <v/>
      </c>
      <c r="H1382" s="53"/>
    </row>
    <row r="1383" spans="1:8" x14ac:dyDescent="0.35">
      <c r="A1383" s="49"/>
      <c r="B1383" s="49"/>
      <c r="C1383" s="51" t="str">
        <f>IFERROR(VLOOKUP(B1383,منتجات!$A$3:$C$350,2,0),"")</f>
        <v/>
      </c>
      <c r="D1383" s="49" t="str">
        <f>IFERROR(VLOOKUP(B1383,منتجات!$A$3:$C$350,3,0),"")</f>
        <v/>
      </c>
      <c r="E1383" s="49"/>
      <c r="F1383" s="49" t="str">
        <f>IFERROR(INDEX(منتجات!$G$3:$G$114,MATCH(B1383,منتجات!$A$3:$A$115,0)),"")</f>
        <v/>
      </c>
      <c r="G1383" s="51" t="str">
        <f t="shared" si="23"/>
        <v/>
      </c>
      <c r="H1383" s="54"/>
    </row>
    <row r="1384" spans="1:8" x14ac:dyDescent="0.35">
      <c r="A1384" s="51"/>
      <c r="B1384" s="51"/>
      <c r="C1384" s="51" t="str">
        <f>IFERROR(VLOOKUP(B1384,منتجات!$A$3:$C$350,2,0),"")</f>
        <v/>
      </c>
      <c r="D1384" s="51" t="str">
        <f>IFERROR(VLOOKUP(B1384,منتجات!$A$3:$C$350,3,0),"")</f>
        <v/>
      </c>
      <c r="E1384" s="51"/>
      <c r="F1384" s="51" t="str">
        <f>IFERROR(INDEX(منتجات!$G$3:$G$114,MATCH(B1384,منتجات!$A$3:$A$115,0)),"")</f>
        <v/>
      </c>
      <c r="G1384" s="51" t="str">
        <f t="shared" si="23"/>
        <v/>
      </c>
      <c r="H1384" s="53"/>
    </row>
    <row r="1385" spans="1:8" x14ac:dyDescent="0.35">
      <c r="A1385" s="49"/>
      <c r="B1385" s="49"/>
      <c r="C1385" s="51" t="str">
        <f>IFERROR(VLOOKUP(B1385,منتجات!$A$3:$C$350,2,0),"")</f>
        <v/>
      </c>
      <c r="D1385" s="49" t="str">
        <f>IFERROR(VLOOKUP(B1385,منتجات!$A$3:$C$350,3,0),"")</f>
        <v/>
      </c>
      <c r="E1385" s="49"/>
      <c r="F1385" s="49" t="str">
        <f>IFERROR(INDEX(منتجات!$G$3:$G$114,MATCH(B1385,منتجات!$A$3:$A$115,0)),"")</f>
        <v/>
      </c>
      <c r="G1385" s="51" t="str">
        <f t="shared" si="23"/>
        <v/>
      </c>
      <c r="H1385" s="54"/>
    </row>
    <row r="1386" spans="1:8" x14ac:dyDescent="0.35">
      <c r="A1386" s="51"/>
      <c r="B1386" s="51"/>
      <c r="C1386" s="51" t="str">
        <f>IFERROR(VLOOKUP(B1386,منتجات!$A$3:$C$350,2,0),"")</f>
        <v/>
      </c>
      <c r="D1386" s="51" t="str">
        <f>IFERROR(VLOOKUP(B1386,منتجات!$A$3:$C$350,3,0),"")</f>
        <v/>
      </c>
      <c r="E1386" s="51"/>
      <c r="F1386" s="51" t="str">
        <f>IFERROR(INDEX(منتجات!$G$3:$G$114,MATCH(B1386,منتجات!$A$3:$A$115,0)),"")</f>
        <v/>
      </c>
      <c r="G1386" s="51" t="str">
        <f t="shared" si="23"/>
        <v/>
      </c>
      <c r="H1386" s="53"/>
    </row>
    <row r="1387" spans="1:8" x14ac:dyDescent="0.35">
      <c r="A1387" s="49"/>
      <c r="B1387" s="49"/>
      <c r="C1387" s="51" t="str">
        <f>IFERROR(VLOOKUP(B1387,منتجات!$A$3:$C$350,2,0),"")</f>
        <v/>
      </c>
      <c r="D1387" s="49" t="str">
        <f>IFERROR(VLOOKUP(B1387,منتجات!$A$3:$C$350,3,0),"")</f>
        <v/>
      </c>
      <c r="E1387" s="49"/>
      <c r="F1387" s="49" t="str">
        <f>IFERROR(INDEX(منتجات!$G$3:$G$114,MATCH(B1387,منتجات!$A$3:$A$115,0)),"")</f>
        <v/>
      </c>
      <c r="G1387" s="51" t="str">
        <f t="shared" si="23"/>
        <v/>
      </c>
      <c r="H1387" s="54"/>
    </row>
    <row r="1388" spans="1:8" x14ac:dyDescent="0.35">
      <c r="A1388" s="51"/>
      <c r="B1388" s="51"/>
      <c r="C1388" s="51" t="str">
        <f>IFERROR(VLOOKUP(B1388,منتجات!$A$3:$C$350,2,0),"")</f>
        <v/>
      </c>
      <c r="D1388" s="51" t="str">
        <f>IFERROR(VLOOKUP(B1388,منتجات!$A$3:$C$350,3,0),"")</f>
        <v/>
      </c>
      <c r="E1388" s="51"/>
      <c r="F1388" s="51" t="str">
        <f>IFERROR(INDEX(منتجات!$G$3:$G$114,MATCH(B1388,منتجات!$A$3:$A$115,0)),"")</f>
        <v/>
      </c>
      <c r="G1388" s="51" t="str">
        <f t="shared" si="23"/>
        <v/>
      </c>
      <c r="H1388" s="53"/>
    </row>
    <row r="1389" spans="1:8" x14ac:dyDescent="0.35">
      <c r="A1389" s="49"/>
      <c r="B1389" s="49"/>
      <c r="C1389" s="51" t="str">
        <f>IFERROR(VLOOKUP(B1389,منتجات!$A$3:$C$350,2,0),"")</f>
        <v/>
      </c>
      <c r="D1389" s="49" t="str">
        <f>IFERROR(VLOOKUP(B1389,منتجات!$A$3:$C$350,3,0),"")</f>
        <v/>
      </c>
      <c r="E1389" s="49"/>
      <c r="F1389" s="49" t="str">
        <f>IFERROR(INDEX(منتجات!$G$3:$G$114,MATCH(B1389,منتجات!$A$3:$A$115,0)),"")</f>
        <v/>
      </c>
      <c r="G1389" s="51" t="str">
        <f t="shared" si="23"/>
        <v/>
      </c>
      <c r="H1389" s="54"/>
    </row>
    <row r="1390" spans="1:8" x14ac:dyDescent="0.35">
      <c r="A1390" s="51"/>
      <c r="B1390" s="51"/>
      <c r="C1390" s="51" t="str">
        <f>IFERROR(VLOOKUP(B1390,منتجات!$A$3:$C$350,2,0),"")</f>
        <v/>
      </c>
      <c r="D1390" s="51" t="str">
        <f>IFERROR(VLOOKUP(B1390,منتجات!$A$3:$C$350,3,0),"")</f>
        <v/>
      </c>
      <c r="E1390" s="51"/>
      <c r="F1390" s="51" t="str">
        <f>IFERROR(INDEX(منتجات!$G$3:$G$114,MATCH(B1390,منتجات!$A$3:$A$115,0)),"")</f>
        <v/>
      </c>
      <c r="G1390" s="51" t="str">
        <f t="shared" si="23"/>
        <v/>
      </c>
      <c r="H1390" s="53"/>
    </row>
    <row r="1391" spans="1:8" x14ac:dyDescent="0.35">
      <c r="A1391" s="49"/>
      <c r="B1391" s="49"/>
      <c r="C1391" s="51" t="str">
        <f>IFERROR(VLOOKUP(B1391,منتجات!$A$3:$C$350,2,0),"")</f>
        <v/>
      </c>
      <c r="D1391" s="49" t="str">
        <f>IFERROR(VLOOKUP(B1391,منتجات!$A$3:$C$350,3,0),"")</f>
        <v/>
      </c>
      <c r="E1391" s="49"/>
      <c r="F1391" s="49" t="str">
        <f>IFERROR(INDEX(منتجات!$G$3:$G$114,MATCH(B1391,منتجات!$A$3:$A$115,0)),"")</f>
        <v/>
      </c>
      <c r="G1391" s="51" t="str">
        <f t="shared" si="23"/>
        <v/>
      </c>
      <c r="H1391" s="54"/>
    </row>
    <row r="1392" spans="1:8" x14ac:dyDescent="0.35">
      <c r="A1392" s="51"/>
      <c r="B1392" s="51"/>
      <c r="C1392" s="51" t="str">
        <f>IFERROR(VLOOKUP(B1392,منتجات!$A$3:$C$350,2,0),"")</f>
        <v/>
      </c>
      <c r="D1392" s="51" t="str">
        <f>IFERROR(VLOOKUP(B1392,منتجات!$A$3:$C$350,3,0),"")</f>
        <v/>
      </c>
      <c r="E1392" s="51"/>
      <c r="F1392" s="51" t="str">
        <f>IFERROR(INDEX(منتجات!$G$3:$G$114,MATCH(B1392,منتجات!$A$3:$A$115,0)),"")</f>
        <v/>
      </c>
      <c r="G1392" s="51" t="str">
        <f t="shared" si="23"/>
        <v/>
      </c>
      <c r="H1392" s="53"/>
    </row>
    <row r="1393" spans="1:8" x14ac:dyDescent="0.35">
      <c r="A1393" s="49"/>
      <c r="B1393" s="49"/>
      <c r="C1393" s="51" t="str">
        <f>IFERROR(VLOOKUP(B1393,منتجات!$A$3:$C$350,2,0),"")</f>
        <v/>
      </c>
      <c r="D1393" s="49" t="str">
        <f>IFERROR(VLOOKUP(B1393,منتجات!$A$3:$C$350,3,0),"")</f>
        <v/>
      </c>
      <c r="E1393" s="49"/>
      <c r="F1393" s="49" t="str">
        <f>IFERROR(INDEX(منتجات!$G$3:$G$114,MATCH(B1393,منتجات!$A$3:$A$115,0)),"")</f>
        <v/>
      </c>
      <c r="G1393" s="51" t="str">
        <f t="shared" si="23"/>
        <v/>
      </c>
      <c r="H1393" s="54"/>
    </row>
    <row r="1394" spans="1:8" x14ac:dyDescent="0.35">
      <c r="A1394" s="51"/>
      <c r="B1394" s="51"/>
      <c r="C1394" s="51" t="str">
        <f>IFERROR(VLOOKUP(B1394,منتجات!$A$3:$C$350,2,0),"")</f>
        <v/>
      </c>
      <c r="D1394" s="51" t="str">
        <f>IFERROR(VLOOKUP(B1394,منتجات!$A$3:$C$350,3,0),"")</f>
        <v/>
      </c>
      <c r="E1394" s="51"/>
      <c r="F1394" s="51" t="str">
        <f>IFERROR(INDEX(منتجات!$G$3:$G$114,MATCH(B1394,منتجات!$A$3:$A$115,0)),"")</f>
        <v/>
      </c>
      <c r="G1394" s="51" t="str">
        <f t="shared" si="23"/>
        <v/>
      </c>
      <c r="H1394" s="53"/>
    </row>
    <row r="1395" spans="1:8" x14ac:dyDescent="0.35">
      <c r="A1395" s="49"/>
      <c r="B1395" s="49"/>
      <c r="C1395" s="51" t="str">
        <f>IFERROR(VLOOKUP(B1395,منتجات!$A$3:$C$350,2,0),"")</f>
        <v/>
      </c>
      <c r="D1395" s="49" t="str">
        <f>IFERROR(VLOOKUP(B1395,منتجات!$A$3:$C$350,3,0),"")</f>
        <v/>
      </c>
      <c r="E1395" s="49"/>
      <c r="F1395" s="49" t="str">
        <f>IFERROR(INDEX(منتجات!$G$3:$G$114,MATCH(B1395,منتجات!$A$3:$A$115,0)),"")</f>
        <v/>
      </c>
      <c r="G1395" s="51" t="str">
        <f t="shared" si="23"/>
        <v/>
      </c>
      <c r="H1395" s="54"/>
    </row>
    <row r="1396" spans="1:8" x14ac:dyDescent="0.35">
      <c r="A1396" s="51"/>
      <c r="B1396" s="51"/>
      <c r="C1396" s="51" t="str">
        <f>IFERROR(VLOOKUP(B1396,منتجات!$A$3:$C$350,2,0),"")</f>
        <v/>
      </c>
      <c r="D1396" s="51" t="str">
        <f>IFERROR(VLOOKUP(B1396,منتجات!$A$3:$C$350,3,0),"")</f>
        <v/>
      </c>
      <c r="E1396" s="51"/>
      <c r="F1396" s="51" t="str">
        <f>IFERROR(INDEX(منتجات!$G$3:$G$114,MATCH(B1396,منتجات!$A$3:$A$115,0)),"")</f>
        <v/>
      </c>
      <c r="G1396" s="51" t="str">
        <f t="shared" si="23"/>
        <v/>
      </c>
      <c r="H1396" s="53"/>
    </row>
    <row r="1397" spans="1:8" x14ac:dyDescent="0.35">
      <c r="A1397" s="49"/>
      <c r="B1397" s="49"/>
      <c r="C1397" s="51" t="str">
        <f>IFERROR(VLOOKUP(B1397,منتجات!$A$3:$C$350,2,0),"")</f>
        <v/>
      </c>
      <c r="D1397" s="49" t="str">
        <f>IFERROR(VLOOKUP(B1397,منتجات!$A$3:$C$350,3,0),"")</f>
        <v/>
      </c>
      <c r="E1397" s="49"/>
      <c r="F1397" s="49" t="str">
        <f>IFERROR(INDEX(منتجات!$G$3:$G$114,MATCH(B1397,منتجات!$A$3:$A$115,0)),"")</f>
        <v/>
      </c>
      <c r="G1397" s="51" t="str">
        <f t="shared" si="23"/>
        <v/>
      </c>
      <c r="H1397" s="54"/>
    </row>
    <row r="1398" spans="1:8" x14ac:dyDescent="0.35">
      <c r="A1398" s="51"/>
      <c r="B1398" s="51"/>
      <c r="C1398" s="51" t="str">
        <f>IFERROR(VLOOKUP(B1398,منتجات!$A$3:$C$350,2,0),"")</f>
        <v/>
      </c>
      <c r="D1398" s="51" t="str">
        <f>IFERROR(VLOOKUP(B1398,منتجات!$A$3:$C$350,3,0),"")</f>
        <v/>
      </c>
      <c r="E1398" s="51"/>
      <c r="F1398" s="51" t="str">
        <f>IFERROR(INDEX(منتجات!$G$3:$G$114,MATCH(B1398,منتجات!$A$3:$A$115,0)),"")</f>
        <v/>
      </c>
      <c r="G1398" s="51" t="str">
        <f t="shared" si="23"/>
        <v/>
      </c>
      <c r="H1398" s="53"/>
    </row>
    <row r="1399" spans="1:8" x14ac:dyDescent="0.35">
      <c r="A1399" s="49"/>
      <c r="B1399" s="49"/>
      <c r="C1399" s="51" t="str">
        <f>IFERROR(VLOOKUP(B1399,منتجات!$A$3:$C$350,2,0),"")</f>
        <v/>
      </c>
      <c r="D1399" s="49" t="str">
        <f>IFERROR(VLOOKUP(B1399,منتجات!$A$3:$C$350,3,0),"")</f>
        <v/>
      </c>
      <c r="E1399" s="49"/>
      <c r="F1399" s="49" t="str">
        <f>IFERROR(INDEX(منتجات!$G$3:$G$114,MATCH(B1399,منتجات!$A$3:$A$115,0)),"")</f>
        <v/>
      </c>
      <c r="G1399" s="51" t="str">
        <f t="shared" si="23"/>
        <v/>
      </c>
      <c r="H1399" s="54"/>
    </row>
    <row r="1400" spans="1:8" x14ac:dyDescent="0.35">
      <c r="A1400" s="51"/>
      <c r="B1400" s="51"/>
      <c r="C1400" s="51" t="str">
        <f>IFERROR(VLOOKUP(B1400,منتجات!$A$3:$C$350,2,0),"")</f>
        <v/>
      </c>
      <c r="D1400" s="51" t="str">
        <f>IFERROR(VLOOKUP(B1400,منتجات!$A$3:$C$350,3,0),"")</f>
        <v/>
      </c>
      <c r="E1400" s="51"/>
      <c r="F1400" s="51" t="str">
        <f>IFERROR(INDEX(منتجات!$G$3:$G$114,MATCH(B1400,منتجات!$A$3:$A$115,0)),"")</f>
        <v/>
      </c>
      <c r="G1400" s="51" t="str">
        <f t="shared" si="23"/>
        <v/>
      </c>
      <c r="H1400" s="53"/>
    </row>
    <row r="1401" spans="1:8" x14ac:dyDescent="0.35">
      <c r="A1401" s="49"/>
      <c r="B1401" s="49"/>
      <c r="C1401" s="51" t="str">
        <f>IFERROR(VLOOKUP(B1401,منتجات!$A$3:$C$350,2,0),"")</f>
        <v/>
      </c>
      <c r="D1401" s="49" t="str">
        <f>IFERROR(VLOOKUP(B1401,منتجات!$A$3:$C$350,3,0),"")</f>
        <v/>
      </c>
      <c r="E1401" s="49"/>
      <c r="F1401" s="49" t="str">
        <f>IFERROR(INDEX(منتجات!$G$3:$G$114,MATCH(B1401,منتجات!$A$3:$A$115,0)),"")</f>
        <v/>
      </c>
      <c r="G1401" s="51" t="str">
        <f t="shared" si="23"/>
        <v/>
      </c>
      <c r="H1401" s="54"/>
    </row>
    <row r="1402" spans="1:8" x14ac:dyDescent="0.35">
      <c r="A1402" s="51"/>
      <c r="B1402" s="51"/>
      <c r="C1402" s="51" t="str">
        <f>IFERROR(VLOOKUP(B1402,منتجات!$A$3:$C$350,2,0),"")</f>
        <v/>
      </c>
      <c r="D1402" s="51" t="str">
        <f>IFERROR(VLOOKUP(B1402,منتجات!$A$3:$C$350,3,0),"")</f>
        <v/>
      </c>
      <c r="E1402" s="51"/>
      <c r="F1402" s="51" t="str">
        <f>IFERROR(INDEX(منتجات!$G$3:$G$114,MATCH(B1402,منتجات!$A$3:$A$115,0)),"")</f>
        <v/>
      </c>
      <c r="G1402" s="51" t="str">
        <f t="shared" si="23"/>
        <v/>
      </c>
      <c r="H1402" s="53"/>
    </row>
    <row r="1403" spans="1:8" x14ac:dyDescent="0.35">
      <c r="A1403" s="49"/>
      <c r="B1403" s="49"/>
      <c r="C1403" s="51" t="str">
        <f>IFERROR(VLOOKUP(B1403,منتجات!$A$3:$C$350,2,0),"")</f>
        <v/>
      </c>
      <c r="D1403" s="49" t="str">
        <f>IFERROR(VLOOKUP(B1403,منتجات!$A$3:$C$350,3,0),"")</f>
        <v/>
      </c>
      <c r="E1403" s="49"/>
      <c r="F1403" s="49" t="str">
        <f>IFERROR(INDEX(منتجات!$G$3:$G$114,MATCH(B1403,منتجات!$A$3:$A$115,0)),"")</f>
        <v/>
      </c>
      <c r="G1403" s="51" t="str">
        <f t="shared" si="23"/>
        <v/>
      </c>
      <c r="H1403" s="54"/>
    </row>
    <row r="1404" spans="1:8" x14ac:dyDescent="0.35">
      <c r="A1404" s="51"/>
      <c r="B1404" s="51"/>
      <c r="C1404" s="51" t="str">
        <f>IFERROR(VLOOKUP(B1404,منتجات!$A$3:$C$350,2,0),"")</f>
        <v/>
      </c>
      <c r="D1404" s="51" t="str">
        <f>IFERROR(VLOOKUP(B1404,منتجات!$A$3:$C$350,3,0),"")</f>
        <v/>
      </c>
      <c r="E1404" s="51"/>
      <c r="F1404" s="51" t="str">
        <f>IFERROR(INDEX(منتجات!$G$3:$G$114,MATCH(B1404,منتجات!$A$3:$A$115,0)),"")</f>
        <v/>
      </c>
      <c r="G1404" s="51" t="str">
        <f t="shared" si="23"/>
        <v/>
      </c>
      <c r="H1404" s="53"/>
    </row>
    <row r="1405" spans="1:8" x14ac:dyDescent="0.35">
      <c r="A1405" s="49"/>
      <c r="B1405" s="49"/>
      <c r="C1405" s="51" t="str">
        <f>IFERROR(VLOOKUP(B1405,منتجات!$A$3:$C$350,2,0),"")</f>
        <v/>
      </c>
      <c r="D1405" s="49" t="str">
        <f>IFERROR(VLOOKUP(B1405,منتجات!$A$3:$C$350,3,0),"")</f>
        <v/>
      </c>
      <c r="E1405" s="49"/>
      <c r="F1405" s="49" t="str">
        <f>IFERROR(INDEX(منتجات!$G$3:$G$114,MATCH(B1405,منتجات!$A$3:$A$115,0)),"")</f>
        <v/>
      </c>
      <c r="G1405" s="51" t="str">
        <f t="shared" si="23"/>
        <v/>
      </c>
      <c r="H1405" s="54"/>
    </row>
    <row r="1406" spans="1:8" x14ac:dyDescent="0.35">
      <c r="A1406" s="51"/>
      <c r="B1406" s="51"/>
      <c r="C1406" s="51" t="str">
        <f>IFERROR(VLOOKUP(B1406,منتجات!$A$3:$C$350,2,0),"")</f>
        <v/>
      </c>
      <c r="D1406" s="51" t="str">
        <f>IFERROR(VLOOKUP(B1406,منتجات!$A$3:$C$350,3,0),"")</f>
        <v/>
      </c>
      <c r="E1406" s="51"/>
      <c r="F1406" s="51" t="str">
        <f>IFERROR(INDEX(منتجات!$G$3:$G$114,MATCH(B1406,منتجات!$A$3:$A$115,0)),"")</f>
        <v/>
      </c>
      <c r="G1406" s="51" t="str">
        <f t="shared" si="23"/>
        <v/>
      </c>
      <c r="H1406" s="53"/>
    </row>
    <row r="1407" spans="1:8" x14ac:dyDescent="0.35">
      <c r="A1407" s="49"/>
      <c r="B1407" s="49"/>
      <c r="C1407" s="51" t="str">
        <f>IFERROR(VLOOKUP(B1407,منتجات!$A$3:$C$350,2,0),"")</f>
        <v/>
      </c>
      <c r="D1407" s="49" t="str">
        <f>IFERROR(VLOOKUP(B1407,منتجات!$A$3:$C$350,3,0),"")</f>
        <v/>
      </c>
      <c r="E1407" s="49"/>
      <c r="F1407" s="49" t="str">
        <f>IFERROR(INDEX(منتجات!$G$3:$G$114,MATCH(B1407,منتجات!$A$3:$A$115,0)),"")</f>
        <v/>
      </c>
      <c r="G1407" s="51" t="str">
        <f t="shared" si="23"/>
        <v/>
      </c>
      <c r="H1407" s="54"/>
    </row>
    <row r="1408" spans="1:8" x14ac:dyDescent="0.35">
      <c r="A1408" s="51"/>
      <c r="B1408" s="51"/>
      <c r="C1408" s="51" t="str">
        <f>IFERROR(VLOOKUP(B1408,منتجات!$A$3:$C$350,2,0),"")</f>
        <v/>
      </c>
      <c r="D1408" s="51" t="str">
        <f>IFERROR(VLOOKUP(B1408,منتجات!$A$3:$C$350,3,0),"")</f>
        <v/>
      </c>
      <c r="E1408" s="51"/>
      <c r="F1408" s="51" t="str">
        <f>IFERROR(INDEX(منتجات!$G$3:$G$114,MATCH(B1408,منتجات!$A$3:$A$115,0)),"")</f>
        <v/>
      </c>
      <c r="G1408" s="51" t="str">
        <f t="shared" si="23"/>
        <v/>
      </c>
      <c r="H1408" s="53"/>
    </row>
    <row r="1409" spans="1:8" x14ac:dyDescent="0.35">
      <c r="A1409" s="49"/>
      <c r="B1409" s="49"/>
      <c r="C1409" s="51" t="str">
        <f>IFERROR(VLOOKUP(B1409,منتجات!$A$3:$C$350,2,0),"")</f>
        <v/>
      </c>
      <c r="D1409" s="49" t="str">
        <f>IFERROR(VLOOKUP(B1409,منتجات!$A$3:$C$350,3,0),"")</f>
        <v/>
      </c>
      <c r="E1409" s="49"/>
      <c r="F1409" s="49" t="str">
        <f>IFERROR(INDEX(منتجات!$G$3:$G$114,MATCH(B1409,منتجات!$A$3:$A$115,0)),"")</f>
        <v/>
      </c>
      <c r="G1409" s="51" t="str">
        <f t="shared" si="23"/>
        <v/>
      </c>
      <c r="H1409" s="54"/>
    </row>
    <row r="1410" spans="1:8" x14ac:dyDescent="0.35">
      <c r="A1410" s="51"/>
      <c r="B1410" s="51"/>
      <c r="C1410" s="51" t="str">
        <f>IFERROR(VLOOKUP(B1410,منتجات!$A$3:$C$350,2,0),"")</f>
        <v/>
      </c>
      <c r="D1410" s="51" t="str">
        <f>IFERROR(VLOOKUP(B1410,منتجات!$A$3:$C$350,3,0),"")</f>
        <v/>
      </c>
      <c r="E1410" s="51"/>
      <c r="F1410" s="51" t="str">
        <f>IFERROR(INDEX(منتجات!$G$3:$G$114,MATCH(B1410,منتجات!$A$3:$A$115,0)),"")</f>
        <v/>
      </c>
      <c r="G1410" s="51" t="str">
        <f t="shared" si="23"/>
        <v/>
      </c>
      <c r="H1410" s="53"/>
    </row>
    <row r="1411" spans="1:8" x14ac:dyDescent="0.35">
      <c r="A1411" s="49"/>
      <c r="B1411" s="49"/>
      <c r="C1411" s="51" t="str">
        <f>IFERROR(VLOOKUP(B1411,منتجات!$A$3:$C$350,2,0),"")</f>
        <v/>
      </c>
      <c r="D1411" s="49" t="str">
        <f>IFERROR(VLOOKUP(B1411,منتجات!$A$3:$C$350,3,0),"")</f>
        <v/>
      </c>
      <c r="E1411" s="49"/>
      <c r="F1411" s="49" t="str">
        <f>IFERROR(INDEX(منتجات!$G$3:$G$114,MATCH(B1411,منتجات!$A$3:$A$115,0)),"")</f>
        <v/>
      </c>
      <c r="G1411" s="51" t="str">
        <f t="shared" si="23"/>
        <v/>
      </c>
      <c r="H1411" s="54"/>
    </row>
    <row r="1412" spans="1:8" x14ac:dyDescent="0.35">
      <c r="A1412" s="51"/>
      <c r="B1412" s="51"/>
      <c r="C1412" s="51" t="str">
        <f>IFERROR(VLOOKUP(B1412,منتجات!$A$3:$C$350,2,0),"")</f>
        <v/>
      </c>
      <c r="D1412" s="51" t="str">
        <f>IFERROR(VLOOKUP(B1412,منتجات!$A$3:$C$350,3,0),"")</f>
        <v/>
      </c>
      <c r="E1412" s="51"/>
      <c r="F1412" s="51" t="str">
        <f>IFERROR(INDEX(منتجات!$G$3:$G$114,MATCH(B1412,منتجات!$A$3:$A$115,0)),"")</f>
        <v/>
      </c>
      <c r="G1412" s="51" t="str">
        <f t="shared" si="23"/>
        <v/>
      </c>
      <c r="H1412" s="53"/>
    </row>
    <row r="1413" spans="1:8" x14ac:dyDescent="0.35">
      <c r="A1413" s="49"/>
      <c r="B1413" s="49"/>
      <c r="C1413" s="51" t="str">
        <f>IFERROR(VLOOKUP(B1413,منتجات!$A$3:$C$350,2,0),"")</f>
        <v/>
      </c>
      <c r="D1413" s="49" t="str">
        <f>IFERROR(VLOOKUP(B1413,منتجات!$A$3:$C$350,3,0),"")</f>
        <v/>
      </c>
      <c r="E1413" s="49"/>
      <c r="F1413" s="49" t="str">
        <f>IFERROR(INDEX(منتجات!$G$3:$G$114,MATCH(B1413,منتجات!$A$3:$A$115,0)),"")</f>
        <v/>
      </c>
      <c r="G1413" s="51" t="str">
        <f t="shared" si="23"/>
        <v/>
      </c>
      <c r="H1413" s="54"/>
    </row>
    <row r="1414" spans="1:8" x14ac:dyDescent="0.35">
      <c r="A1414" s="51"/>
      <c r="B1414" s="51"/>
      <c r="C1414" s="51" t="str">
        <f>IFERROR(VLOOKUP(B1414,منتجات!$A$3:$C$350,2,0),"")</f>
        <v/>
      </c>
      <c r="D1414" s="51" t="str">
        <f>IFERROR(VLOOKUP(B1414,منتجات!$A$3:$C$350,3,0),"")</f>
        <v/>
      </c>
      <c r="E1414" s="51"/>
      <c r="F1414" s="51" t="str">
        <f>IFERROR(INDEX(منتجات!$G$3:$G$114,MATCH(B1414,منتجات!$A$3:$A$115,0)),"")</f>
        <v/>
      </c>
      <c r="G1414" s="51" t="str">
        <f t="shared" si="23"/>
        <v/>
      </c>
      <c r="H1414" s="53"/>
    </row>
    <row r="1415" spans="1:8" x14ac:dyDescent="0.35">
      <c r="A1415" s="49"/>
      <c r="B1415" s="49"/>
      <c r="C1415" s="51" t="str">
        <f>IFERROR(VLOOKUP(B1415,منتجات!$A$3:$C$350,2,0),"")</f>
        <v/>
      </c>
      <c r="D1415" s="49" t="str">
        <f>IFERROR(VLOOKUP(B1415,منتجات!$A$3:$C$350,3,0),"")</f>
        <v/>
      </c>
      <c r="E1415" s="49"/>
      <c r="F1415" s="49" t="str">
        <f>IFERROR(INDEX(منتجات!$G$3:$G$114,MATCH(B1415,منتجات!$A$3:$A$115,0)),"")</f>
        <v/>
      </c>
      <c r="G1415" s="51" t="str">
        <f t="shared" si="23"/>
        <v/>
      </c>
      <c r="H1415" s="54"/>
    </row>
    <row r="1416" spans="1:8" x14ac:dyDescent="0.35">
      <c r="A1416" s="51"/>
      <c r="B1416" s="51"/>
      <c r="C1416" s="51" t="str">
        <f>IFERROR(VLOOKUP(B1416,منتجات!$A$3:$C$350,2,0),"")</f>
        <v/>
      </c>
      <c r="D1416" s="51" t="str">
        <f>IFERROR(VLOOKUP(B1416,منتجات!$A$3:$C$350,3,0),"")</f>
        <v/>
      </c>
      <c r="E1416" s="51"/>
      <c r="F1416" s="51" t="str">
        <f>IFERROR(INDEX(منتجات!$G$3:$G$114,MATCH(B1416,منتجات!$A$3:$A$115,0)),"")</f>
        <v/>
      </c>
      <c r="G1416" s="51" t="str">
        <f t="shared" si="23"/>
        <v/>
      </c>
      <c r="H1416" s="53"/>
    </row>
    <row r="1417" spans="1:8" x14ac:dyDescent="0.35">
      <c r="A1417" s="49"/>
      <c r="B1417" s="49"/>
      <c r="C1417" s="51" t="str">
        <f>IFERROR(VLOOKUP(B1417,منتجات!$A$3:$C$350,2,0),"")</f>
        <v/>
      </c>
      <c r="D1417" s="49" t="str">
        <f>IFERROR(VLOOKUP(B1417,منتجات!$A$3:$C$350,3,0),"")</f>
        <v/>
      </c>
      <c r="E1417" s="49"/>
      <c r="F1417" s="49" t="str">
        <f>IFERROR(INDEX(منتجات!$G$3:$G$114,MATCH(B1417,منتجات!$A$3:$A$115,0)),"")</f>
        <v/>
      </c>
      <c r="G1417" s="51" t="str">
        <f t="shared" si="23"/>
        <v/>
      </c>
      <c r="H1417" s="54"/>
    </row>
    <row r="1418" spans="1:8" x14ac:dyDescent="0.35">
      <c r="A1418" s="51"/>
      <c r="B1418" s="51"/>
      <c r="C1418" s="51" t="str">
        <f>IFERROR(VLOOKUP(B1418,منتجات!$A$3:$C$350,2,0),"")</f>
        <v/>
      </c>
      <c r="D1418" s="51" t="str">
        <f>IFERROR(VLOOKUP(B1418,منتجات!$A$3:$C$350,3,0),"")</f>
        <v/>
      </c>
      <c r="E1418" s="51"/>
      <c r="F1418" s="51" t="str">
        <f>IFERROR(INDEX(منتجات!$G$3:$G$114,MATCH(B1418,منتجات!$A$3:$A$115,0)),"")</f>
        <v/>
      </c>
      <c r="G1418" s="51" t="str">
        <f t="shared" si="23"/>
        <v/>
      </c>
      <c r="H1418" s="53"/>
    </row>
    <row r="1419" spans="1:8" x14ac:dyDescent="0.35">
      <c r="A1419" s="49"/>
      <c r="B1419" s="49"/>
      <c r="C1419" s="51" t="str">
        <f>IFERROR(VLOOKUP(B1419,منتجات!$A$3:$C$350,2,0),"")</f>
        <v/>
      </c>
      <c r="D1419" s="49" t="str">
        <f>IFERROR(VLOOKUP(B1419,منتجات!$A$3:$C$350,3,0),"")</f>
        <v/>
      </c>
      <c r="E1419" s="49"/>
      <c r="F1419" s="49" t="str">
        <f>IFERROR(INDEX(منتجات!$G$3:$G$114,MATCH(B1419,منتجات!$A$3:$A$115,0)),"")</f>
        <v/>
      </c>
      <c r="G1419" s="51" t="str">
        <f t="shared" si="23"/>
        <v/>
      </c>
      <c r="H1419" s="54"/>
    </row>
    <row r="1420" spans="1:8" x14ac:dyDescent="0.35">
      <c r="A1420" s="51"/>
      <c r="B1420" s="51"/>
      <c r="C1420" s="51" t="str">
        <f>IFERROR(VLOOKUP(B1420,منتجات!$A$3:$C$350,2,0),"")</f>
        <v/>
      </c>
      <c r="D1420" s="51" t="str">
        <f>IFERROR(VLOOKUP(B1420,منتجات!$A$3:$C$350,3,0),"")</f>
        <v/>
      </c>
      <c r="E1420" s="51"/>
      <c r="F1420" s="51" t="str">
        <f>IFERROR(INDEX(منتجات!$G$3:$G$114,MATCH(B1420,منتجات!$A$3:$A$115,0)),"")</f>
        <v/>
      </c>
      <c r="G1420" s="51" t="str">
        <f t="shared" si="23"/>
        <v/>
      </c>
      <c r="H1420" s="53"/>
    </row>
    <row r="1421" spans="1:8" x14ac:dyDescent="0.35">
      <c r="A1421" s="49"/>
      <c r="B1421" s="49"/>
      <c r="C1421" s="51" t="str">
        <f>IFERROR(VLOOKUP(B1421,منتجات!$A$3:$C$350,2,0),"")</f>
        <v/>
      </c>
      <c r="D1421" s="49" t="str">
        <f>IFERROR(VLOOKUP(B1421,منتجات!$A$3:$C$350,3,0),"")</f>
        <v/>
      </c>
      <c r="E1421" s="49"/>
      <c r="F1421" s="49" t="str">
        <f>IFERROR(INDEX(منتجات!$G$3:$G$114,MATCH(B1421,منتجات!$A$3:$A$115,0)),"")</f>
        <v/>
      </c>
      <c r="G1421" s="51" t="str">
        <f t="shared" si="23"/>
        <v/>
      </c>
      <c r="H1421" s="54"/>
    </row>
    <row r="1422" spans="1:8" x14ac:dyDescent="0.35">
      <c r="A1422" s="51"/>
      <c r="B1422" s="51"/>
      <c r="C1422" s="51" t="str">
        <f>IFERROR(VLOOKUP(B1422,منتجات!$A$3:$C$350,2,0),"")</f>
        <v/>
      </c>
      <c r="D1422" s="51" t="str">
        <f>IFERROR(VLOOKUP(B1422,منتجات!$A$3:$C$350,3,0),"")</f>
        <v/>
      </c>
      <c r="E1422" s="51"/>
      <c r="F1422" s="51" t="str">
        <f>IFERROR(INDEX(منتجات!$G$3:$G$114,MATCH(B1422,منتجات!$A$3:$A$115,0)),"")</f>
        <v/>
      </c>
      <c r="G1422" s="51" t="str">
        <f t="shared" ref="G1422:G1485" si="24">IFERROR(E1422*F1422*D1422,"")</f>
        <v/>
      </c>
      <c r="H1422" s="53"/>
    </row>
    <row r="1423" spans="1:8" x14ac:dyDescent="0.35">
      <c r="A1423" s="49"/>
      <c r="B1423" s="49"/>
      <c r="C1423" s="51" t="str">
        <f>IFERROR(VLOOKUP(B1423,منتجات!$A$3:$C$350,2,0),"")</f>
        <v/>
      </c>
      <c r="D1423" s="49" t="str">
        <f>IFERROR(VLOOKUP(B1423,منتجات!$A$3:$C$350,3,0),"")</f>
        <v/>
      </c>
      <c r="E1423" s="49"/>
      <c r="F1423" s="49" t="str">
        <f>IFERROR(INDEX(منتجات!$G$3:$G$114,MATCH(B1423,منتجات!$A$3:$A$115,0)),"")</f>
        <v/>
      </c>
      <c r="G1423" s="51" t="str">
        <f t="shared" si="24"/>
        <v/>
      </c>
      <c r="H1423" s="54"/>
    </row>
    <row r="1424" spans="1:8" x14ac:dyDescent="0.35">
      <c r="A1424" s="51"/>
      <c r="B1424" s="51"/>
      <c r="C1424" s="51" t="str">
        <f>IFERROR(VLOOKUP(B1424,منتجات!$A$3:$C$350,2,0),"")</f>
        <v/>
      </c>
      <c r="D1424" s="51" t="str">
        <f>IFERROR(VLOOKUP(B1424,منتجات!$A$3:$C$350,3,0),"")</f>
        <v/>
      </c>
      <c r="E1424" s="51"/>
      <c r="F1424" s="51" t="str">
        <f>IFERROR(INDEX(منتجات!$G$3:$G$114,MATCH(B1424,منتجات!$A$3:$A$115,0)),"")</f>
        <v/>
      </c>
      <c r="G1424" s="51" t="str">
        <f t="shared" si="24"/>
        <v/>
      </c>
      <c r="H1424" s="53"/>
    </row>
    <row r="1425" spans="1:8" x14ac:dyDescent="0.35">
      <c r="A1425" s="49"/>
      <c r="B1425" s="49"/>
      <c r="C1425" s="51" t="str">
        <f>IFERROR(VLOOKUP(B1425,منتجات!$A$3:$C$350,2,0),"")</f>
        <v/>
      </c>
      <c r="D1425" s="49" t="str">
        <f>IFERROR(VLOOKUP(B1425,منتجات!$A$3:$C$350,3,0),"")</f>
        <v/>
      </c>
      <c r="E1425" s="49"/>
      <c r="F1425" s="49" t="str">
        <f>IFERROR(INDEX(منتجات!$G$3:$G$114,MATCH(B1425,منتجات!$A$3:$A$115,0)),"")</f>
        <v/>
      </c>
      <c r="G1425" s="51" t="str">
        <f t="shared" si="24"/>
        <v/>
      </c>
      <c r="H1425" s="54"/>
    </row>
    <row r="1426" spans="1:8" x14ac:dyDescent="0.35">
      <c r="A1426" s="51"/>
      <c r="B1426" s="51"/>
      <c r="C1426" s="51" t="str">
        <f>IFERROR(VLOOKUP(B1426,منتجات!$A$3:$C$350,2,0),"")</f>
        <v/>
      </c>
      <c r="D1426" s="51" t="str">
        <f>IFERROR(VLOOKUP(B1426,منتجات!$A$3:$C$350,3,0),"")</f>
        <v/>
      </c>
      <c r="E1426" s="51"/>
      <c r="F1426" s="51" t="str">
        <f>IFERROR(INDEX(منتجات!$G$3:$G$114,MATCH(B1426,منتجات!$A$3:$A$115,0)),"")</f>
        <v/>
      </c>
      <c r="G1426" s="51" t="str">
        <f t="shared" si="24"/>
        <v/>
      </c>
      <c r="H1426" s="53"/>
    </row>
    <row r="1427" spans="1:8" x14ac:dyDescent="0.35">
      <c r="A1427" s="49"/>
      <c r="B1427" s="49"/>
      <c r="C1427" s="51" t="str">
        <f>IFERROR(VLOOKUP(B1427,منتجات!$A$3:$C$350,2,0),"")</f>
        <v/>
      </c>
      <c r="D1427" s="49" t="str">
        <f>IFERROR(VLOOKUP(B1427,منتجات!$A$3:$C$350,3,0),"")</f>
        <v/>
      </c>
      <c r="E1427" s="49"/>
      <c r="F1427" s="49" t="str">
        <f>IFERROR(INDEX(منتجات!$G$3:$G$114,MATCH(B1427,منتجات!$A$3:$A$115,0)),"")</f>
        <v/>
      </c>
      <c r="G1427" s="51" t="str">
        <f t="shared" si="24"/>
        <v/>
      </c>
      <c r="H1427" s="54"/>
    </row>
    <row r="1428" spans="1:8" x14ac:dyDescent="0.35">
      <c r="A1428" s="51"/>
      <c r="B1428" s="51"/>
      <c r="C1428" s="51" t="str">
        <f>IFERROR(VLOOKUP(B1428,منتجات!$A$3:$C$350,2,0),"")</f>
        <v/>
      </c>
      <c r="D1428" s="51" t="str">
        <f>IFERROR(VLOOKUP(B1428,منتجات!$A$3:$C$350,3,0),"")</f>
        <v/>
      </c>
      <c r="E1428" s="51"/>
      <c r="F1428" s="51" t="str">
        <f>IFERROR(INDEX(منتجات!$G$3:$G$114,MATCH(B1428,منتجات!$A$3:$A$115,0)),"")</f>
        <v/>
      </c>
      <c r="G1428" s="51" t="str">
        <f t="shared" si="24"/>
        <v/>
      </c>
      <c r="H1428" s="53"/>
    </row>
    <row r="1429" spans="1:8" x14ac:dyDescent="0.35">
      <c r="A1429" s="49"/>
      <c r="B1429" s="49"/>
      <c r="C1429" s="51" t="str">
        <f>IFERROR(VLOOKUP(B1429,منتجات!$A$3:$C$350,2,0),"")</f>
        <v/>
      </c>
      <c r="D1429" s="49" t="str">
        <f>IFERROR(VLOOKUP(B1429,منتجات!$A$3:$C$350,3,0),"")</f>
        <v/>
      </c>
      <c r="E1429" s="49"/>
      <c r="F1429" s="49" t="str">
        <f>IFERROR(INDEX(منتجات!$G$3:$G$114,MATCH(B1429,منتجات!$A$3:$A$115,0)),"")</f>
        <v/>
      </c>
      <c r="G1429" s="51" t="str">
        <f t="shared" si="24"/>
        <v/>
      </c>
      <c r="H1429" s="54"/>
    </row>
    <row r="1430" spans="1:8" x14ac:dyDescent="0.35">
      <c r="A1430" s="51"/>
      <c r="B1430" s="51"/>
      <c r="C1430" s="51" t="str">
        <f>IFERROR(VLOOKUP(B1430,منتجات!$A$3:$C$350,2,0),"")</f>
        <v/>
      </c>
      <c r="D1430" s="51" t="str">
        <f>IFERROR(VLOOKUP(B1430,منتجات!$A$3:$C$350,3,0),"")</f>
        <v/>
      </c>
      <c r="E1430" s="51"/>
      <c r="F1430" s="51" t="str">
        <f>IFERROR(INDEX(منتجات!$G$3:$G$114,MATCH(B1430,منتجات!$A$3:$A$115,0)),"")</f>
        <v/>
      </c>
      <c r="G1430" s="51" t="str">
        <f t="shared" si="24"/>
        <v/>
      </c>
      <c r="H1430" s="53"/>
    </row>
    <row r="1431" spans="1:8" x14ac:dyDescent="0.35">
      <c r="A1431" s="49"/>
      <c r="B1431" s="49"/>
      <c r="C1431" s="51" t="str">
        <f>IFERROR(VLOOKUP(B1431,منتجات!$A$3:$C$350,2,0),"")</f>
        <v/>
      </c>
      <c r="D1431" s="49" t="str">
        <f>IFERROR(VLOOKUP(B1431,منتجات!$A$3:$C$350,3,0),"")</f>
        <v/>
      </c>
      <c r="E1431" s="49"/>
      <c r="F1431" s="49" t="str">
        <f>IFERROR(INDEX(منتجات!$G$3:$G$114,MATCH(B1431,منتجات!$A$3:$A$115,0)),"")</f>
        <v/>
      </c>
      <c r="G1431" s="51" t="str">
        <f t="shared" si="24"/>
        <v/>
      </c>
      <c r="H1431" s="54"/>
    </row>
    <row r="1432" spans="1:8" x14ac:dyDescent="0.35">
      <c r="A1432" s="51"/>
      <c r="B1432" s="51"/>
      <c r="C1432" s="51" t="str">
        <f>IFERROR(VLOOKUP(B1432,منتجات!$A$3:$C$350,2,0),"")</f>
        <v/>
      </c>
      <c r="D1432" s="51" t="str">
        <f>IFERROR(VLOOKUP(B1432,منتجات!$A$3:$C$350,3,0),"")</f>
        <v/>
      </c>
      <c r="E1432" s="51"/>
      <c r="F1432" s="51" t="str">
        <f>IFERROR(INDEX(منتجات!$G$3:$G$114,MATCH(B1432,منتجات!$A$3:$A$115,0)),"")</f>
        <v/>
      </c>
      <c r="G1432" s="51" t="str">
        <f t="shared" si="24"/>
        <v/>
      </c>
      <c r="H1432" s="53"/>
    </row>
    <row r="1433" spans="1:8" x14ac:dyDescent="0.35">
      <c r="A1433" s="49"/>
      <c r="B1433" s="49"/>
      <c r="C1433" s="51" t="str">
        <f>IFERROR(VLOOKUP(B1433,منتجات!$A$3:$C$350,2,0),"")</f>
        <v/>
      </c>
      <c r="D1433" s="49" t="str">
        <f>IFERROR(VLOOKUP(B1433,منتجات!$A$3:$C$350,3,0),"")</f>
        <v/>
      </c>
      <c r="E1433" s="49"/>
      <c r="F1433" s="49" t="str">
        <f>IFERROR(INDEX(منتجات!$G$3:$G$114,MATCH(B1433,منتجات!$A$3:$A$115,0)),"")</f>
        <v/>
      </c>
      <c r="G1433" s="51" t="str">
        <f t="shared" si="24"/>
        <v/>
      </c>
      <c r="H1433" s="54"/>
    </row>
    <row r="1434" spans="1:8" x14ac:dyDescent="0.35">
      <c r="A1434" s="51"/>
      <c r="B1434" s="51"/>
      <c r="C1434" s="51" t="str">
        <f>IFERROR(VLOOKUP(B1434,منتجات!$A$3:$C$350,2,0),"")</f>
        <v/>
      </c>
      <c r="D1434" s="51" t="str">
        <f>IFERROR(VLOOKUP(B1434,منتجات!$A$3:$C$350,3,0),"")</f>
        <v/>
      </c>
      <c r="E1434" s="51"/>
      <c r="F1434" s="51" t="str">
        <f>IFERROR(INDEX(منتجات!$G$3:$G$114,MATCH(B1434,منتجات!$A$3:$A$115,0)),"")</f>
        <v/>
      </c>
      <c r="G1434" s="51" t="str">
        <f t="shared" si="24"/>
        <v/>
      </c>
      <c r="H1434" s="53"/>
    </row>
    <row r="1435" spans="1:8" x14ac:dyDescent="0.35">
      <c r="A1435" s="49"/>
      <c r="B1435" s="49"/>
      <c r="C1435" s="51" t="str">
        <f>IFERROR(VLOOKUP(B1435,منتجات!$A$3:$C$350,2,0),"")</f>
        <v/>
      </c>
      <c r="D1435" s="49" t="str">
        <f>IFERROR(VLOOKUP(B1435,منتجات!$A$3:$C$350,3,0),"")</f>
        <v/>
      </c>
      <c r="E1435" s="49"/>
      <c r="F1435" s="49" t="str">
        <f>IFERROR(INDEX(منتجات!$G$3:$G$114,MATCH(B1435,منتجات!$A$3:$A$115,0)),"")</f>
        <v/>
      </c>
      <c r="G1435" s="51" t="str">
        <f t="shared" si="24"/>
        <v/>
      </c>
      <c r="H1435" s="54"/>
    </row>
    <row r="1436" spans="1:8" x14ac:dyDescent="0.35">
      <c r="A1436" s="51"/>
      <c r="B1436" s="51"/>
      <c r="C1436" s="51" t="str">
        <f>IFERROR(VLOOKUP(B1436,منتجات!$A$3:$C$350,2,0),"")</f>
        <v/>
      </c>
      <c r="D1436" s="51" t="str">
        <f>IFERROR(VLOOKUP(B1436,منتجات!$A$3:$C$350,3,0),"")</f>
        <v/>
      </c>
      <c r="E1436" s="51"/>
      <c r="F1436" s="51" t="str">
        <f>IFERROR(INDEX(منتجات!$G$3:$G$114,MATCH(B1436,منتجات!$A$3:$A$115,0)),"")</f>
        <v/>
      </c>
      <c r="G1436" s="51" t="str">
        <f t="shared" si="24"/>
        <v/>
      </c>
      <c r="H1436" s="53"/>
    </row>
    <row r="1437" spans="1:8" x14ac:dyDescent="0.35">
      <c r="A1437" s="49"/>
      <c r="B1437" s="49"/>
      <c r="C1437" s="51" t="str">
        <f>IFERROR(VLOOKUP(B1437,منتجات!$A$3:$C$350,2,0),"")</f>
        <v/>
      </c>
      <c r="D1437" s="49" t="str">
        <f>IFERROR(VLOOKUP(B1437,منتجات!$A$3:$C$350,3,0),"")</f>
        <v/>
      </c>
      <c r="E1437" s="49"/>
      <c r="F1437" s="49" t="str">
        <f>IFERROR(INDEX(منتجات!$G$3:$G$114,MATCH(B1437,منتجات!$A$3:$A$115,0)),"")</f>
        <v/>
      </c>
      <c r="G1437" s="51" t="str">
        <f t="shared" si="24"/>
        <v/>
      </c>
      <c r="H1437" s="54"/>
    </row>
    <row r="1438" spans="1:8" x14ac:dyDescent="0.35">
      <c r="A1438" s="51"/>
      <c r="B1438" s="51"/>
      <c r="C1438" s="51" t="str">
        <f>IFERROR(VLOOKUP(B1438,منتجات!$A$3:$C$350,2,0),"")</f>
        <v/>
      </c>
      <c r="D1438" s="51" t="str">
        <f>IFERROR(VLOOKUP(B1438,منتجات!$A$3:$C$350,3,0),"")</f>
        <v/>
      </c>
      <c r="E1438" s="51"/>
      <c r="F1438" s="51" t="str">
        <f>IFERROR(INDEX(منتجات!$G$3:$G$114,MATCH(B1438,منتجات!$A$3:$A$115,0)),"")</f>
        <v/>
      </c>
      <c r="G1438" s="51" t="str">
        <f t="shared" si="24"/>
        <v/>
      </c>
      <c r="H1438" s="53"/>
    </row>
    <row r="1439" spans="1:8" x14ac:dyDescent="0.35">
      <c r="A1439" s="49"/>
      <c r="B1439" s="49"/>
      <c r="C1439" s="51" t="str">
        <f>IFERROR(VLOOKUP(B1439,منتجات!$A$3:$C$350,2,0),"")</f>
        <v/>
      </c>
      <c r="D1439" s="49" t="str">
        <f>IFERROR(VLOOKUP(B1439,منتجات!$A$3:$C$350,3,0),"")</f>
        <v/>
      </c>
      <c r="E1439" s="49"/>
      <c r="F1439" s="49" t="str">
        <f>IFERROR(INDEX(منتجات!$G$3:$G$114,MATCH(B1439,منتجات!$A$3:$A$115,0)),"")</f>
        <v/>
      </c>
      <c r="G1439" s="51" t="str">
        <f t="shared" si="24"/>
        <v/>
      </c>
      <c r="H1439" s="54"/>
    </row>
    <row r="1440" spans="1:8" x14ac:dyDescent="0.35">
      <c r="A1440" s="51"/>
      <c r="B1440" s="51"/>
      <c r="C1440" s="51" t="str">
        <f>IFERROR(VLOOKUP(B1440,منتجات!$A$3:$C$350,2,0),"")</f>
        <v/>
      </c>
      <c r="D1440" s="51" t="str">
        <f>IFERROR(VLOOKUP(B1440,منتجات!$A$3:$C$350,3,0),"")</f>
        <v/>
      </c>
      <c r="E1440" s="51"/>
      <c r="F1440" s="51" t="str">
        <f>IFERROR(INDEX(منتجات!$G$3:$G$114,MATCH(B1440,منتجات!$A$3:$A$115,0)),"")</f>
        <v/>
      </c>
      <c r="G1440" s="51" t="str">
        <f t="shared" si="24"/>
        <v/>
      </c>
      <c r="H1440" s="53"/>
    </row>
    <row r="1441" spans="1:8" x14ac:dyDescent="0.35">
      <c r="A1441" s="49"/>
      <c r="B1441" s="49"/>
      <c r="C1441" s="51" t="str">
        <f>IFERROR(VLOOKUP(B1441,منتجات!$A$3:$C$350,2,0),"")</f>
        <v/>
      </c>
      <c r="D1441" s="49" t="str">
        <f>IFERROR(VLOOKUP(B1441,منتجات!$A$3:$C$350,3,0),"")</f>
        <v/>
      </c>
      <c r="E1441" s="49"/>
      <c r="F1441" s="49" t="str">
        <f>IFERROR(INDEX(منتجات!$G$3:$G$114,MATCH(B1441,منتجات!$A$3:$A$115,0)),"")</f>
        <v/>
      </c>
      <c r="G1441" s="51" t="str">
        <f t="shared" si="24"/>
        <v/>
      </c>
      <c r="H1441" s="54"/>
    </row>
    <row r="1442" spans="1:8" x14ac:dyDescent="0.35">
      <c r="A1442" s="51"/>
      <c r="B1442" s="51"/>
      <c r="C1442" s="51" t="str">
        <f>IFERROR(VLOOKUP(B1442,منتجات!$A$3:$C$350,2,0),"")</f>
        <v/>
      </c>
      <c r="D1442" s="51" t="str">
        <f>IFERROR(VLOOKUP(B1442,منتجات!$A$3:$C$350,3,0),"")</f>
        <v/>
      </c>
      <c r="E1442" s="51"/>
      <c r="F1442" s="51" t="str">
        <f>IFERROR(INDEX(منتجات!$G$3:$G$114,MATCH(B1442,منتجات!$A$3:$A$115,0)),"")</f>
        <v/>
      </c>
      <c r="G1442" s="51" t="str">
        <f t="shared" si="24"/>
        <v/>
      </c>
      <c r="H1442" s="53"/>
    </row>
    <row r="1443" spans="1:8" x14ac:dyDescent="0.35">
      <c r="A1443" s="49"/>
      <c r="B1443" s="49"/>
      <c r="C1443" s="51" t="str">
        <f>IFERROR(VLOOKUP(B1443,منتجات!$A$3:$C$350,2,0),"")</f>
        <v/>
      </c>
      <c r="D1443" s="49" t="str">
        <f>IFERROR(VLOOKUP(B1443,منتجات!$A$3:$C$350,3,0),"")</f>
        <v/>
      </c>
      <c r="E1443" s="49"/>
      <c r="F1443" s="49" t="str">
        <f>IFERROR(INDEX(منتجات!$G$3:$G$114,MATCH(B1443,منتجات!$A$3:$A$115,0)),"")</f>
        <v/>
      </c>
      <c r="G1443" s="51" t="str">
        <f t="shared" si="24"/>
        <v/>
      </c>
      <c r="H1443" s="54"/>
    </row>
    <row r="1444" spans="1:8" x14ac:dyDescent="0.35">
      <c r="A1444" s="51"/>
      <c r="B1444" s="51"/>
      <c r="C1444" s="51" t="str">
        <f>IFERROR(VLOOKUP(B1444,منتجات!$A$3:$C$350,2,0),"")</f>
        <v/>
      </c>
      <c r="D1444" s="51" t="str">
        <f>IFERROR(VLOOKUP(B1444,منتجات!$A$3:$C$350,3,0),"")</f>
        <v/>
      </c>
      <c r="E1444" s="51"/>
      <c r="F1444" s="51" t="str">
        <f>IFERROR(INDEX(منتجات!$G$3:$G$114,MATCH(B1444,منتجات!$A$3:$A$115,0)),"")</f>
        <v/>
      </c>
      <c r="G1444" s="51" t="str">
        <f t="shared" si="24"/>
        <v/>
      </c>
      <c r="H1444" s="53"/>
    </row>
    <row r="1445" spans="1:8" x14ac:dyDescent="0.35">
      <c r="A1445" s="49"/>
      <c r="B1445" s="49"/>
      <c r="C1445" s="51" t="str">
        <f>IFERROR(VLOOKUP(B1445,منتجات!$A$3:$C$350,2,0),"")</f>
        <v/>
      </c>
      <c r="D1445" s="49" t="str">
        <f>IFERROR(VLOOKUP(B1445,منتجات!$A$3:$C$350,3,0),"")</f>
        <v/>
      </c>
      <c r="E1445" s="49"/>
      <c r="F1445" s="49" t="str">
        <f>IFERROR(INDEX(منتجات!$G$3:$G$114,MATCH(B1445,منتجات!$A$3:$A$115,0)),"")</f>
        <v/>
      </c>
      <c r="G1445" s="51" t="str">
        <f t="shared" si="24"/>
        <v/>
      </c>
      <c r="H1445" s="54"/>
    </row>
    <row r="1446" spans="1:8" x14ac:dyDescent="0.35">
      <c r="A1446" s="51"/>
      <c r="B1446" s="51"/>
      <c r="C1446" s="51" t="str">
        <f>IFERROR(VLOOKUP(B1446,منتجات!$A$3:$C$350,2,0),"")</f>
        <v/>
      </c>
      <c r="D1446" s="51" t="str">
        <f>IFERROR(VLOOKUP(B1446,منتجات!$A$3:$C$350,3,0),"")</f>
        <v/>
      </c>
      <c r="E1446" s="51"/>
      <c r="F1446" s="51" t="str">
        <f>IFERROR(INDEX(منتجات!$G$3:$G$114,MATCH(B1446,منتجات!$A$3:$A$115,0)),"")</f>
        <v/>
      </c>
      <c r="G1446" s="51" t="str">
        <f t="shared" si="24"/>
        <v/>
      </c>
      <c r="H1446" s="53"/>
    </row>
    <row r="1447" spans="1:8" x14ac:dyDescent="0.35">
      <c r="A1447" s="49"/>
      <c r="B1447" s="49"/>
      <c r="C1447" s="51" t="str">
        <f>IFERROR(VLOOKUP(B1447,منتجات!$A$3:$C$350,2,0),"")</f>
        <v/>
      </c>
      <c r="D1447" s="49" t="str">
        <f>IFERROR(VLOOKUP(B1447,منتجات!$A$3:$C$350,3,0),"")</f>
        <v/>
      </c>
      <c r="E1447" s="49"/>
      <c r="F1447" s="49" t="str">
        <f>IFERROR(INDEX(منتجات!$G$3:$G$114,MATCH(B1447,منتجات!$A$3:$A$115,0)),"")</f>
        <v/>
      </c>
      <c r="G1447" s="51" t="str">
        <f t="shared" si="24"/>
        <v/>
      </c>
      <c r="H1447" s="54"/>
    </row>
    <row r="1448" spans="1:8" x14ac:dyDescent="0.35">
      <c r="A1448" s="51"/>
      <c r="B1448" s="51"/>
      <c r="C1448" s="51" t="str">
        <f>IFERROR(VLOOKUP(B1448,منتجات!$A$3:$C$350,2,0),"")</f>
        <v/>
      </c>
      <c r="D1448" s="51" t="str">
        <f>IFERROR(VLOOKUP(B1448,منتجات!$A$3:$C$350,3,0),"")</f>
        <v/>
      </c>
      <c r="E1448" s="51"/>
      <c r="F1448" s="51" t="str">
        <f>IFERROR(INDEX(منتجات!$G$3:$G$114,MATCH(B1448,منتجات!$A$3:$A$115,0)),"")</f>
        <v/>
      </c>
      <c r="G1448" s="51" t="str">
        <f t="shared" si="24"/>
        <v/>
      </c>
      <c r="H1448" s="53"/>
    </row>
    <row r="1449" spans="1:8" x14ac:dyDescent="0.35">
      <c r="A1449" s="49"/>
      <c r="B1449" s="49"/>
      <c r="C1449" s="51" t="str">
        <f>IFERROR(VLOOKUP(B1449,منتجات!$A$3:$C$350,2,0),"")</f>
        <v/>
      </c>
      <c r="D1449" s="49" t="str">
        <f>IFERROR(VLOOKUP(B1449,منتجات!$A$3:$C$350,3,0),"")</f>
        <v/>
      </c>
      <c r="E1449" s="49"/>
      <c r="F1449" s="49" t="str">
        <f>IFERROR(INDEX(منتجات!$G$3:$G$114,MATCH(B1449,منتجات!$A$3:$A$115,0)),"")</f>
        <v/>
      </c>
      <c r="G1449" s="51" t="str">
        <f t="shared" si="24"/>
        <v/>
      </c>
      <c r="H1449" s="54"/>
    </row>
    <row r="1450" spans="1:8" x14ac:dyDescent="0.35">
      <c r="A1450" s="51"/>
      <c r="B1450" s="51"/>
      <c r="C1450" s="51" t="str">
        <f>IFERROR(VLOOKUP(B1450,منتجات!$A$3:$C$350,2,0),"")</f>
        <v/>
      </c>
      <c r="D1450" s="51" t="str">
        <f>IFERROR(VLOOKUP(B1450,منتجات!$A$3:$C$350,3,0),"")</f>
        <v/>
      </c>
      <c r="E1450" s="51"/>
      <c r="F1450" s="51" t="str">
        <f>IFERROR(INDEX(منتجات!$G$3:$G$114,MATCH(B1450,منتجات!$A$3:$A$115,0)),"")</f>
        <v/>
      </c>
      <c r="G1450" s="51" t="str">
        <f t="shared" si="24"/>
        <v/>
      </c>
      <c r="H1450" s="53"/>
    </row>
    <row r="1451" spans="1:8" x14ac:dyDescent="0.35">
      <c r="A1451" s="49"/>
      <c r="B1451" s="49"/>
      <c r="C1451" s="51" t="str">
        <f>IFERROR(VLOOKUP(B1451,منتجات!$A$3:$C$350,2,0),"")</f>
        <v/>
      </c>
      <c r="D1451" s="49" t="str">
        <f>IFERROR(VLOOKUP(B1451,منتجات!$A$3:$C$350,3,0),"")</f>
        <v/>
      </c>
      <c r="E1451" s="49"/>
      <c r="F1451" s="49" t="str">
        <f>IFERROR(INDEX(منتجات!$G$3:$G$114,MATCH(B1451,منتجات!$A$3:$A$115,0)),"")</f>
        <v/>
      </c>
      <c r="G1451" s="51" t="str">
        <f t="shared" si="24"/>
        <v/>
      </c>
      <c r="H1451" s="54"/>
    </row>
    <row r="1452" spans="1:8" x14ac:dyDescent="0.35">
      <c r="A1452" s="51"/>
      <c r="B1452" s="51"/>
      <c r="C1452" s="51" t="str">
        <f>IFERROR(VLOOKUP(B1452,منتجات!$A$3:$C$350,2,0),"")</f>
        <v/>
      </c>
      <c r="D1452" s="51" t="str">
        <f>IFERROR(VLOOKUP(B1452,منتجات!$A$3:$C$350,3,0),"")</f>
        <v/>
      </c>
      <c r="E1452" s="51"/>
      <c r="F1452" s="51" t="str">
        <f>IFERROR(INDEX(منتجات!$G$3:$G$114,MATCH(B1452,منتجات!$A$3:$A$115,0)),"")</f>
        <v/>
      </c>
      <c r="G1452" s="51" t="str">
        <f t="shared" si="24"/>
        <v/>
      </c>
      <c r="H1452" s="53"/>
    </row>
    <row r="1453" spans="1:8" x14ac:dyDescent="0.35">
      <c r="A1453" s="49"/>
      <c r="B1453" s="49"/>
      <c r="C1453" s="51" t="str">
        <f>IFERROR(VLOOKUP(B1453,منتجات!$A$3:$C$350,2,0),"")</f>
        <v/>
      </c>
      <c r="D1453" s="49" t="str">
        <f>IFERROR(VLOOKUP(B1453,منتجات!$A$3:$C$350,3,0),"")</f>
        <v/>
      </c>
      <c r="E1453" s="49"/>
      <c r="F1453" s="49" t="str">
        <f>IFERROR(INDEX(منتجات!$G$3:$G$114,MATCH(B1453,منتجات!$A$3:$A$115,0)),"")</f>
        <v/>
      </c>
      <c r="G1453" s="51" t="str">
        <f t="shared" si="24"/>
        <v/>
      </c>
      <c r="H1453" s="54"/>
    </row>
    <row r="1454" spans="1:8" x14ac:dyDescent="0.35">
      <c r="A1454" s="51"/>
      <c r="B1454" s="51"/>
      <c r="C1454" s="51" t="str">
        <f>IFERROR(VLOOKUP(B1454,منتجات!$A$3:$C$350,2,0),"")</f>
        <v/>
      </c>
      <c r="D1454" s="51" t="str">
        <f>IFERROR(VLOOKUP(B1454,منتجات!$A$3:$C$350,3,0),"")</f>
        <v/>
      </c>
      <c r="E1454" s="51"/>
      <c r="F1454" s="51" t="str">
        <f>IFERROR(INDEX(منتجات!$G$3:$G$114,MATCH(B1454,منتجات!$A$3:$A$115,0)),"")</f>
        <v/>
      </c>
      <c r="G1454" s="51" t="str">
        <f t="shared" si="24"/>
        <v/>
      </c>
      <c r="H1454" s="53"/>
    </row>
    <row r="1455" spans="1:8" x14ac:dyDescent="0.35">
      <c r="A1455" s="49"/>
      <c r="B1455" s="49"/>
      <c r="C1455" s="51" t="str">
        <f>IFERROR(VLOOKUP(B1455,منتجات!$A$3:$C$350,2,0),"")</f>
        <v/>
      </c>
      <c r="D1455" s="49" t="str">
        <f>IFERROR(VLOOKUP(B1455,منتجات!$A$3:$C$350,3,0),"")</f>
        <v/>
      </c>
      <c r="E1455" s="49"/>
      <c r="F1455" s="49" t="str">
        <f>IFERROR(INDEX(منتجات!$G$3:$G$114,MATCH(B1455,منتجات!$A$3:$A$115,0)),"")</f>
        <v/>
      </c>
      <c r="G1455" s="51" t="str">
        <f t="shared" si="24"/>
        <v/>
      </c>
      <c r="H1455" s="54"/>
    </row>
    <row r="1456" spans="1:8" x14ac:dyDescent="0.35">
      <c r="A1456" s="51"/>
      <c r="B1456" s="51"/>
      <c r="C1456" s="51" t="str">
        <f>IFERROR(VLOOKUP(B1456,منتجات!$A$3:$C$350,2,0),"")</f>
        <v/>
      </c>
      <c r="D1456" s="51" t="str">
        <f>IFERROR(VLOOKUP(B1456,منتجات!$A$3:$C$350,3,0),"")</f>
        <v/>
      </c>
      <c r="E1456" s="51"/>
      <c r="F1456" s="51" t="str">
        <f>IFERROR(INDEX(منتجات!$G$3:$G$114,MATCH(B1456,منتجات!$A$3:$A$115,0)),"")</f>
        <v/>
      </c>
      <c r="G1456" s="51" t="str">
        <f t="shared" si="24"/>
        <v/>
      </c>
      <c r="H1456" s="53"/>
    </row>
    <row r="1457" spans="1:8" x14ac:dyDescent="0.35">
      <c r="A1457" s="49"/>
      <c r="B1457" s="49"/>
      <c r="C1457" s="51" t="str">
        <f>IFERROR(VLOOKUP(B1457,منتجات!$A$3:$C$350,2,0),"")</f>
        <v/>
      </c>
      <c r="D1457" s="49" t="str">
        <f>IFERROR(VLOOKUP(B1457,منتجات!$A$3:$C$350,3,0),"")</f>
        <v/>
      </c>
      <c r="E1457" s="49"/>
      <c r="F1457" s="49" t="str">
        <f>IFERROR(INDEX(منتجات!$G$3:$G$114,MATCH(B1457,منتجات!$A$3:$A$115,0)),"")</f>
        <v/>
      </c>
      <c r="G1457" s="51" t="str">
        <f t="shared" si="24"/>
        <v/>
      </c>
      <c r="H1457" s="54"/>
    </row>
    <row r="1458" spans="1:8" x14ac:dyDescent="0.35">
      <c r="A1458" s="51"/>
      <c r="B1458" s="51"/>
      <c r="C1458" s="51" t="str">
        <f>IFERROR(VLOOKUP(B1458,منتجات!$A$3:$C$350,2,0),"")</f>
        <v/>
      </c>
      <c r="D1458" s="51" t="str">
        <f>IFERROR(VLOOKUP(B1458,منتجات!$A$3:$C$350,3,0),"")</f>
        <v/>
      </c>
      <c r="E1458" s="51"/>
      <c r="F1458" s="51" t="str">
        <f>IFERROR(INDEX(منتجات!$G$3:$G$114,MATCH(B1458,منتجات!$A$3:$A$115,0)),"")</f>
        <v/>
      </c>
      <c r="G1458" s="51" t="str">
        <f t="shared" si="24"/>
        <v/>
      </c>
      <c r="H1458" s="53"/>
    </row>
    <row r="1459" spans="1:8" x14ac:dyDescent="0.35">
      <c r="A1459" s="49"/>
      <c r="B1459" s="49"/>
      <c r="C1459" s="51" t="str">
        <f>IFERROR(VLOOKUP(B1459,منتجات!$A$3:$C$350,2,0),"")</f>
        <v/>
      </c>
      <c r="D1459" s="49" t="str">
        <f>IFERROR(VLOOKUP(B1459,منتجات!$A$3:$C$350,3,0),"")</f>
        <v/>
      </c>
      <c r="E1459" s="49"/>
      <c r="F1459" s="49" t="str">
        <f>IFERROR(INDEX(منتجات!$G$3:$G$114,MATCH(B1459,منتجات!$A$3:$A$115,0)),"")</f>
        <v/>
      </c>
      <c r="G1459" s="51" t="str">
        <f t="shared" si="24"/>
        <v/>
      </c>
      <c r="H1459" s="54"/>
    </row>
    <row r="1460" spans="1:8" x14ac:dyDescent="0.35">
      <c r="A1460" s="51"/>
      <c r="B1460" s="51"/>
      <c r="C1460" s="51" t="str">
        <f>IFERROR(VLOOKUP(B1460,منتجات!$A$3:$C$350,2,0),"")</f>
        <v/>
      </c>
      <c r="D1460" s="51" t="str">
        <f>IFERROR(VLOOKUP(B1460,منتجات!$A$3:$C$350,3,0),"")</f>
        <v/>
      </c>
      <c r="E1460" s="51"/>
      <c r="F1460" s="51" t="str">
        <f>IFERROR(INDEX(منتجات!$G$3:$G$114,MATCH(B1460,منتجات!$A$3:$A$115,0)),"")</f>
        <v/>
      </c>
      <c r="G1460" s="51" t="str">
        <f t="shared" si="24"/>
        <v/>
      </c>
      <c r="H1460" s="53"/>
    </row>
    <row r="1461" spans="1:8" x14ac:dyDescent="0.35">
      <c r="A1461" s="49"/>
      <c r="B1461" s="49"/>
      <c r="C1461" s="51" t="str">
        <f>IFERROR(VLOOKUP(B1461,منتجات!$A$3:$C$350,2,0),"")</f>
        <v/>
      </c>
      <c r="D1461" s="49" t="str">
        <f>IFERROR(VLOOKUP(B1461,منتجات!$A$3:$C$350,3,0),"")</f>
        <v/>
      </c>
      <c r="E1461" s="49"/>
      <c r="F1461" s="49" t="str">
        <f>IFERROR(INDEX(منتجات!$G$3:$G$114,MATCH(B1461,منتجات!$A$3:$A$115,0)),"")</f>
        <v/>
      </c>
      <c r="G1461" s="51" t="str">
        <f t="shared" si="24"/>
        <v/>
      </c>
      <c r="H1461" s="54"/>
    </row>
    <row r="1462" spans="1:8" x14ac:dyDescent="0.35">
      <c r="A1462" s="51"/>
      <c r="B1462" s="51"/>
      <c r="C1462" s="51" t="str">
        <f>IFERROR(VLOOKUP(B1462,منتجات!$A$3:$C$350,2,0),"")</f>
        <v/>
      </c>
      <c r="D1462" s="51" t="str">
        <f>IFERROR(VLOOKUP(B1462,منتجات!$A$3:$C$350,3,0),"")</f>
        <v/>
      </c>
      <c r="E1462" s="51"/>
      <c r="F1462" s="51" t="str">
        <f>IFERROR(INDEX(منتجات!$G$3:$G$114,MATCH(B1462,منتجات!$A$3:$A$115,0)),"")</f>
        <v/>
      </c>
      <c r="G1462" s="51" t="str">
        <f t="shared" si="24"/>
        <v/>
      </c>
      <c r="H1462" s="53"/>
    </row>
    <row r="1463" spans="1:8" x14ac:dyDescent="0.35">
      <c r="A1463" s="49"/>
      <c r="B1463" s="49"/>
      <c r="C1463" s="51" t="str">
        <f>IFERROR(VLOOKUP(B1463,منتجات!$A$3:$C$350,2,0),"")</f>
        <v/>
      </c>
      <c r="D1463" s="49" t="str">
        <f>IFERROR(VLOOKUP(B1463,منتجات!$A$3:$C$350,3,0),"")</f>
        <v/>
      </c>
      <c r="E1463" s="49"/>
      <c r="F1463" s="49" t="str">
        <f>IFERROR(INDEX(منتجات!$G$3:$G$114,MATCH(B1463,منتجات!$A$3:$A$115,0)),"")</f>
        <v/>
      </c>
      <c r="G1463" s="51" t="str">
        <f t="shared" si="24"/>
        <v/>
      </c>
      <c r="H1463" s="54"/>
    </row>
    <row r="1464" spans="1:8" x14ac:dyDescent="0.35">
      <c r="A1464" s="51"/>
      <c r="B1464" s="51"/>
      <c r="C1464" s="51" t="str">
        <f>IFERROR(VLOOKUP(B1464,منتجات!$A$3:$C$350,2,0),"")</f>
        <v/>
      </c>
      <c r="D1464" s="51" t="str">
        <f>IFERROR(VLOOKUP(B1464,منتجات!$A$3:$C$350,3,0),"")</f>
        <v/>
      </c>
      <c r="E1464" s="51"/>
      <c r="F1464" s="51" t="str">
        <f>IFERROR(INDEX(منتجات!$G$3:$G$114,MATCH(B1464,منتجات!$A$3:$A$115,0)),"")</f>
        <v/>
      </c>
      <c r="G1464" s="51" t="str">
        <f t="shared" si="24"/>
        <v/>
      </c>
      <c r="H1464" s="53"/>
    </row>
    <row r="1465" spans="1:8" x14ac:dyDescent="0.35">
      <c r="A1465" s="49"/>
      <c r="B1465" s="49"/>
      <c r="C1465" s="51" t="str">
        <f>IFERROR(VLOOKUP(B1465,منتجات!$A$3:$C$350,2,0),"")</f>
        <v/>
      </c>
      <c r="D1465" s="49" t="str">
        <f>IFERROR(VLOOKUP(B1465,منتجات!$A$3:$C$350,3,0),"")</f>
        <v/>
      </c>
      <c r="E1465" s="49"/>
      <c r="F1465" s="49" t="str">
        <f>IFERROR(INDEX(منتجات!$G$3:$G$114,MATCH(B1465,منتجات!$A$3:$A$115,0)),"")</f>
        <v/>
      </c>
      <c r="G1465" s="51" t="str">
        <f t="shared" si="24"/>
        <v/>
      </c>
      <c r="H1465" s="54"/>
    </row>
    <row r="1466" spans="1:8" x14ac:dyDescent="0.35">
      <c r="A1466" s="51"/>
      <c r="B1466" s="51"/>
      <c r="C1466" s="51" t="str">
        <f>IFERROR(VLOOKUP(B1466,منتجات!$A$3:$C$350,2,0),"")</f>
        <v/>
      </c>
      <c r="D1466" s="51" t="str">
        <f>IFERROR(VLOOKUP(B1466,منتجات!$A$3:$C$350,3,0),"")</f>
        <v/>
      </c>
      <c r="E1466" s="51"/>
      <c r="F1466" s="51" t="str">
        <f>IFERROR(INDEX(منتجات!$G$3:$G$114,MATCH(B1466,منتجات!$A$3:$A$115,0)),"")</f>
        <v/>
      </c>
      <c r="G1466" s="51" t="str">
        <f t="shared" si="24"/>
        <v/>
      </c>
      <c r="H1466" s="53"/>
    </row>
    <row r="1467" spans="1:8" x14ac:dyDescent="0.35">
      <c r="A1467" s="49"/>
      <c r="B1467" s="49"/>
      <c r="C1467" s="51" t="str">
        <f>IFERROR(VLOOKUP(B1467,منتجات!$A$3:$C$350,2,0),"")</f>
        <v/>
      </c>
      <c r="D1467" s="49" t="str">
        <f>IFERROR(VLOOKUP(B1467,منتجات!$A$3:$C$350,3,0),"")</f>
        <v/>
      </c>
      <c r="E1467" s="49"/>
      <c r="F1467" s="49" t="str">
        <f>IFERROR(INDEX(منتجات!$G$3:$G$114,MATCH(B1467,منتجات!$A$3:$A$115,0)),"")</f>
        <v/>
      </c>
      <c r="G1467" s="51" t="str">
        <f t="shared" si="24"/>
        <v/>
      </c>
      <c r="H1467" s="54"/>
    </row>
    <row r="1468" spans="1:8" x14ac:dyDescent="0.35">
      <c r="A1468" s="51"/>
      <c r="B1468" s="51"/>
      <c r="C1468" s="51" t="str">
        <f>IFERROR(VLOOKUP(B1468,منتجات!$A$3:$C$350,2,0),"")</f>
        <v/>
      </c>
      <c r="D1468" s="51" t="str">
        <f>IFERROR(VLOOKUP(B1468,منتجات!$A$3:$C$350,3,0),"")</f>
        <v/>
      </c>
      <c r="E1468" s="51"/>
      <c r="F1468" s="51" t="str">
        <f>IFERROR(INDEX(منتجات!$G$3:$G$114,MATCH(B1468,منتجات!$A$3:$A$115,0)),"")</f>
        <v/>
      </c>
      <c r="G1468" s="51" t="str">
        <f t="shared" si="24"/>
        <v/>
      </c>
      <c r="H1468" s="53"/>
    </row>
    <row r="1469" spans="1:8" x14ac:dyDescent="0.35">
      <c r="A1469" s="49"/>
      <c r="B1469" s="49"/>
      <c r="C1469" s="51" t="str">
        <f>IFERROR(VLOOKUP(B1469,منتجات!$A$3:$C$350,2,0),"")</f>
        <v/>
      </c>
      <c r="D1469" s="49" t="str">
        <f>IFERROR(VLOOKUP(B1469,منتجات!$A$3:$C$350,3,0),"")</f>
        <v/>
      </c>
      <c r="E1469" s="49"/>
      <c r="F1469" s="49" t="str">
        <f>IFERROR(INDEX(منتجات!$G$3:$G$114,MATCH(B1469,منتجات!$A$3:$A$115,0)),"")</f>
        <v/>
      </c>
      <c r="G1469" s="51" t="str">
        <f t="shared" si="24"/>
        <v/>
      </c>
      <c r="H1469" s="54"/>
    </row>
    <row r="1470" spans="1:8" x14ac:dyDescent="0.35">
      <c r="A1470" s="51"/>
      <c r="B1470" s="51"/>
      <c r="C1470" s="51" t="str">
        <f>IFERROR(VLOOKUP(B1470,منتجات!$A$3:$C$350,2,0),"")</f>
        <v/>
      </c>
      <c r="D1470" s="51" t="str">
        <f>IFERROR(VLOOKUP(B1470,منتجات!$A$3:$C$350,3,0),"")</f>
        <v/>
      </c>
      <c r="E1470" s="51"/>
      <c r="F1470" s="51" t="str">
        <f>IFERROR(INDEX(منتجات!$G$3:$G$114,MATCH(B1470,منتجات!$A$3:$A$115,0)),"")</f>
        <v/>
      </c>
      <c r="G1470" s="51" t="str">
        <f t="shared" si="24"/>
        <v/>
      </c>
      <c r="H1470" s="53"/>
    </row>
    <row r="1471" spans="1:8" x14ac:dyDescent="0.35">
      <c r="A1471" s="49"/>
      <c r="B1471" s="49"/>
      <c r="C1471" s="51" t="str">
        <f>IFERROR(VLOOKUP(B1471,منتجات!$A$3:$C$350,2,0),"")</f>
        <v/>
      </c>
      <c r="D1471" s="49" t="str">
        <f>IFERROR(VLOOKUP(B1471,منتجات!$A$3:$C$350,3,0),"")</f>
        <v/>
      </c>
      <c r="E1471" s="49"/>
      <c r="F1471" s="49" t="str">
        <f>IFERROR(INDEX(منتجات!$G$3:$G$114,MATCH(B1471,منتجات!$A$3:$A$115,0)),"")</f>
        <v/>
      </c>
      <c r="G1471" s="51" t="str">
        <f t="shared" si="24"/>
        <v/>
      </c>
      <c r="H1471" s="54"/>
    </row>
    <row r="1472" spans="1:8" x14ac:dyDescent="0.35">
      <c r="A1472" s="51"/>
      <c r="B1472" s="51"/>
      <c r="C1472" s="51" t="str">
        <f>IFERROR(VLOOKUP(B1472,منتجات!$A$3:$C$350,2,0),"")</f>
        <v/>
      </c>
      <c r="D1472" s="51" t="str">
        <f>IFERROR(VLOOKUP(B1472,منتجات!$A$3:$C$350,3,0),"")</f>
        <v/>
      </c>
      <c r="E1472" s="51"/>
      <c r="F1472" s="51" t="str">
        <f>IFERROR(INDEX(منتجات!$G$3:$G$114,MATCH(B1472,منتجات!$A$3:$A$115,0)),"")</f>
        <v/>
      </c>
      <c r="G1472" s="51" t="str">
        <f t="shared" si="24"/>
        <v/>
      </c>
      <c r="H1472" s="53"/>
    </row>
    <row r="1473" spans="1:8" x14ac:dyDescent="0.35">
      <c r="A1473" s="49"/>
      <c r="B1473" s="49"/>
      <c r="C1473" s="51" t="str">
        <f>IFERROR(VLOOKUP(B1473,منتجات!$A$3:$C$350,2,0),"")</f>
        <v/>
      </c>
      <c r="D1473" s="49" t="str">
        <f>IFERROR(VLOOKUP(B1473,منتجات!$A$3:$C$350,3,0),"")</f>
        <v/>
      </c>
      <c r="E1473" s="49"/>
      <c r="F1473" s="49" t="str">
        <f>IFERROR(INDEX(منتجات!$G$3:$G$114,MATCH(B1473,منتجات!$A$3:$A$115,0)),"")</f>
        <v/>
      </c>
      <c r="G1473" s="51" t="str">
        <f t="shared" si="24"/>
        <v/>
      </c>
      <c r="H1473" s="54"/>
    </row>
    <row r="1474" spans="1:8" x14ac:dyDescent="0.35">
      <c r="A1474" s="51"/>
      <c r="B1474" s="51"/>
      <c r="C1474" s="51" t="str">
        <f>IFERROR(VLOOKUP(B1474,منتجات!$A$3:$C$350,2,0),"")</f>
        <v/>
      </c>
      <c r="D1474" s="51" t="str">
        <f>IFERROR(VLOOKUP(B1474,منتجات!$A$3:$C$350,3,0),"")</f>
        <v/>
      </c>
      <c r="E1474" s="51"/>
      <c r="F1474" s="51" t="str">
        <f>IFERROR(INDEX(منتجات!$G$3:$G$114,MATCH(B1474,منتجات!$A$3:$A$115,0)),"")</f>
        <v/>
      </c>
      <c r="G1474" s="51" t="str">
        <f t="shared" si="24"/>
        <v/>
      </c>
      <c r="H1474" s="53"/>
    </row>
    <row r="1475" spans="1:8" x14ac:dyDescent="0.35">
      <c r="A1475" s="49"/>
      <c r="B1475" s="49"/>
      <c r="C1475" s="51" t="str">
        <f>IFERROR(VLOOKUP(B1475,منتجات!$A$3:$C$350,2,0),"")</f>
        <v/>
      </c>
      <c r="D1475" s="49" t="str">
        <f>IFERROR(VLOOKUP(B1475,منتجات!$A$3:$C$350,3,0),"")</f>
        <v/>
      </c>
      <c r="E1475" s="49"/>
      <c r="F1475" s="49" t="str">
        <f>IFERROR(INDEX(منتجات!$G$3:$G$114,MATCH(B1475,منتجات!$A$3:$A$115,0)),"")</f>
        <v/>
      </c>
      <c r="G1475" s="51" t="str">
        <f t="shared" si="24"/>
        <v/>
      </c>
      <c r="H1475" s="54"/>
    </row>
    <row r="1476" spans="1:8" x14ac:dyDescent="0.35">
      <c r="A1476" s="51"/>
      <c r="B1476" s="51"/>
      <c r="C1476" s="51" t="str">
        <f>IFERROR(VLOOKUP(B1476,منتجات!$A$3:$C$350,2,0),"")</f>
        <v/>
      </c>
      <c r="D1476" s="51" t="str">
        <f>IFERROR(VLOOKUP(B1476,منتجات!$A$3:$C$350,3,0),"")</f>
        <v/>
      </c>
      <c r="E1476" s="51"/>
      <c r="F1476" s="51" t="str">
        <f>IFERROR(INDEX(منتجات!$G$3:$G$114,MATCH(B1476,منتجات!$A$3:$A$115,0)),"")</f>
        <v/>
      </c>
      <c r="G1476" s="51" t="str">
        <f t="shared" si="24"/>
        <v/>
      </c>
      <c r="H1476" s="53"/>
    </row>
    <row r="1477" spans="1:8" x14ac:dyDescent="0.35">
      <c r="A1477" s="49"/>
      <c r="B1477" s="49"/>
      <c r="C1477" s="51" t="str">
        <f>IFERROR(VLOOKUP(B1477,منتجات!$A$3:$C$350,2,0),"")</f>
        <v/>
      </c>
      <c r="D1477" s="49" t="str">
        <f>IFERROR(VLOOKUP(B1477,منتجات!$A$3:$C$350,3,0),"")</f>
        <v/>
      </c>
      <c r="E1477" s="49"/>
      <c r="F1477" s="49" t="str">
        <f>IFERROR(INDEX(منتجات!$G$3:$G$114,MATCH(B1477,منتجات!$A$3:$A$115,0)),"")</f>
        <v/>
      </c>
      <c r="G1477" s="51" t="str">
        <f t="shared" si="24"/>
        <v/>
      </c>
      <c r="H1477" s="54"/>
    </row>
    <row r="1478" spans="1:8" x14ac:dyDescent="0.35">
      <c r="A1478" s="51"/>
      <c r="B1478" s="51"/>
      <c r="C1478" s="51" t="str">
        <f>IFERROR(VLOOKUP(B1478,منتجات!$A$3:$C$350,2,0),"")</f>
        <v/>
      </c>
      <c r="D1478" s="51" t="str">
        <f>IFERROR(VLOOKUP(B1478,منتجات!$A$3:$C$350,3,0),"")</f>
        <v/>
      </c>
      <c r="E1478" s="51"/>
      <c r="F1478" s="51" t="str">
        <f>IFERROR(INDEX(منتجات!$G$3:$G$114,MATCH(B1478,منتجات!$A$3:$A$115,0)),"")</f>
        <v/>
      </c>
      <c r="G1478" s="51" t="str">
        <f t="shared" si="24"/>
        <v/>
      </c>
      <c r="H1478" s="53"/>
    </row>
    <row r="1479" spans="1:8" x14ac:dyDescent="0.35">
      <c r="A1479" s="49"/>
      <c r="B1479" s="49"/>
      <c r="C1479" s="51" t="str">
        <f>IFERROR(VLOOKUP(B1479,منتجات!$A$3:$C$350,2,0),"")</f>
        <v/>
      </c>
      <c r="D1479" s="49" t="str">
        <f>IFERROR(VLOOKUP(B1479,منتجات!$A$3:$C$350,3,0),"")</f>
        <v/>
      </c>
      <c r="E1479" s="49"/>
      <c r="F1479" s="49" t="str">
        <f>IFERROR(INDEX(منتجات!$G$3:$G$114,MATCH(B1479,منتجات!$A$3:$A$115,0)),"")</f>
        <v/>
      </c>
      <c r="G1479" s="51" t="str">
        <f t="shared" si="24"/>
        <v/>
      </c>
      <c r="H1479" s="54"/>
    </row>
    <row r="1480" spans="1:8" x14ac:dyDescent="0.35">
      <c r="A1480" s="51"/>
      <c r="B1480" s="51"/>
      <c r="C1480" s="51" t="str">
        <f>IFERROR(VLOOKUP(B1480,منتجات!$A$3:$C$350,2,0),"")</f>
        <v/>
      </c>
      <c r="D1480" s="51" t="str">
        <f>IFERROR(VLOOKUP(B1480,منتجات!$A$3:$C$350,3,0),"")</f>
        <v/>
      </c>
      <c r="E1480" s="51"/>
      <c r="F1480" s="51" t="str">
        <f>IFERROR(INDEX(منتجات!$G$3:$G$114,MATCH(B1480,منتجات!$A$3:$A$115,0)),"")</f>
        <v/>
      </c>
      <c r="G1480" s="51" t="str">
        <f t="shared" si="24"/>
        <v/>
      </c>
      <c r="H1480" s="53"/>
    </row>
    <row r="1481" spans="1:8" x14ac:dyDescent="0.35">
      <c r="A1481" s="49"/>
      <c r="B1481" s="49"/>
      <c r="C1481" s="51" t="str">
        <f>IFERROR(VLOOKUP(B1481,منتجات!$A$3:$C$350,2,0),"")</f>
        <v/>
      </c>
      <c r="D1481" s="49" t="str">
        <f>IFERROR(VLOOKUP(B1481,منتجات!$A$3:$C$350,3,0),"")</f>
        <v/>
      </c>
      <c r="E1481" s="49"/>
      <c r="F1481" s="49" t="str">
        <f>IFERROR(INDEX(منتجات!$G$3:$G$114,MATCH(B1481,منتجات!$A$3:$A$115,0)),"")</f>
        <v/>
      </c>
      <c r="G1481" s="51" t="str">
        <f t="shared" si="24"/>
        <v/>
      </c>
      <c r="H1481" s="54"/>
    </row>
    <row r="1482" spans="1:8" x14ac:dyDescent="0.35">
      <c r="A1482" s="51"/>
      <c r="B1482" s="51"/>
      <c r="C1482" s="51" t="str">
        <f>IFERROR(VLOOKUP(B1482,منتجات!$A$3:$C$350,2,0),"")</f>
        <v/>
      </c>
      <c r="D1482" s="51" t="str">
        <f>IFERROR(VLOOKUP(B1482,منتجات!$A$3:$C$350,3,0),"")</f>
        <v/>
      </c>
      <c r="E1482" s="51"/>
      <c r="F1482" s="51" t="str">
        <f>IFERROR(INDEX(منتجات!$G$3:$G$114,MATCH(B1482,منتجات!$A$3:$A$115,0)),"")</f>
        <v/>
      </c>
      <c r="G1482" s="51" t="str">
        <f t="shared" si="24"/>
        <v/>
      </c>
      <c r="H1482" s="53"/>
    </row>
    <row r="1483" spans="1:8" x14ac:dyDescent="0.35">
      <c r="A1483" s="49"/>
      <c r="B1483" s="49"/>
      <c r="C1483" s="51" t="str">
        <f>IFERROR(VLOOKUP(B1483,منتجات!$A$3:$C$350,2,0),"")</f>
        <v/>
      </c>
      <c r="D1483" s="49" t="str">
        <f>IFERROR(VLOOKUP(B1483,منتجات!$A$3:$C$350,3,0),"")</f>
        <v/>
      </c>
      <c r="E1483" s="49"/>
      <c r="F1483" s="49" t="str">
        <f>IFERROR(INDEX(منتجات!$G$3:$G$114,MATCH(B1483,منتجات!$A$3:$A$115,0)),"")</f>
        <v/>
      </c>
      <c r="G1483" s="51" t="str">
        <f t="shared" si="24"/>
        <v/>
      </c>
      <c r="H1483" s="54"/>
    </row>
    <row r="1484" spans="1:8" x14ac:dyDescent="0.35">
      <c r="A1484" s="51"/>
      <c r="B1484" s="51"/>
      <c r="C1484" s="51" t="str">
        <f>IFERROR(VLOOKUP(B1484,منتجات!$A$3:$C$350,2,0),"")</f>
        <v/>
      </c>
      <c r="D1484" s="51" t="str">
        <f>IFERROR(VLOOKUP(B1484,منتجات!$A$3:$C$350,3,0),"")</f>
        <v/>
      </c>
      <c r="E1484" s="51"/>
      <c r="F1484" s="51" t="str">
        <f>IFERROR(INDEX(منتجات!$G$3:$G$114,MATCH(B1484,منتجات!$A$3:$A$115,0)),"")</f>
        <v/>
      </c>
      <c r="G1484" s="51" t="str">
        <f t="shared" si="24"/>
        <v/>
      </c>
      <c r="H1484" s="53"/>
    </row>
    <row r="1485" spans="1:8" x14ac:dyDescent="0.35">
      <c r="A1485" s="49"/>
      <c r="B1485" s="49"/>
      <c r="C1485" s="51" t="str">
        <f>IFERROR(VLOOKUP(B1485,منتجات!$A$3:$C$350,2,0),"")</f>
        <v/>
      </c>
      <c r="D1485" s="49" t="str">
        <f>IFERROR(VLOOKUP(B1485,منتجات!$A$3:$C$350,3,0),"")</f>
        <v/>
      </c>
      <c r="E1485" s="49"/>
      <c r="F1485" s="49" t="str">
        <f>IFERROR(INDEX(منتجات!$G$3:$G$114,MATCH(B1485,منتجات!$A$3:$A$115,0)),"")</f>
        <v/>
      </c>
      <c r="G1485" s="51" t="str">
        <f t="shared" si="24"/>
        <v/>
      </c>
      <c r="H1485" s="54"/>
    </row>
    <row r="1486" spans="1:8" x14ac:dyDescent="0.35">
      <c r="A1486" s="51"/>
      <c r="B1486" s="51"/>
      <c r="C1486" s="51" t="str">
        <f>IFERROR(VLOOKUP(B1486,منتجات!$A$3:$C$350,2,0),"")</f>
        <v/>
      </c>
      <c r="D1486" s="51" t="str">
        <f>IFERROR(VLOOKUP(B1486,منتجات!$A$3:$C$350,3,0),"")</f>
        <v/>
      </c>
      <c r="E1486" s="51"/>
      <c r="F1486" s="51" t="str">
        <f>IFERROR(INDEX(منتجات!$G$3:$G$114,MATCH(B1486,منتجات!$A$3:$A$115,0)),"")</f>
        <v/>
      </c>
      <c r="G1486" s="51" t="str">
        <f t="shared" ref="G1486:G1549" si="25">IFERROR(E1486*F1486*D1486,"")</f>
        <v/>
      </c>
      <c r="H1486" s="53"/>
    </row>
    <row r="1487" spans="1:8" x14ac:dyDescent="0.35">
      <c r="A1487" s="49"/>
      <c r="B1487" s="49"/>
      <c r="C1487" s="51" t="str">
        <f>IFERROR(VLOOKUP(B1487,منتجات!$A$3:$C$350,2,0),"")</f>
        <v/>
      </c>
      <c r="D1487" s="49" t="str">
        <f>IFERROR(VLOOKUP(B1487,منتجات!$A$3:$C$350,3,0),"")</f>
        <v/>
      </c>
      <c r="E1487" s="49"/>
      <c r="F1487" s="49" t="str">
        <f>IFERROR(INDEX(منتجات!$G$3:$G$114,MATCH(B1487,منتجات!$A$3:$A$115,0)),"")</f>
        <v/>
      </c>
      <c r="G1487" s="51" t="str">
        <f t="shared" si="25"/>
        <v/>
      </c>
      <c r="H1487" s="54"/>
    </row>
    <row r="1488" spans="1:8" x14ac:dyDescent="0.35">
      <c r="A1488" s="51"/>
      <c r="B1488" s="51"/>
      <c r="C1488" s="51" t="str">
        <f>IFERROR(VLOOKUP(B1488,منتجات!$A$3:$C$350,2,0),"")</f>
        <v/>
      </c>
      <c r="D1488" s="51" t="str">
        <f>IFERROR(VLOOKUP(B1488,منتجات!$A$3:$C$350,3,0),"")</f>
        <v/>
      </c>
      <c r="E1488" s="51"/>
      <c r="F1488" s="51" t="str">
        <f>IFERROR(INDEX(منتجات!$G$3:$G$114,MATCH(B1488,منتجات!$A$3:$A$115,0)),"")</f>
        <v/>
      </c>
      <c r="G1488" s="51" t="str">
        <f t="shared" si="25"/>
        <v/>
      </c>
      <c r="H1488" s="53"/>
    </row>
    <row r="1489" spans="1:8" x14ac:dyDescent="0.35">
      <c r="A1489" s="49"/>
      <c r="B1489" s="49"/>
      <c r="C1489" s="51" t="str">
        <f>IFERROR(VLOOKUP(B1489,منتجات!$A$3:$C$350,2,0),"")</f>
        <v/>
      </c>
      <c r="D1489" s="49" t="str">
        <f>IFERROR(VLOOKUP(B1489,منتجات!$A$3:$C$350,3,0),"")</f>
        <v/>
      </c>
      <c r="E1489" s="49"/>
      <c r="F1489" s="49" t="str">
        <f>IFERROR(INDEX(منتجات!$G$3:$G$114,MATCH(B1489,منتجات!$A$3:$A$115,0)),"")</f>
        <v/>
      </c>
      <c r="G1489" s="51" t="str">
        <f t="shared" si="25"/>
        <v/>
      </c>
      <c r="H1489" s="54"/>
    </row>
    <row r="1490" spans="1:8" x14ac:dyDescent="0.35">
      <c r="A1490" s="51"/>
      <c r="B1490" s="51"/>
      <c r="C1490" s="51" t="str">
        <f>IFERROR(VLOOKUP(B1490,منتجات!$A$3:$C$350,2,0),"")</f>
        <v/>
      </c>
      <c r="D1490" s="51" t="str">
        <f>IFERROR(VLOOKUP(B1490,منتجات!$A$3:$C$350,3,0),"")</f>
        <v/>
      </c>
      <c r="E1490" s="51"/>
      <c r="F1490" s="51" t="str">
        <f>IFERROR(INDEX(منتجات!$G$3:$G$114,MATCH(B1490,منتجات!$A$3:$A$115,0)),"")</f>
        <v/>
      </c>
      <c r="G1490" s="51" t="str">
        <f t="shared" si="25"/>
        <v/>
      </c>
      <c r="H1490" s="53"/>
    </row>
    <row r="1491" spans="1:8" x14ac:dyDescent="0.35">
      <c r="A1491" s="49"/>
      <c r="B1491" s="49"/>
      <c r="C1491" s="51" t="str">
        <f>IFERROR(VLOOKUP(B1491,منتجات!$A$3:$C$350,2,0),"")</f>
        <v/>
      </c>
      <c r="D1491" s="49" t="str">
        <f>IFERROR(VLOOKUP(B1491,منتجات!$A$3:$C$350,3,0),"")</f>
        <v/>
      </c>
      <c r="E1491" s="49"/>
      <c r="F1491" s="49" t="str">
        <f>IFERROR(INDEX(منتجات!$G$3:$G$114,MATCH(B1491,منتجات!$A$3:$A$115,0)),"")</f>
        <v/>
      </c>
      <c r="G1491" s="51" t="str">
        <f t="shared" si="25"/>
        <v/>
      </c>
      <c r="H1491" s="54"/>
    </row>
    <row r="1492" spans="1:8" x14ac:dyDescent="0.35">
      <c r="A1492" s="51"/>
      <c r="B1492" s="51"/>
      <c r="C1492" s="51" t="str">
        <f>IFERROR(VLOOKUP(B1492,منتجات!$A$3:$C$350,2,0),"")</f>
        <v/>
      </c>
      <c r="D1492" s="51" t="str">
        <f>IFERROR(VLOOKUP(B1492,منتجات!$A$3:$C$350,3,0),"")</f>
        <v/>
      </c>
      <c r="E1492" s="51"/>
      <c r="F1492" s="51" t="str">
        <f>IFERROR(INDEX(منتجات!$G$3:$G$114,MATCH(B1492,منتجات!$A$3:$A$115,0)),"")</f>
        <v/>
      </c>
      <c r="G1492" s="51" t="str">
        <f t="shared" si="25"/>
        <v/>
      </c>
      <c r="H1492" s="53"/>
    </row>
    <row r="1493" spans="1:8" x14ac:dyDescent="0.35">
      <c r="A1493" s="49"/>
      <c r="B1493" s="49"/>
      <c r="C1493" s="51" t="str">
        <f>IFERROR(VLOOKUP(B1493,منتجات!$A$3:$C$350,2,0),"")</f>
        <v/>
      </c>
      <c r="D1493" s="49" t="str">
        <f>IFERROR(VLOOKUP(B1493,منتجات!$A$3:$C$350,3,0),"")</f>
        <v/>
      </c>
      <c r="E1493" s="49"/>
      <c r="F1493" s="49" t="str">
        <f>IFERROR(INDEX(منتجات!$G$3:$G$114,MATCH(B1493,منتجات!$A$3:$A$115,0)),"")</f>
        <v/>
      </c>
      <c r="G1493" s="51" t="str">
        <f t="shared" si="25"/>
        <v/>
      </c>
      <c r="H1493" s="54"/>
    </row>
    <row r="1494" spans="1:8" x14ac:dyDescent="0.35">
      <c r="A1494" s="51"/>
      <c r="B1494" s="51"/>
      <c r="C1494" s="51" t="str">
        <f>IFERROR(VLOOKUP(B1494,منتجات!$A$3:$C$350,2,0),"")</f>
        <v/>
      </c>
      <c r="D1494" s="51" t="str">
        <f>IFERROR(VLOOKUP(B1494,منتجات!$A$3:$C$350,3,0),"")</f>
        <v/>
      </c>
      <c r="E1494" s="51"/>
      <c r="F1494" s="51" t="str">
        <f>IFERROR(INDEX(منتجات!$G$3:$G$114,MATCH(B1494,منتجات!$A$3:$A$115,0)),"")</f>
        <v/>
      </c>
      <c r="G1494" s="51" t="str">
        <f t="shared" si="25"/>
        <v/>
      </c>
      <c r="H1494" s="53"/>
    </row>
    <row r="1495" spans="1:8" x14ac:dyDescent="0.35">
      <c r="A1495" s="49"/>
      <c r="B1495" s="49"/>
      <c r="C1495" s="51" t="str">
        <f>IFERROR(VLOOKUP(B1495,منتجات!$A$3:$C$350,2,0),"")</f>
        <v/>
      </c>
      <c r="D1495" s="49" t="str">
        <f>IFERROR(VLOOKUP(B1495,منتجات!$A$3:$C$350,3,0),"")</f>
        <v/>
      </c>
      <c r="E1495" s="49"/>
      <c r="F1495" s="49" t="str">
        <f>IFERROR(INDEX(منتجات!$G$3:$G$114,MATCH(B1495,منتجات!$A$3:$A$115,0)),"")</f>
        <v/>
      </c>
      <c r="G1495" s="51" t="str">
        <f t="shared" si="25"/>
        <v/>
      </c>
      <c r="H1495" s="54"/>
    </row>
    <row r="1496" spans="1:8" x14ac:dyDescent="0.35">
      <c r="A1496" s="51"/>
      <c r="B1496" s="51"/>
      <c r="C1496" s="51" t="str">
        <f>IFERROR(VLOOKUP(B1496,منتجات!$A$3:$C$350,2,0),"")</f>
        <v/>
      </c>
      <c r="D1496" s="51" t="str">
        <f>IFERROR(VLOOKUP(B1496,منتجات!$A$3:$C$350,3,0),"")</f>
        <v/>
      </c>
      <c r="E1496" s="51"/>
      <c r="F1496" s="51" t="str">
        <f>IFERROR(INDEX(منتجات!$G$3:$G$114,MATCH(B1496,منتجات!$A$3:$A$115,0)),"")</f>
        <v/>
      </c>
      <c r="G1496" s="51" t="str">
        <f t="shared" si="25"/>
        <v/>
      </c>
      <c r="H1496" s="53"/>
    </row>
    <row r="1497" spans="1:8" x14ac:dyDescent="0.35">
      <c r="A1497" s="49"/>
      <c r="B1497" s="49"/>
      <c r="C1497" s="51" t="str">
        <f>IFERROR(VLOOKUP(B1497,منتجات!$A$3:$C$350,2,0),"")</f>
        <v/>
      </c>
      <c r="D1497" s="49" t="str">
        <f>IFERROR(VLOOKUP(B1497,منتجات!$A$3:$C$350,3,0),"")</f>
        <v/>
      </c>
      <c r="E1497" s="49"/>
      <c r="F1497" s="49" t="str">
        <f>IFERROR(INDEX(منتجات!$G$3:$G$114,MATCH(B1497,منتجات!$A$3:$A$115,0)),"")</f>
        <v/>
      </c>
      <c r="G1497" s="51" t="str">
        <f t="shared" si="25"/>
        <v/>
      </c>
      <c r="H1497" s="54"/>
    </row>
    <row r="1498" spans="1:8" x14ac:dyDescent="0.35">
      <c r="A1498" s="51"/>
      <c r="B1498" s="51"/>
      <c r="C1498" s="51" t="str">
        <f>IFERROR(VLOOKUP(B1498,منتجات!$A$3:$C$350,2,0),"")</f>
        <v/>
      </c>
      <c r="D1498" s="51" t="str">
        <f>IFERROR(VLOOKUP(B1498,منتجات!$A$3:$C$350,3,0),"")</f>
        <v/>
      </c>
      <c r="E1498" s="51"/>
      <c r="F1498" s="51" t="str">
        <f>IFERROR(INDEX(منتجات!$G$3:$G$114,MATCH(B1498,منتجات!$A$3:$A$115,0)),"")</f>
        <v/>
      </c>
      <c r="G1498" s="51" t="str">
        <f t="shared" si="25"/>
        <v/>
      </c>
      <c r="H1498" s="53"/>
    </row>
    <row r="1499" spans="1:8" x14ac:dyDescent="0.35">
      <c r="A1499" s="49"/>
      <c r="B1499" s="49"/>
      <c r="C1499" s="51" t="str">
        <f>IFERROR(VLOOKUP(B1499,منتجات!$A$3:$C$350,2,0),"")</f>
        <v/>
      </c>
      <c r="D1499" s="49" t="str">
        <f>IFERROR(VLOOKUP(B1499,منتجات!$A$3:$C$350,3,0),"")</f>
        <v/>
      </c>
      <c r="E1499" s="49"/>
      <c r="F1499" s="49" t="str">
        <f>IFERROR(INDEX(منتجات!$G$3:$G$114,MATCH(B1499,منتجات!$A$3:$A$115,0)),"")</f>
        <v/>
      </c>
      <c r="G1499" s="51" t="str">
        <f t="shared" si="25"/>
        <v/>
      </c>
      <c r="H1499" s="54"/>
    </row>
    <row r="1500" spans="1:8" x14ac:dyDescent="0.35">
      <c r="A1500" s="51"/>
      <c r="B1500" s="51"/>
      <c r="C1500" s="51" t="str">
        <f>IFERROR(VLOOKUP(B1500,منتجات!$A$3:$C$350,2,0),"")</f>
        <v/>
      </c>
      <c r="D1500" s="51" t="str">
        <f>IFERROR(VLOOKUP(B1500,منتجات!$A$3:$C$350,3,0),"")</f>
        <v/>
      </c>
      <c r="E1500" s="51"/>
      <c r="F1500" s="51" t="str">
        <f>IFERROR(INDEX(منتجات!$G$3:$G$114,MATCH(B1500,منتجات!$A$3:$A$115,0)),"")</f>
        <v/>
      </c>
      <c r="G1500" s="51" t="str">
        <f t="shared" si="25"/>
        <v/>
      </c>
      <c r="H1500" s="53"/>
    </row>
    <row r="1501" spans="1:8" x14ac:dyDescent="0.35">
      <c r="A1501" s="49"/>
      <c r="B1501" s="49"/>
      <c r="C1501" s="51" t="str">
        <f>IFERROR(VLOOKUP(B1501,منتجات!$A$3:$C$350,2,0),"")</f>
        <v/>
      </c>
      <c r="D1501" s="49" t="str">
        <f>IFERROR(VLOOKUP(B1501,منتجات!$A$3:$C$350,3,0),"")</f>
        <v/>
      </c>
      <c r="E1501" s="49"/>
      <c r="F1501" s="49" t="str">
        <f>IFERROR(INDEX(منتجات!$G$3:$G$114,MATCH(B1501,منتجات!$A$3:$A$115,0)),"")</f>
        <v/>
      </c>
      <c r="G1501" s="51" t="str">
        <f t="shared" si="25"/>
        <v/>
      </c>
      <c r="H1501" s="54"/>
    </row>
    <row r="1502" spans="1:8" x14ac:dyDescent="0.35">
      <c r="A1502" s="51"/>
      <c r="B1502" s="51"/>
      <c r="C1502" s="51" t="str">
        <f>IFERROR(VLOOKUP(B1502,منتجات!$A$3:$C$350,2,0),"")</f>
        <v/>
      </c>
      <c r="D1502" s="51" t="str">
        <f>IFERROR(VLOOKUP(B1502,منتجات!$A$3:$C$350,3,0),"")</f>
        <v/>
      </c>
      <c r="E1502" s="51"/>
      <c r="F1502" s="51" t="str">
        <f>IFERROR(INDEX(منتجات!$G$3:$G$114,MATCH(B1502,منتجات!$A$3:$A$115,0)),"")</f>
        <v/>
      </c>
      <c r="G1502" s="51" t="str">
        <f t="shared" si="25"/>
        <v/>
      </c>
      <c r="H1502" s="53"/>
    </row>
    <row r="1503" spans="1:8" x14ac:dyDescent="0.35">
      <c r="A1503" s="49"/>
      <c r="B1503" s="49"/>
      <c r="C1503" s="51" t="str">
        <f>IFERROR(VLOOKUP(B1503,منتجات!$A$3:$C$350,2,0),"")</f>
        <v/>
      </c>
      <c r="D1503" s="49" t="str">
        <f>IFERROR(VLOOKUP(B1503,منتجات!$A$3:$C$350,3,0),"")</f>
        <v/>
      </c>
      <c r="E1503" s="49"/>
      <c r="F1503" s="49" t="str">
        <f>IFERROR(INDEX(منتجات!$G$3:$G$114,MATCH(B1503,منتجات!$A$3:$A$115,0)),"")</f>
        <v/>
      </c>
      <c r="G1503" s="51" t="str">
        <f t="shared" si="25"/>
        <v/>
      </c>
      <c r="H1503" s="54"/>
    </row>
    <row r="1504" spans="1:8" x14ac:dyDescent="0.35">
      <c r="A1504" s="51"/>
      <c r="B1504" s="51"/>
      <c r="C1504" s="51" t="str">
        <f>IFERROR(VLOOKUP(B1504,منتجات!$A$3:$C$350,2,0),"")</f>
        <v/>
      </c>
      <c r="D1504" s="51" t="str">
        <f>IFERROR(VLOOKUP(B1504,منتجات!$A$3:$C$350,3,0),"")</f>
        <v/>
      </c>
      <c r="E1504" s="51"/>
      <c r="F1504" s="51" t="str">
        <f>IFERROR(INDEX(منتجات!$G$3:$G$114,MATCH(B1504,منتجات!$A$3:$A$115,0)),"")</f>
        <v/>
      </c>
      <c r="G1504" s="51" t="str">
        <f t="shared" si="25"/>
        <v/>
      </c>
      <c r="H1504" s="53"/>
    </row>
    <row r="1505" spans="1:8" x14ac:dyDescent="0.35">
      <c r="A1505" s="49"/>
      <c r="B1505" s="49"/>
      <c r="C1505" s="51" t="str">
        <f>IFERROR(VLOOKUP(B1505,منتجات!$A$3:$C$350,2,0),"")</f>
        <v/>
      </c>
      <c r="D1505" s="49" t="str">
        <f>IFERROR(VLOOKUP(B1505,منتجات!$A$3:$C$350,3,0),"")</f>
        <v/>
      </c>
      <c r="E1505" s="49"/>
      <c r="F1505" s="49" t="str">
        <f>IFERROR(INDEX(منتجات!$G$3:$G$114,MATCH(B1505,منتجات!$A$3:$A$115,0)),"")</f>
        <v/>
      </c>
      <c r="G1505" s="51" t="str">
        <f t="shared" si="25"/>
        <v/>
      </c>
      <c r="H1505" s="54"/>
    </row>
    <row r="1506" spans="1:8" x14ac:dyDescent="0.35">
      <c r="A1506" s="51"/>
      <c r="B1506" s="51"/>
      <c r="C1506" s="51" t="str">
        <f>IFERROR(VLOOKUP(B1506,منتجات!$A$3:$C$350,2,0),"")</f>
        <v/>
      </c>
      <c r="D1506" s="51" t="str">
        <f>IFERROR(VLOOKUP(B1506,منتجات!$A$3:$C$350,3,0),"")</f>
        <v/>
      </c>
      <c r="E1506" s="51"/>
      <c r="F1506" s="51" t="str">
        <f>IFERROR(INDEX(منتجات!$G$3:$G$114,MATCH(B1506,منتجات!$A$3:$A$115,0)),"")</f>
        <v/>
      </c>
      <c r="G1506" s="51" t="str">
        <f t="shared" si="25"/>
        <v/>
      </c>
      <c r="H1506" s="53"/>
    </row>
    <row r="1507" spans="1:8" x14ac:dyDescent="0.35">
      <c r="A1507" s="49"/>
      <c r="B1507" s="49"/>
      <c r="C1507" s="51" t="str">
        <f>IFERROR(VLOOKUP(B1507,منتجات!$A$3:$C$350,2,0),"")</f>
        <v/>
      </c>
      <c r="D1507" s="49" t="str">
        <f>IFERROR(VLOOKUP(B1507,منتجات!$A$3:$C$350,3,0),"")</f>
        <v/>
      </c>
      <c r="E1507" s="49"/>
      <c r="F1507" s="49" t="str">
        <f>IFERROR(INDEX(منتجات!$G$3:$G$114,MATCH(B1507,منتجات!$A$3:$A$115,0)),"")</f>
        <v/>
      </c>
      <c r="G1507" s="51" t="str">
        <f t="shared" si="25"/>
        <v/>
      </c>
      <c r="H1507" s="54"/>
    </row>
    <row r="1508" spans="1:8" x14ac:dyDescent="0.35">
      <c r="A1508" s="51"/>
      <c r="B1508" s="51"/>
      <c r="C1508" s="51" t="str">
        <f>IFERROR(VLOOKUP(B1508,منتجات!$A$3:$C$350,2,0),"")</f>
        <v/>
      </c>
      <c r="D1508" s="51" t="str">
        <f>IFERROR(VLOOKUP(B1508,منتجات!$A$3:$C$350,3,0),"")</f>
        <v/>
      </c>
      <c r="E1508" s="51"/>
      <c r="F1508" s="51" t="str">
        <f>IFERROR(INDEX(منتجات!$G$3:$G$114,MATCH(B1508,منتجات!$A$3:$A$115,0)),"")</f>
        <v/>
      </c>
      <c r="G1508" s="51" t="str">
        <f t="shared" si="25"/>
        <v/>
      </c>
      <c r="H1508" s="53"/>
    </row>
    <row r="1509" spans="1:8" x14ac:dyDescent="0.35">
      <c r="A1509" s="49"/>
      <c r="B1509" s="49"/>
      <c r="C1509" s="51" t="str">
        <f>IFERROR(VLOOKUP(B1509,منتجات!$A$3:$C$350,2,0),"")</f>
        <v/>
      </c>
      <c r="D1509" s="49" t="str">
        <f>IFERROR(VLOOKUP(B1509,منتجات!$A$3:$C$350,3,0),"")</f>
        <v/>
      </c>
      <c r="E1509" s="49"/>
      <c r="F1509" s="49" t="str">
        <f>IFERROR(INDEX(منتجات!$G$3:$G$114,MATCH(B1509,منتجات!$A$3:$A$115,0)),"")</f>
        <v/>
      </c>
      <c r="G1509" s="51" t="str">
        <f t="shared" si="25"/>
        <v/>
      </c>
      <c r="H1509" s="54"/>
    </row>
    <row r="1510" spans="1:8" x14ac:dyDescent="0.35">
      <c r="A1510" s="51"/>
      <c r="B1510" s="51"/>
      <c r="C1510" s="51" t="str">
        <f>IFERROR(VLOOKUP(B1510,منتجات!$A$3:$C$350,2,0),"")</f>
        <v/>
      </c>
      <c r="D1510" s="51" t="str">
        <f>IFERROR(VLOOKUP(B1510,منتجات!$A$3:$C$350,3,0),"")</f>
        <v/>
      </c>
      <c r="E1510" s="51"/>
      <c r="F1510" s="51" t="str">
        <f>IFERROR(INDEX(منتجات!$G$3:$G$114,MATCH(B1510,منتجات!$A$3:$A$115,0)),"")</f>
        <v/>
      </c>
      <c r="G1510" s="51" t="str">
        <f t="shared" si="25"/>
        <v/>
      </c>
      <c r="H1510" s="53"/>
    </row>
    <row r="1511" spans="1:8" x14ac:dyDescent="0.35">
      <c r="A1511" s="49"/>
      <c r="B1511" s="49"/>
      <c r="C1511" s="51" t="str">
        <f>IFERROR(VLOOKUP(B1511,منتجات!$A$3:$C$350,2,0),"")</f>
        <v/>
      </c>
      <c r="D1511" s="49" t="str">
        <f>IFERROR(VLOOKUP(B1511,منتجات!$A$3:$C$350,3,0),"")</f>
        <v/>
      </c>
      <c r="E1511" s="49"/>
      <c r="F1511" s="49" t="str">
        <f>IFERROR(INDEX(منتجات!$G$3:$G$114,MATCH(B1511,منتجات!$A$3:$A$115,0)),"")</f>
        <v/>
      </c>
      <c r="G1511" s="51" t="str">
        <f t="shared" si="25"/>
        <v/>
      </c>
      <c r="H1511" s="54"/>
    </row>
    <row r="1512" spans="1:8" x14ac:dyDescent="0.35">
      <c r="A1512" s="51"/>
      <c r="B1512" s="51"/>
      <c r="C1512" s="51" t="str">
        <f>IFERROR(VLOOKUP(B1512,منتجات!$A$3:$C$350,2,0),"")</f>
        <v/>
      </c>
      <c r="D1512" s="51" t="str">
        <f>IFERROR(VLOOKUP(B1512,منتجات!$A$3:$C$350,3,0),"")</f>
        <v/>
      </c>
      <c r="E1512" s="51"/>
      <c r="F1512" s="51" t="str">
        <f>IFERROR(INDEX(منتجات!$G$3:$G$114,MATCH(B1512,منتجات!$A$3:$A$115,0)),"")</f>
        <v/>
      </c>
      <c r="G1512" s="51" t="str">
        <f t="shared" si="25"/>
        <v/>
      </c>
      <c r="H1512" s="53"/>
    </row>
    <row r="1513" spans="1:8" x14ac:dyDescent="0.35">
      <c r="A1513" s="49"/>
      <c r="B1513" s="49"/>
      <c r="C1513" s="51" t="str">
        <f>IFERROR(VLOOKUP(B1513,منتجات!$A$3:$C$350,2,0),"")</f>
        <v/>
      </c>
      <c r="D1513" s="49" t="str">
        <f>IFERROR(VLOOKUP(B1513,منتجات!$A$3:$C$350,3,0),"")</f>
        <v/>
      </c>
      <c r="E1513" s="49"/>
      <c r="F1513" s="49" t="str">
        <f>IFERROR(INDEX(منتجات!$G$3:$G$114,MATCH(B1513,منتجات!$A$3:$A$115,0)),"")</f>
        <v/>
      </c>
      <c r="G1513" s="51" t="str">
        <f t="shared" si="25"/>
        <v/>
      </c>
      <c r="H1513" s="54"/>
    </row>
    <row r="1514" spans="1:8" x14ac:dyDescent="0.35">
      <c r="A1514" s="51"/>
      <c r="B1514" s="51"/>
      <c r="C1514" s="51" t="str">
        <f>IFERROR(VLOOKUP(B1514,منتجات!$A$3:$C$350,2,0),"")</f>
        <v/>
      </c>
      <c r="D1514" s="51" t="str">
        <f>IFERROR(VLOOKUP(B1514,منتجات!$A$3:$C$350,3,0),"")</f>
        <v/>
      </c>
      <c r="E1514" s="51"/>
      <c r="F1514" s="51" t="str">
        <f>IFERROR(INDEX(منتجات!$G$3:$G$114,MATCH(B1514,منتجات!$A$3:$A$115,0)),"")</f>
        <v/>
      </c>
      <c r="G1514" s="51" t="str">
        <f t="shared" si="25"/>
        <v/>
      </c>
      <c r="H1514" s="53"/>
    </row>
    <row r="1515" spans="1:8" x14ac:dyDescent="0.35">
      <c r="A1515" s="49"/>
      <c r="B1515" s="49"/>
      <c r="C1515" s="51" t="str">
        <f>IFERROR(VLOOKUP(B1515,منتجات!$A$3:$C$350,2,0),"")</f>
        <v/>
      </c>
      <c r="D1515" s="49" t="str">
        <f>IFERROR(VLOOKUP(B1515,منتجات!$A$3:$C$350,3,0),"")</f>
        <v/>
      </c>
      <c r="E1515" s="49"/>
      <c r="F1515" s="49" t="str">
        <f>IFERROR(INDEX(منتجات!$G$3:$G$114,MATCH(B1515,منتجات!$A$3:$A$115,0)),"")</f>
        <v/>
      </c>
      <c r="G1515" s="51" t="str">
        <f t="shared" si="25"/>
        <v/>
      </c>
      <c r="H1515" s="54"/>
    </row>
    <row r="1516" spans="1:8" x14ac:dyDescent="0.35">
      <c r="A1516" s="51"/>
      <c r="B1516" s="51"/>
      <c r="C1516" s="51" t="str">
        <f>IFERROR(VLOOKUP(B1516,منتجات!$A$3:$C$350,2,0),"")</f>
        <v/>
      </c>
      <c r="D1516" s="51" t="str">
        <f>IFERROR(VLOOKUP(B1516,منتجات!$A$3:$C$350,3,0),"")</f>
        <v/>
      </c>
      <c r="E1516" s="51"/>
      <c r="F1516" s="51" t="str">
        <f>IFERROR(INDEX(منتجات!$G$3:$G$114,MATCH(B1516,منتجات!$A$3:$A$115,0)),"")</f>
        <v/>
      </c>
      <c r="G1516" s="51" t="str">
        <f t="shared" si="25"/>
        <v/>
      </c>
      <c r="H1516" s="53"/>
    </row>
    <row r="1517" spans="1:8" x14ac:dyDescent="0.35">
      <c r="A1517" s="49"/>
      <c r="B1517" s="49"/>
      <c r="C1517" s="51" t="str">
        <f>IFERROR(VLOOKUP(B1517,منتجات!$A$3:$C$350,2,0),"")</f>
        <v/>
      </c>
      <c r="D1517" s="49" t="str">
        <f>IFERROR(VLOOKUP(B1517,منتجات!$A$3:$C$350,3,0),"")</f>
        <v/>
      </c>
      <c r="E1517" s="49"/>
      <c r="F1517" s="49" t="str">
        <f>IFERROR(INDEX(منتجات!$G$3:$G$114,MATCH(B1517,منتجات!$A$3:$A$115,0)),"")</f>
        <v/>
      </c>
      <c r="G1517" s="51" t="str">
        <f t="shared" si="25"/>
        <v/>
      </c>
      <c r="H1517" s="54"/>
    </row>
    <row r="1518" spans="1:8" x14ac:dyDescent="0.35">
      <c r="A1518" s="51"/>
      <c r="B1518" s="51"/>
      <c r="C1518" s="51" t="str">
        <f>IFERROR(VLOOKUP(B1518,منتجات!$A$3:$C$350,2,0),"")</f>
        <v/>
      </c>
      <c r="D1518" s="51" t="str">
        <f>IFERROR(VLOOKUP(B1518,منتجات!$A$3:$C$350,3,0),"")</f>
        <v/>
      </c>
      <c r="E1518" s="51"/>
      <c r="F1518" s="51" t="str">
        <f>IFERROR(INDEX(منتجات!$G$3:$G$114,MATCH(B1518,منتجات!$A$3:$A$115,0)),"")</f>
        <v/>
      </c>
      <c r="G1518" s="51" t="str">
        <f t="shared" si="25"/>
        <v/>
      </c>
      <c r="H1518" s="53"/>
    </row>
    <row r="1519" spans="1:8" x14ac:dyDescent="0.35">
      <c r="A1519" s="49"/>
      <c r="B1519" s="49"/>
      <c r="C1519" s="51" t="str">
        <f>IFERROR(VLOOKUP(B1519,منتجات!$A$3:$C$350,2,0),"")</f>
        <v/>
      </c>
      <c r="D1519" s="49" t="str">
        <f>IFERROR(VLOOKUP(B1519,منتجات!$A$3:$C$350,3,0),"")</f>
        <v/>
      </c>
      <c r="E1519" s="49"/>
      <c r="F1519" s="49" t="str">
        <f>IFERROR(INDEX(منتجات!$G$3:$G$114,MATCH(B1519,منتجات!$A$3:$A$115,0)),"")</f>
        <v/>
      </c>
      <c r="G1519" s="51" t="str">
        <f t="shared" si="25"/>
        <v/>
      </c>
      <c r="H1519" s="54"/>
    </row>
    <row r="1520" spans="1:8" x14ac:dyDescent="0.35">
      <c r="A1520" s="51"/>
      <c r="B1520" s="51"/>
      <c r="C1520" s="51" t="str">
        <f>IFERROR(VLOOKUP(B1520,منتجات!$A$3:$C$350,2,0),"")</f>
        <v/>
      </c>
      <c r="D1520" s="51" t="str">
        <f>IFERROR(VLOOKUP(B1520,منتجات!$A$3:$C$350,3,0),"")</f>
        <v/>
      </c>
      <c r="E1520" s="51"/>
      <c r="F1520" s="51" t="str">
        <f>IFERROR(INDEX(منتجات!$G$3:$G$114,MATCH(B1520,منتجات!$A$3:$A$115,0)),"")</f>
        <v/>
      </c>
      <c r="G1520" s="51" t="str">
        <f t="shared" si="25"/>
        <v/>
      </c>
      <c r="H1520" s="53"/>
    </row>
    <row r="1521" spans="1:8" x14ac:dyDescent="0.35">
      <c r="A1521" s="49"/>
      <c r="B1521" s="49"/>
      <c r="C1521" s="51" t="str">
        <f>IFERROR(VLOOKUP(B1521,منتجات!$A$3:$C$350,2,0),"")</f>
        <v/>
      </c>
      <c r="D1521" s="49" t="str">
        <f>IFERROR(VLOOKUP(B1521,منتجات!$A$3:$C$350,3,0),"")</f>
        <v/>
      </c>
      <c r="E1521" s="49"/>
      <c r="F1521" s="49" t="str">
        <f>IFERROR(INDEX(منتجات!$G$3:$G$114,MATCH(B1521,منتجات!$A$3:$A$115,0)),"")</f>
        <v/>
      </c>
      <c r="G1521" s="51" t="str">
        <f t="shared" si="25"/>
        <v/>
      </c>
      <c r="H1521" s="54"/>
    </row>
    <row r="1522" spans="1:8" x14ac:dyDescent="0.35">
      <c r="A1522" s="51"/>
      <c r="B1522" s="51"/>
      <c r="C1522" s="51" t="str">
        <f>IFERROR(VLOOKUP(B1522,منتجات!$A$3:$C$350,2,0),"")</f>
        <v/>
      </c>
      <c r="D1522" s="51" t="str">
        <f>IFERROR(VLOOKUP(B1522,منتجات!$A$3:$C$350,3,0),"")</f>
        <v/>
      </c>
      <c r="E1522" s="51"/>
      <c r="F1522" s="51" t="str">
        <f>IFERROR(INDEX(منتجات!$G$3:$G$114,MATCH(B1522,منتجات!$A$3:$A$115,0)),"")</f>
        <v/>
      </c>
      <c r="G1522" s="51" t="str">
        <f t="shared" si="25"/>
        <v/>
      </c>
      <c r="H1522" s="53"/>
    </row>
    <row r="1523" spans="1:8" x14ac:dyDescent="0.35">
      <c r="A1523" s="49"/>
      <c r="B1523" s="49"/>
      <c r="C1523" s="51" t="str">
        <f>IFERROR(VLOOKUP(B1523,منتجات!$A$3:$C$350,2,0),"")</f>
        <v/>
      </c>
      <c r="D1523" s="49" t="str">
        <f>IFERROR(VLOOKUP(B1523,منتجات!$A$3:$C$350,3,0),"")</f>
        <v/>
      </c>
      <c r="E1523" s="49"/>
      <c r="F1523" s="49" t="str">
        <f>IFERROR(INDEX(منتجات!$G$3:$G$114,MATCH(B1523,منتجات!$A$3:$A$115,0)),"")</f>
        <v/>
      </c>
      <c r="G1523" s="51" t="str">
        <f t="shared" si="25"/>
        <v/>
      </c>
      <c r="H1523" s="54"/>
    </row>
    <row r="1524" spans="1:8" x14ac:dyDescent="0.35">
      <c r="A1524" s="51"/>
      <c r="B1524" s="51"/>
      <c r="C1524" s="51" t="str">
        <f>IFERROR(VLOOKUP(B1524,منتجات!$A$3:$C$350,2,0),"")</f>
        <v/>
      </c>
      <c r="D1524" s="51" t="str">
        <f>IFERROR(VLOOKUP(B1524,منتجات!$A$3:$C$350,3,0),"")</f>
        <v/>
      </c>
      <c r="E1524" s="51"/>
      <c r="F1524" s="51" t="str">
        <f>IFERROR(INDEX(منتجات!$G$3:$G$114,MATCH(B1524,منتجات!$A$3:$A$115,0)),"")</f>
        <v/>
      </c>
      <c r="G1524" s="51" t="str">
        <f t="shared" si="25"/>
        <v/>
      </c>
      <c r="H1524" s="53"/>
    </row>
    <row r="1525" spans="1:8" x14ac:dyDescent="0.35">
      <c r="A1525" s="49"/>
      <c r="B1525" s="49"/>
      <c r="C1525" s="51" t="str">
        <f>IFERROR(VLOOKUP(B1525,منتجات!$A$3:$C$350,2,0),"")</f>
        <v/>
      </c>
      <c r="D1525" s="49" t="str">
        <f>IFERROR(VLOOKUP(B1525,منتجات!$A$3:$C$350,3,0),"")</f>
        <v/>
      </c>
      <c r="E1525" s="49"/>
      <c r="F1525" s="49" t="str">
        <f>IFERROR(INDEX(منتجات!$G$3:$G$114,MATCH(B1525,منتجات!$A$3:$A$115,0)),"")</f>
        <v/>
      </c>
      <c r="G1525" s="51" t="str">
        <f t="shared" si="25"/>
        <v/>
      </c>
      <c r="H1525" s="54"/>
    </row>
    <row r="1526" spans="1:8" x14ac:dyDescent="0.35">
      <c r="A1526" s="51"/>
      <c r="B1526" s="51"/>
      <c r="C1526" s="51" t="str">
        <f>IFERROR(VLOOKUP(B1526,منتجات!$A$3:$C$350,2,0),"")</f>
        <v/>
      </c>
      <c r="D1526" s="51" t="str">
        <f>IFERROR(VLOOKUP(B1526,منتجات!$A$3:$C$350,3,0),"")</f>
        <v/>
      </c>
      <c r="E1526" s="51"/>
      <c r="F1526" s="51" t="str">
        <f>IFERROR(INDEX(منتجات!$G$3:$G$114,MATCH(B1526,منتجات!$A$3:$A$115,0)),"")</f>
        <v/>
      </c>
      <c r="G1526" s="51" t="str">
        <f t="shared" si="25"/>
        <v/>
      </c>
      <c r="H1526" s="53"/>
    </row>
    <row r="1527" spans="1:8" x14ac:dyDescent="0.35">
      <c r="A1527" s="49"/>
      <c r="B1527" s="49"/>
      <c r="C1527" s="51" t="str">
        <f>IFERROR(VLOOKUP(B1527,منتجات!$A$3:$C$350,2,0),"")</f>
        <v/>
      </c>
      <c r="D1527" s="49" t="str">
        <f>IFERROR(VLOOKUP(B1527,منتجات!$A$3:$C$350,3,0),"")</f>
        <v/>
      </c>
      <c r="E1527" s="49"/>
      <c r="F1527" s="49" t="str">
        <f>IFERROR(INDEX(منتجات!$G$3:$G$114,MATCH(B1527,منتجات!$A$3:$A$115,0)),"")</f>
        <v/>
      </c>
      <c r="G1527" s="51" t="str">
        <f t="shared" si="25"/>
        <v/>
      </c>
      <c r="H1527" s="54"/>
    </row>
    <row r="1528" spans="1:8" x14ac:dyDescent="0.35">
      <c r="A1528" s="51"/>
      <c r="B1528" s="51"/>
      <c r="C1528" s="51" t="str">
        <f>IFERROR(VLOOKUP(B1528,منتجات!$A$3:$C$350,2,0),"")</f>
        <v/>
      </c>
      <c r="D1528" s="51" t="str">
        <f>IFERROR(VLOOKUP(B1528,منتجات!$A$3:$C$350,3,0),"")</f>
        <v/>
      </c>
      <c r="E1528" s="51"/>
      <c r="F1528" s="51" t="str">
        <f>IFERROR(INDEX(منتجات!$G$3:$G$114,MATCH(B1528,منتجات!$A$3:$A$115,0)),"")</f>
        <v/>
      </c>
      <c r="G1528" s="51" t="str">
        <f t="shared" si="25"/>
        <v/>
      </c>
      <c r="H1528" s="53"/>
    </row>
    <row r="1529" spans="1:8" x14ac:dyDescent="0.35">
      <c r="A1529" s="49"/>
      <c r="B1529" s="49"/>
      <c r="C1529" s="51" t="str">
        <f>IFERROR(VLOOKUP(B1529,منتجات!$A$3:$C$350,2,0),"")</f>
        <v/>
      </c>
      <c r="D1529" s="49" t="str">
        <f>IFERROR(VLOOKUP(B1529,منتجات!$A$3:$C$350,3,0),"")</f>
        <v/>
      </c>
      <c r="E1529" s="49"/>
      <c r="F1529" s="49" t="str">
        <f>IFERROR(INDEX(منتجات!$G$3:$G$114,MATCH(B1529,منتجات!$A$3:$A$115,0)),"")</f>
        <v/>
      </c>
      <c r="G1529" s="51" t="str">
        <f t="shared" si="25"/>
        <v/>
      </c>
      <c r="H1529" s="54"/>
    </row>
    <row r="1530" spans="1:8" x14ac:dyDescent="0.35">
      <c r="A1530" s="51"/>
      <c r="B1530" s="51"/>
      <c r="C1530" s="51" t="str">
        <f>IFERROR(VLOOKUP(B1530,منتجات!$A$3:$C$350,2,0),"")</f>
        <v/>
      </c>
      <c r="D1530" s="51" t="str">
        <f>IFERROR(VLOOKUP(B1530,منتجات!$A$3:$C$350,3,0),"")</f>
        <v/>
      </c>
      <c r="E1530" s="51"/>
      <c r="F1530" s="51" t="str">
        <f>IFERROR(INDEX(منتجات!$G$3:$G$114,MATCH(B1530,منتجات!$A$3:$A$115,0)),"")</f>
        <v/>
      </c>
      <c r="G1530" s="51" t="str">
        <f t="shared" si="25"/>
        <v/>
      </c>
      <c r="H1530" s="53"/>
    </row>
    <row r="1531" spans="1:8" x14ac:dyDescent="0.35">
      <c r="A1531" s="49"/>
      <c r="B1531" s="49"/>
      <c r="C1531" s="51" t="str">
        <f>IFERROR(VLOOKUP(B1531,منتجات!$A$3:$C$350,2,0),"")</f>
        <v/>
      </c>
      <c r="D1531" s="49" t="str">
        <f>IFERROR(VLOOKUP(B1531,منتجات!$A$3:$C$350,3,0),"")</f>
        <v/>
      </c>
      <c r="E1531" s="49"/>
      <c r="F1531" s="49" t="str">
        <f>IFERROR(INDEX(منتجات!$G$3:$G$114,MATCH(B1531,منتجات!$A$3:$A$115,0)),"")</f>
        <v/>
      </c>
      <c r="G1531" s="51" t="str">
        <f t="shared" si="25"/>
        <v/>
      </c>
      <c r="H1531" s="54"/>
    </row>
    <row r="1532" spans="1:8" x14ac:dyDescent="0.35">
      <c r="A1532" s="51"/>
      <c r="B1532" s="51"/>
      <c r="C1532" s="51" t="str">
        <f>IFERROR(VLOOKUP(B1532,منتجات!$A$3:$C$350,2,0),"")</f>
        <v/>
      </c>
      <c r="D1532" s="51" t="str">
        <f>IFERROR(VLOOKUP(B1532,منتجات!$A$3:$C$350,3,0),"")</f>
        <v/>
      </c>
      <c r="E1532" s="51"/>
      <c r="F1532" s="51" t="str">
        <f>IFERROR(INDEX(منتجات!$G$3:$G$114,MATCH(B1532,منتجات!$A$3:$A$115,0)),"")</f>
        <v/>
      </c>
      <c r="G1532" s="51" t="str">
        <f t="shared" si="25"/>
        <v/>
      </c>
      <c r="H1532" s="53"/>
    </row>
    <row r="1533" spans="1:8" x14ac:dyDescent="0.35">
      <c r="A1533" s="49"/>
      <c r="B1533" s="49"/>
      <c r="C1533" s="51" t="str">
        <f>IFERROR(VLOOKUP(B1533,منتجات!$A$3:$C$350,2,0),"")</f>
        <v/>
      </c>
      <c r="D1533" s="49" t="str">
        <f>IFERROR(VLOOKUP(B1533,منتجات!$A$3:$C$350,3,0),"")</f>
        <v/>
      </c>
      <c r="E1533" s="49"/>
      <c r="F1533" s="49" t="str">
        <f>IFERROR(INDEX(منتجات!$G$3:$G$114,MATCH(B1533,منتجات!$A$3:$A$115,0)),"")</f>
        <v/>
      </c>
      <c r="G1533" s="51" t="str">
        <f t="shared" si="25"/>
        <v/>
      </c>
      <c r="H1533" s="54"/>
    </row>
    <row r="1534" spans="1:8" x14ac:dyDescent="0.35">
      <c r="A1534" s="51"/>
      <c r="B1534" s="51"/>
      <c r="C1534" s="51" t="str">
        <f>IFERROR(VLOOKUP(B1534,منتجات!$A$3:$C$350,2,0),"")</f>
        <v/>
      </c>
      <c r="D1534" s="51" t="str">
        <f>IFERROR(VLOOKUP(B1534,منتجات!$A$3:$C$350,3,0),"")</f>
        <v/>
      </c>
      <c r="E1534" s="51"/>
      <c r="F1534" s="51" t="str">
        <f>IFERROR(INDEX(منتجات!$G$3:$G$114,MATCH(B1534,منتجات!$A$3:$A$115,0)),"")</f>
        <v/>
      </c>
      <c r="G1534" s="51" t="str">
        <f t="shared" si="25"/>
        <v/>
      </c>
      <c r="H1534" s="53"/>
    </row>
    <row r="1535" spans="1:8" x14ac:dyDescent="0.35">
      <c r="A1535" s="49"/>
      <c r="B1535" s="49"/>
      <c r="C1535" s="51" t="str">
        <f>IFERROR(VLOOKUP(B1535,منتجات!$A$3:$C$350,2,0),"")</f>
        <v/>
      </c>
      <c r="D1535" s="49" t="str">
        <f>IFERROR(VLOOKUP(B1535,منتجات!$A$3:$C$350,3,0),"")</f>
        <v/>
      </c>
      <c r="E1535" s="49"/>
      <c r="F1535" s="49" t="str">
        <f>IFERROR(INDEX(منتجات!$G$3:$G$114,MATCH(B1535,منتجات!$A$3:$A$115,0)),"")</f>
        <v/>
      </c>
      <c r="G1535" s="51" t="str">
        <f t="shared" si="25"/>
        <v/>
      </c>
      <c r="H1535" s="54"/>
    </row>
    <row r="1536" spans="1:8" x14ac:dyDescent="0.35">
      <c r="A1536" s="51"/>
      <c r="B1536" s="51"/>
      <c r="C1536" s="51" t="str">
        <f>IFERROR(VLOOKUP(B1536,منتجات!$A$3:$C$350,2,0),"")</f>
        <v/>
      </c>
      <c r="D1536" s="51" t="str">
        <f>IFERROR(VLOOKUP(B1536,منتجات!$A$3:$C$350,3,0),"")</f>
        <v/>
      </c>
      <c r="E1536" s="51"/>
      <c r="F1536" s="51" t="str">
        <f>IFERROR(INDEX(منتجات!$G$3:$G$114,MATCH(B1536,منتجات!$A$3:$A$115,0)),"")</f>
        <v/>
      </c>
      <c r="G1536" s="51" t="str">
        <f t="shared" si="25"/>
        <v/>
      </c>
      <c r="H1536" s="53"/>
    </row>
    <row r="1537" spans="1:8" x14ac:dyDescent="0.35">
      <c r="A1537" s="49"/>
      <c r="B1537" s="49"/>
      <c r="C1537" s="51" t="str">
        <f>IFERROR(VLOOKUP(B1537,منتجات!$A$3:$C$350,2,0),"")</f>
        <v/>
      </c>
      <c r="D1537" s="49" t="str">
        <f>IFERROR(VLOOKUP(B1537,منتجات!$A$3:$C$350,3,0),"")</f>
        <v/>
      </c>
      <c r="E1537" s="49"/>
      <c r="F1537" s="49" t="str">
        <f>IFERROR(INDEX(منتجات!$G$3:$G$114,MATCH(B1537,منتجات!$A$3:$A$115,0)),"")</f>
        <v/>
      </c>
      <c r="G1537" s="51" t="str">
        <f t="shared" si="25"/>
        <v/>
      </c>
      <c r="H1537" s="54"/>
    </row>
    <row r="1538" spans="1:8" x14ac:dyDescent="0.35">
      <c r="A1538" s="51"/>
      <c r="B1538" s="51"/>
      <c r="C1538" s="51" t="str">
        <f>IFERROR(VLOOKUP(B1538,منتجات!$A$3:$C$350,2,0),"")</f>
        <v/>
      </c>
      <c r="D1538" s="51" t="str">
        <f>IFERROR(VLOOKUP(B1538,منتجات!$A$3:$C$350,3,0),"")</f>
        <v/>
      </c>
      <c r="E1538" s="51"/>
      <c r="F1538" s="51" t="str">
        <f>IFERROR(INDEX(منتجات!$G$3:$G$114,MATCH(B1538,منتجات!$A$3:$A$115,0)),"")</f>
        <v/>
      </c>
      <c r="G1538" s="51" t="str">
        <f t="shared" si="25"/>
        <v/>
      </c>
      <c r="H1538" s="53"/>
    </row>
    <row r="1539" spans="1:8" x14ac:dyDescent="0.35">
      <c r="A1539" s="49"/>
      <c r="B1539" s="49"/>
      <c r="C1539" s="51" t="str">
        <f>IFERROR(VLOOKUP(B1539,منتجات!$A$3:$C$350,2,0),"")</f>
        <v/>
      </c>
      <c r="D1539" s="49" t="str">
        <f>IFERROR(VLOOKUP(B1539,منتجات!$A$3:$C$350,3,0),"")</f>
        <v/>
      </c>
      <c r="E1539" s="49"/>
      <c r="F1539" s="49" t="str">
        <f>IFERROR(INDEX(منتجات!$G$3:$G$114,MATCH(B1539,منتجات!$A$3:$A$115,0)),"")</f>
        <v/>
      </c>
      <c r="G1539" s="51" t="str">
        <f t="shared" si="25"/>
        <v/>
      </c>
      <c r="H1539" s="54"/>
    </row>
    <row r="1540" spans="1:8" x14ac:dyDescent="0.35">
      <c r="A1540" s="51"/>
      <c r="B1540" s="51"/>
      <c r="C1540" s="51" t="str">
        <f>IFERROR(VLOOKUP(B1540,منتجات!$A$3:$C$350,2,0),"")</f>
        <v/>
      </c>
      <c r="D1540" s="51" t="str">
        <f>IFERROR(VLOOKUP(B1540,منتجات!$A$3:$C$350,3,0),"")</f>
        <v/>
      </c>
      <c r="E1540" s="51"/>
      <c r="F1540" s="51" t="str">
        <f>IFERROR(INDEX(منتجات!$G$3:$G$114,MATCH(B1540,منتجات!$A$3:$A$115,0)),"")</f>
        <v/>
      </c>
      <c r="G1540" s="51" t="str">
        <f t="shared" si="25"/>
        <v/>
      </c>
      <c r="H1540" s="53"/>
    </row>
    <row r="1541" spans="1:8" x14ac:dyDescent="0.35">
      <c r="A1541" s="49"/>
      <c r="B1541" s="49"/>
      <c r="C1541" s="51" t="str">
        <f>IFERROR(VLOOKUP(B1541,منتجات!$A$3:$C$350,2,0),"")</f>
        <v/>
      </c>
      <c r="D1541" s="49" t="str">
        <f>IFERROR(VLOOKUP(B1541,منتجات!$A$3:$C$350,3,0),"")</f>
        <v/>
      </c>
      <c r="E1541" s="49"/>
      <c r="F1541" s="49" t="str">
        <f>IFERROR(INDEX(منتجات!$G$3:$G$114,MATCH(B1541,منتجات!$A$3:$A$115,0)),"")</f>
        <v/>
      </c>
      <c r="G1541" s="51" t="str">
        <f t="shared" si="25"/>
        <v/>
      </c>
      <c r="H1541" s="54"/>
    </row>
    <row r="1542" spans="1:8" x14ac:dyDescent="0.35">
      <c r="A1542" s="51"/>
      <c r="B1542" s="51"/>
      <c r="C1542" s="51" t="str">
        <f>IFERROR(VLOOKUP(B1542,منتجات!$A$3:$C$350,2,0),"")</f>
        <v/>
      </c>
      <c r="D1542" s="51" t="str">
        <f>IFERROR(VLOOKUP(B1542,منتجات!$A$3:$C$350,3,0),"")</f>
        <v/>
      </c>
      <c r="E1542" s="51"/>
      <c r="F1542" s="51" t="str">
        <f>IFERROR(INDEX(منتجات!$G$3:$G$114,MATCH(B1542,منتجات!$A$3:$A$115,0)),"")</f>
        <v/>
      </c>
      <c r="G1542" s="51" t="str">
        <f t="shared" si="25"/>
        <v/>
      </c>
      <c r="H1542" s="53"/>
    </row>
    <row r="1543" spans="1:8" x14ac:dyDescent="0.35">
      <c r="A1543" s="49"/>
      <c r="B1543" s="49"/>
      <c r="C1543" s="51" t="str">
        <f>IFERROR(VLOOKUP(B1543,منتجات!$A$3:$C$350,2,0),"")</f>
        <v/>
      </c>
      <c r="D1543" s="49" t="str">
        <f>IFERROR(VLOOKUP(B1543,منتجات!$A$3:$C$350,3,0),"")</f>
        <v/>
      </c>
      <c r="E1543" s="49"/>
      <c r="F1543" s="49" t="str">
        <f>IFERROR(INDEX(منتجات!$G$3:$G$114,MATCH(B1543,منتجات!$A$3:$A$115,0)),"")</f>
        <v/>
      </c>
      <c r="G1543" s="51" t="str">
        <f t="shared" si="25"/>
        <v/>
      </c>
      <c r="H1543" s="54"/>
    </row>
    <row r="1544" spans="1:8" x14ac:dyDescent="0.35">
      <c r="A1544" s="51"/>
      <c r="B1544" s="51"/>
      <c r="C1544" s="51" t="str">
        <f>IFERROR(VLOOKUP(B1544,منتجات!$A$3:$C$350,2,0),"")</f>
        <v/>
      </c>
      <c r="D1544" s="51" t="str">
        <f>IFERROR(VLOOKUP(B1544,منتجات!$A$3:$C$350,3,0),"")</f>
        <v/>
      </c>
      <c r="E1544" s="51"/>
      <c r="F1544" s="51" t="str">
        <f>IFERROR(INDEX(منتجات!$G$3:$G$114,MATCH(B1544,منتجات!$A$3:$A$115,0)),"")</f>
        <v/>
      </c>
      <c r="G1544" s="51" t="str">
        <f t="shared" si="25"/>
        <v/>
      </c>
      <c r="H1544" s="53"/>
    </row>
    <row r="1545" spans="1:8" x14ac:dyDescent="0.35">
      <c r="A1545" s="49"/>
      <c r="B1545" s="49"/>
      <c r="C1545" s="51" t="str">
        <f>IFERROR(VLOOKUP(B1545,منتجات!$A$3:$C$350,2,0),"")</f>
        <v/>
      </c>
      <c r="D1545" s="49" t="str">
        <f>IFERROR(VLOOKUP(B1545,منتجات!$A$3:$C$350,3,0),"")</f>
        <v/>
      </c>
      <c r="E1545" s="49"/>
      <c r="F1545" s="49" t="str">
        <f>IFERROR(INDEX(منتجات!$G$3:$G$114,MATCH(B1545,منتجات!$A$3:$A$115,0)),"")</f>
        <v/>
      </c>
      <c r="G1545" s="51" t="str">
        <f t="shared" si="25"/>
        <v/>
      </c>
      <c r="H1545" s="54"/>
    </row>
    <row r="1546" spans="1:8" x14ac:dyDescent="0.35">
      <c r="A1546" s="51"/>
      <c r="B1546" s="51"/>
      <c r="C1546" s="51" t="str">
        <f>IFERROR(VLOOKUP(B1546,منتجات!$A$3:$C$350,2,0),"")</f>
        <v/>
      </c>
      <c r="D1546" s="51" t="str">
        <f>IFERROR(VLOOKUP(B1546,منتجات!$A$3:$C$350,3,0),"")</f>
        <v/>
      </c>
      <c r="E1546" s="51"/>
      <c r="F1546" s="51" t="str">
        <f>IFERROR(INDEX(منتجات!$G$3:$G$114,MATCH(B1546,منتجات!$A$3:$A$115,0)),"")</f>
        <v/>
      </c>
      <c r="G1546" s="51" t="str">
        <f t="shared" si="25"/>
        <v/>
      </c>
      <c r="H1546" s="53"/>
    </row>
    <row r="1547" spans="1:8" x14ac:dyDescent="0.35">
      <c r="A1547" s="49"/>
      <c r="B1547" s="49"/>
      <c r="C1547" s="51" t="str">
        <f>IFERROR(VLOOKUP(B1547,منتجات!$A$3:$C$350,2,0),"")</f>
        <v/>
      </c>
      <c r="D1547" s="49" t="str">
        <f>IFERROR(VLOOKUP(B1547,منتجات!$A$3:$C$350,3,0),"")</f>
        <v/>
      </c>
      <c r="E1547" s="49"/>
      <c r="F1547" s="49" t="str">
        <f>IFERROR(INDEX(منتجات!$G$3:$G$114,MATCH(B1547,منتجات!$A$3:$A$115,0)),"")</f>
        <v/>
      </c>
      <c r="G1547" s="51" t="str">
        <f t="shared" si="25"/>
        <v/>
      </c>
      <c r="H1547" s="54"/>
    </row>
    <row r="1548" spans="1:8" x14ac:dyDescent="0.35">
      <c r="A1548" s="51"/>
      <c r="B1548" s="51"/>
      <c r="C1548" s="51" t="str">
        <f>IFERROR(VLOOKUP(B1548,منتجات!$A$3:$C$350,2,0),"")</f>
        <v/>
      </c>
      <c r="D1548" s="51" t="str">
        <f>IFERROR(VLOOKUP(B1548,منتجات!$A$3:$C$350,3,0),"")</f>
        <v/>
      </c>
      <c r="E1548" s="51"/>
      <c r="F1548" s="51" t="str">
        <f>IFERROR(INDEX(منتجات!$G$3:$G$114,MATCH(B1548,منتجات!$A$3:$A$115,0)),"")</f>
        <v/>
      </c>
      <c r="G1548" s="51" t="str">
        <f t="shared" si="25"/>
        <v/>
      </c>
      <c r="H1548" s="53"/>
    </row>
    <row r="1549" spans="1:8" x14ac:dyDescent="0.35">
      <c r="A1549" s="49"/>
      <c r="B1549" s="49"/>
      <c r="C1549" s="51" t="str">
        <f>IFERROR(VLOOKUP(B1549,منتجات!$A$3:$C$350,2,0),"")</f>
        <v/>
      </c>
      <c r="D1549" s="49" t="str">
        <f>IFERROR(VLOOKUP(B1549,منتجات!$A$3:$C$350,3,0),"")</f>
        <v/>
      </c>
      <c r="E1549" s="49"/>
      <c r="F1549" s="49" t="str">
        <f>IFERROR(INDEX(منتجات!$G$3:$G$114,MATCH(B1549,منتجات!$A$3:$A$115,0)),"")</f>
        <v/>
      </c>
      <c r="G1549" s="51" t="str">
        <f t="shared" si="25"/>
        <v/>
      </c>
      <c r="H1549" s="54"/>
    </row>
    <row r="1550" spans="1:8" x14ac:dyDescent="0.35">
      <c r="A1550" s="51"/>
      <c r="B1550" s="51"/>
      <c r="C1550" s="51" t="str">
        <f>IFERROR(VLOOKUP(B1550,منتجات!$A$3:$C$350,2,0),"")</f>
        <v/>
      </c>
      <c r="D1550" s="51" t="str">
        <f>IFERROR(VLOOKUP(B1550,منتجات!$A$3:$C$350,3,0),"")</f>
        <v/>
      </c>
      <c r="E1550" s="51"/>
      <c r="F1550" s="51" t="str">
        <f>IFERROR(INDEX(منتجات!$G$3:$G$114,MATCH(B1550,منتجات!$A$3:$A$115,0)),"")</f>
        <v/>
      </c>
      <c r="G1550" s="51" t="str">
        <f t="shared" ref="G1550:G1613" si="26">IFERROR(E1550*F1550*D1550,"")</f>
        <v/>
      </c>
      <c r="H1550" s="53"/>
    </row>
    <row r="1551" spans="1:8" x14ac:dyDescent="0.35">
      <c r="A1551" s="49"/>
      <c r="B1551" s="49"/>
      <c r="C1551" s="51" t="str">
        <f>IFERROR(VLOOKUP(B1551,منتجات!$A$3:$C$350,2,0),"")</f>
        <v/>
      </c>
      <c r="D1551" s="49" t="str">
        <f>IFERROR(VLOOKUP(B1551,منتجات!$A$3:$C$350,3,0),"")</f>
        <v/>
      </c>
      <c r="E1551" s="49"/>
      <c r="F1551" s="49" t="str">
        <f>IFERROR(INDEX(منتجات!$G$3:$G$114,MATCH(B1551,منتجات!$A$3:$A$115,0)),"")</f>
        <v/>
      </c>
      <c r="G1551" s="51" t="str">
        <f t="shared" si="26"/>
        <v/>
      </c>
      <c r="H1551" s="54"/>
    </row>
    <row r="1552" spans="1:8" x14ac:dyDescent="0.35">
      <c r="A1552" s="51"/>
      <c r="B1552" s="51"/>
      <c r="C1552" s="51" t="str">
        <f>IFERROR(VLOOKUP(B1552,منتجات!$A$3:$C$350,2,0),"")</f>
        <v/>
      </c>
      <c r="D1552" s="51" t="str">
        <f>IFERROR(VLOOKUP(B1552,منتجات!$A$3:$C$350,3,0),"")</f>
        <v/>
      </c>
      <c r="E1552" s="51"/>
      <c r="F1552" s="51" t="str">
        <f>IFERROR(INDEX(منتجات!$G$3:$G$114,MATCH(B1552,منتجات!$A$3:$A$115,0)),"")</f>
        <v/>
      </c>
      <c r="G1552" s="51" t="str">
        <f t="shared" si="26"/>
        <v/>
      </c>
      <c r="H1552" s="53"/>
    </row>
    <row r="1553" spans="1:8" x14ac:dyDescent="0.35">
      <c r="A1553" s="49"/>
      <c r="B1553" s="49"/>
      <c r="C1553" s="51" t="str">
        <f>IFERROR(VLOOKUP(B1553,منتجات!$A$3:$C$350,2,0),"")</f>
        <v/>
      </c>
      <c r="D1553" s="49" t="str">
        <f>IFERROR(VLOOKUP(B1553,منتجات!$A$3:$C$350,3,0),"")</f>
        <v/>
      </c>
      <c r="E1553" s="49"/>
      <c r="F1553" s="49" t="str">
        <f>IFERROR(INDEX(منتجات!$G$3:$G$114,MATCH(B1553,منتجات!$A$3:$A$115,0)),"")</f>
        <v/>
      </c>
      <c r="G1553" s="51" t="str">
        <f t="shared" si="26"/>
        <v/>
      </c>
      <c r="H1553" s="54"/>
    </row>
    <row r="1554" spans="1:8" x14ac:dyDescent="0.35">
      <c r="A1554" s="51"/>
      <c r="B1554" s="51"/>
      <c r="C1554" s="51" t="str">
        <f>IFERROR(VLOOKUP(B1554,منتجات!$A$3:$C$350,2,0),"")</f>
        <v/>
      </c>
      <c r="D1554" s="51" t="str">
        <f>IFERROR(VLOOKUP(B1554,منتجات!$A$3:$C$350,3,0),"")</f>
        <v/>
      </c>
      <c r="E1554" s="51"/>
      <c r="F1554" s="51" t="str">
        <f>IFERROR(INDEX(منتجات!$G$3:$G$114,MATCH(B1554,منتجات!$A$3:$A$115,0)),"")</f>
        <v/>
      </c>
      <c r="G1554" s="51" t="str">
        <f t="shared" si="26"/>
        <v/>
      </c>
      <c r="H1554" s="53"/>
    </row>
    <row r="1555" spans="1:8" x14ac:dyDescent="0.35">
      <c r="A1555" s="49"/>
      <c r="B1555" s="49"/>
      <c r="C1555" s="51" t="str">
        <f>IFERROR(VLOOKUP(B1555,منتجات!$A$3:$C$350,2,0),"")</f>
        <v/>
      </c>
      <c r="D1555" s="49" t="str">
        <f>IFERROR(VLOOKUP(B1555,منتجات!$A$3:$C$350,3,0),"")</f>
        <v/>
      </c>
      <c r="E1555" s="49"/>
      <c r="F1555" s="49" t="str">
        <f>IFERROR(INDEX(منتجات!$G$3:$G$114,MATCH(B1555,منتجات!$A$3:$A$115,0)),"")</f>
        <v/>
      </c>
      <c r="G1555" s="51" t="str">
        <f t="shared" si="26"/>
        <v/>
      </c>
      <c r="H1555" s="54"/>
    </row>
    <row r="1556" spans="1:8" x14ac:dyDescent="0.35">
      <c r="A1556" s="51"/>
      <c r="B1556" s="51"/>
      <c r="C1556" s="51" t="str">
        <f>IFERROR(VLOOKUP(B1556,منتجات!$A$3:$C$350,2,0),"")</f>
        <v/>
      </c>
      <c r="D1556" s="51" t="str">
        <f>IFERROR(VLOOKUP(B1556,منتجات!$A$3:$C$350,3,0),"")</f>
        <v/>
      </c>
      <c r="E1556" s="51"/>
      <c r="F1556" s="51" t="str">
        <f>IFERROR(INDEX(منتجات!$G$3:$G$114,MATCH(B1556,منتجات!$A$3:$A$115,0)),"")</f>
        <v/>
      </c>
      <c r="G1556" s="51" t="str">
        <f t="shared" si="26"/>
        <v/>
      </c>
      <c r="H1556" s="53"/>
    </row>
    <row r="1557" spans="1:8" x14ac:dyDescent="0.35">
      <c r="A1557" s="49"/>
      <c r="B1557" s="49"/>
      <c r="C1557" s="51" t="str">
        <f>IFERROR(VLOOKUP(B1557,منتجات!$A$3:$C$350,2,0),"")</f>
        <v/>
      </c>
      <c r="D1557" s="49" t="str">
        <f>IFERROR(VLOOKUP(B1557,منتجات!$A$3:$C$350,3,0),"")</f>
        <v/>
      </c>
      <c r="E1557" s="49"/>
      <c r="F1557" s="49" t="str">
        <f>IFERROR(INDEX(منتجات!$G$3:$G$114,MATCH(B1557,منتجات!$A$3:$A$115,0)),"")</f>
        <v/>
      </c>
      <c r="G1557" s="51" t="str">
        <f t="shared" si="26"/>
        <v/>
      </c>
      <c r="H1557" s="54"/>
    </row>
    <row r="1558" spans="1:8" x14ac:dyDescent="0.35">
      <c r="A1558" s="51"/>
      <c r="B1558" s="51"/>
      <c r="C1558" s="51" t="str">
        <f>IFERROR(VLOOKUP(B1558,منتجات!$A$3:$C$350,2,0),"")</f>
        <v/>
      </c>
      <c r="D1558" s="51" t="str">
        <f>IFERROR(VLOOKUP(B1558,منتجات!$A$3:$C$350,3,0),"")</f>
        <v/>
      </c>
      <c r="E1558" s="51"/>
      <c r="F1558" s="51" t="str">
        <f>IFERROR(INDEX(منتجات!$G$3:$G$114,MATCH(B1558,منتجات!$A$3:$A$115,0)),"")</f>
        <v/>
      </c>
      <c r="G1558" s="51" t="str">
        <f t="shared" si="26"/>
        <v/>
      </c>
      <c r="H1558" s="53"/>
    </row>
    <row r="1559" spans="1:8" x14ac:dyDescent="0.35">
      <c r="A1559" s="49"/>
      <c r="B1559" s="49"/>
      <c r="C1559" s="51" t="str">
        <f>IFERROR(VLOOKUP(B1559,منتجات!$A$3:$C$350,2,0),"")</f>
        <v/>
      </c>
      <c r="D1559" s="49" t="str">
        <f>IFERROR(VLOOKUP(B1559,منتجات!$A$3:$C$350,3,0),"")</f>
        <v/>
      </c>
      <c r="E1559" s="49"/>
      <c r="F1559" s="49" t="str">
        <f>IFERROR(INDEX(منتجات!$G$3:$G$114,MATCH(B1559,منتجات!$A$3:$A$115,0)),"")</f>
        <v/>
      </c>
      <c r="G1559" s="51" t="str">
        <f t="shared" si="26"/>
        <v/>
      </c>
      <c r="H1559" s="54"/>
    </row>
    <row r="1560" spans="1:8" x14ac:dyDescent="0.35">
      <c r="A1560" s="51"/>
      <c r="B1560" s="51"/>
      <c r="C1560" s="51" t="str">
        <f>IFERROR(VLOOKUP(B1560,منتجات!$A$3:$C$350,2,0),"")</f>
        <v/>
      </c>
      <c r="D1560" s="51" t="str">
        <f>IFERROR(VLOOKUP(B1560,منتجات!$A$3:$C$350,3,0),"")</f>
        <v/>
      </c>
      <c r="E1560" s="51"/>
      <c r="F1560" s="51" t="str">
        <f>IFERROR(INDEX(منتجات!$G$3:$G$114,MATCH(B1560,منتجات!$A$3:$A$115,0)),"")</f>
        <v/>
      </c>
      <c r="G1560" s="51" t="str">
        <f t="shared" si="26"/>
        <v/>
      </c>
      <c r="H1560" s="53"/>
    </row>
    <row r="1561" spans="1:8" x14ac:dyDescent="0.35">
      <c r="A1561" s="49"/>
      <c r="B1561" s="49"/>
      <c r="C1561" s="51" t="str">
        <f>IFERROR(VLOOKUP(B1561,منتجات!$A$3:$C$350,2,0),"")</f>
        <v/>
      </c>
      <c r="D1561" s="49" t="str">
        <f>IFERROR(VLOOKUP(B1561,منتجات!$A$3:$C$350,3,0),"")</f>
        <v/>
      </c>
      <c r="E1561" s="49"/>
      <c r="F1561" s="49" t="str">
        <f>IFERROR(INDEX(منتجات!$G$3:$G$114,MATCH(B1561,منتجات!$A$3:$A$115,0)),"")</f>
        <v/>
      </c>
      <c r="G1561" s="51" t="str">
        <f t="shared" si="26"/>
        <v/>
      </c>
      <c r="H1561" s="54"/>
    </row>
    <row r="1562" spans="1:8" x14ac:dyDescent="0.35">
      <c r="A1562" s="51"/>
      <c r="B1562" s="51"/>
      <c r="C1562" s="51" t="str">
        <f>IFERROR(VLOOKUP(B1562,منتجات!$A$3:$C$350,2,0),"")</f>
        <v/>
      </c>
      <c r="D1562" s="51" t="str">
        <f>IFERROR(VLOOKUP(B1562,منتجات!$A$3:$C$350,3,0),"")</f>
        <v/>
      </c>
      <c r="E1562" s="51"/>
      <c r="F1562" s="51" t="str">
        <f>IFERROR(INDEX(منتجات!$G$3:$G$114,MATCH(B1562,منتجات!$A$3:$A$115,0)),"")</f>
        <v/>
      </c>
      <c r="G1562" s="51" t="str">
        <f t="shared" si="26"/>
        <v/>
      </c>
      <c r="H1562" s="53"/>
    </row>
    <row r="1563" spans="1:8" x14ac:dyDescent="0.35">
      <c r="A1563" s="49"/>
      <c r="B1563" s="49"/>
      <c r="C1563" s="51" t="str">
        <f>IFERROR(VLOOKUP(B1563,منتجات!$A$3:$C$350,2,0),"")</f>
        <v/>
      </c>
      <c r="D1563" s="49" t="str">
        <f>IFERROR(VLOOKUP(B1563,منتجات!$A$3:$C$350,3,0),"")</f>
        <v/>
      </c>
      <c r="E1563" s="49"/>
      <c r="F1563" s="49" t="str">
        <f>IFERROR(INDEX(منتجات!$G$3:$G$114,MATCH(B1563,منتجات!$A$3:$A$115,0)),"")</f>
        <v/>
      </c>
      <c r="G1563" s="51" t="str">
        <f t="shared" si="26"/>
        <v/>
      </c>
      <c r="H1563" s="54"/>
    </row>
    <row r="1564" spans="1:8" x14ac:dyDescent="0.35">
      <c r="A1564" s="51"/>
      <c r="B1564" s="51"/>
      <c r="C1564" s="51" t="str">
        <f>IFERROR(VLOOKUP(B1564,منتجات!$A$3:$C$350,2,0),"")</f>
        <v/>
      </c>
      <c r="D1564" s="51" t="str">
        <f>IFERROR(VLOOKUP(B1564,منتجات!$A$3:$C$350,3,0),"")</f>
        <v/>
      </c>
      <c r="E1564" s="51"/>
      <c r="F1564" s="51" t="str">
        <f>IFERROR(INDEX(منتجات!$G$3:$G$114,MATCH(B1564,منتجات!$A$3:$A$115,0)),"")</f>
        <v/>
      </c>
      <c r="G1564" s="51" t="str">
        <f t="shared" si="26"/>
        <v/>
      </c>
      <c r="H1564" s="53"/>
    </row>
    <row r="1565" spans="1:8" x14ac:dyDescent="0.35">
      <c r="A1565" s="49"/>
      <c r="B1565" s="49"/>
      <c r="C1565" s="51" t="str">
        <f>IFERROR(VLOOKUP(B1565,منتجات!$A$3:$C$350,2,0),"")</f>
        <v/>
      </c>
      <c r="D1565" s="49" t="str">
        <f>IFERROR(VLOOKUP(B1565,منتجات!$A$3:$C$350,3,0),"")</f>
        <v/>
      </c>
      <c r="E1565" s="49"/>
      <c r="F1565" s="49" t="str">
        <f>IFERROR(INDEX(منتجات!$G$3:$G$114,MATCH(B1565,منتجات!$A$3:$A$115,0)),"")</f>
        <v/>
      </c>
      <c r="G1565" s="51" t="str">
        <f t="shared" si="26"/>
        <v/>
      </c>
      <c r="H1565" s="54"/>
    </row>
    <row r="1566" spans="1:8" x14ac:dyDescent="0.35">
      <c r="A1566" s="51"/>
      <c r="B1566" s="51"/>
      <c r="C1566" s="51" t="str">
        <f>IFERROR(VLOOKUP(B1566,منتجات!$A$3:$C$350,2,0),"")</f>
        <v/>
      </c>
      <c r="D1566" s="51" t="str">
        <f>IFERROR(VLOOKUP(B1566,منتجات!$A$3:$C$350,3,0),"")</f>
        <v/>
      </c>
      <c r="E1566" s="51"/>
      <c r="F1566" s="51" t="str">
        <f>IFERROR(INDEX(منتجات!$G$3:$G$114,MATCH(B1566,منتجات!$A$3:$A$115,0)),"")</f>
        <v/>
      </c>
      <c r="G1566" s="51" t="str">
        <f t="shared" si="26"/>
        <v/>
      </c>
      <c r="H1566" s="53"/>
    </row>
    <row r="1567" spans="1:8" x14ac:dyDescent="0.35">
      <c r="A1567" s="49"/>
      <c r="B1567" s="49"/>
      <c r="C1567" s="51" t="str">
        <f>IFERROR(VLOOKUP(B1567,منتجات!$A$3:$C$350,2,0),"")</f>
        <v/>
      </c>
      <c r="D1567" s="49" t="str">
        <f>IFERROR(VLOOKUP(B1567,منتجات!$A$3:$C$350,3,0),"")</f>
        <v/>
      </c>
      <c r="E1567" s="49"/>
      <c r="F1567" s="49" t="str">
        <f>IFERROR(INDEX(منتجات!$G$3:$G$114,MATCH(B1567,منتجات!$A$3:$A$115,0)),"")</f>
        <v/>
      </c>
      <c r="G1567" s="51" t="str">
        <f t="shared" si="26"/>
        <v/>
      </c>
      <c r="H1567" s="54"/>
    </row>
    <row r="1568" spans="1:8" x14ac:dyDescent="0.35">
      <c r="A1568" s="51"/>
      <c r="B1568" s="51"/>
      <c r="C1568" s="51" t="str">
        <f>IFERROR(VLOOKUP(B1568,منتجات!$A$3:$C$350,2,0),"")</f>
        <v/>
      </c>
      <c r="D1568" s="51" t="str">
        <f>IFERROR(VLOOKUP(B1568,منتجات!$A$3:$C$350,3,0),"")</f>
        <v/>
      </c>
      <c r="E1568" s="51"/>
      <c r="F1568" s="51" t="str">
        <f>IFERROR(INDEX(منتجات!$G$3:$G$114,MATCH(B1568,منتجات!$A$3:$A$115,0)),"")</f>
        <v/>
      </c>
      <c r="G1568" s="51" t="str">
        <f t="shared" si="26"/>
        <v/>
      </c>
      <c r="H1568" s="53"/>
    </row>
    <row r="1569" spans="1:8" x14ac:dyDescent="0.35">
      <c r="A1569" s="49"/>
      <c r="B1569" s="49"/>
      <c r="C1569" s="51" t="str">
        <f>IFERROR(VLOOKUP(B1569,منتجات!$A$3:$C$350,2,0),"")</f>
        <v/>
      </c>
      <c r="D1569" s="49" t="str">
        <f>IFERROR(VLOOKUP(B1569,منتجات!$A$3:$C$350,3,0),"")</f>
        <v/>
      </c>
      <c r="E1569" s="49"/>
      <c r="F1569" s="49" t="str">
        <f>IFERROR(INDEX(منتجات!$G$3:$G$114,MATCH(B1569,منتجات!$A$3:$A$115,0)),"")</f>
        <v/>
      </c>
      <c r="G1569" s="51" t="str">
        <f t="shared" si="26"/>
        <v/>
      </c>
      <c r="H1569" s="54"/>
    </row>
    <row r="1570" spans="1:8" x14ac:dyDescent="0.35">
      <c r="A1570" s="51"/>
      <c r="B1570" s="51"/>
      <c r="C1570" s="51" t="str">
        <f>IFERROR(VLOOKUP(B1570,منتجات!$A$3:$C$350,2,0),"")</f>
        <v/>
      </c>
      <c r="D1570" s="51" t="str">
        <f>IFERROR(VLOOKUP(B1570,منتجات!$A$3:$C$350,3,0),"")</f>
        <v/>
      </c>
      <c r="E1570" s="51"/>
      <c r="F1570" s="51" t="str">
        <f>IFERROR(INDEX(منتجات!$G$3:$G$114,MATCH(B1570,منتجات!$A$3:$A$115,0)),"")</f>
        <v/>
      </c>
      <c r="G1570" s="51" t="str">
        <f t="shared" si="26"/>
        <v/>
      </c>
      <c r="H1570" s="53"/>
    </row>
    <row r="1571" spans="1:8" x14ac:dyDescent="0.35">
      <c r="A1571" s="49"/>
      <c r="B1571" s="49"/>
      <c r="C1571" s="51" t="str">
        <f>IFERROR(VLOOKUP(B1571,منتجات!$A$3:$C$350,2,0),"")</f>
        <v/>
      </c>
      <c r="D1571" s="49" t="str">
        <f>IFERROR(VLOOKUP(B1571,منتجات!$A$3:$C$350,3,0),"")</f>
        <v/>
      </c>
      <c r="E1571" s="49"/>
      <c r="F1571" s="49" t="str">
        <f>IFERROR(INDEX(منتجات!$G$3:$G$114,MATCH(B1571,منتجات!$A$3:$A$115,0)),"")</f>
        <v/>
      </c>
      <c r="G1571" s="51" t="str">
        <f t="shared" si="26"/>
        <v/>
      </c>
      <c r="H1571" s="54"/>
    </row>
    <row r="1572" spans="1:8" x14ac:dyDescent="0.35">
      <c r="A1572" s="51"/>
      <c r="B1572" s="51"/>
      <c r="C1572" s="51" t="str">
        <f>IFERROR(VLOOKUP(B1572,منتجات!$A$3:$C$350,2,0),"")</f>
        <v/>
      </c>
      <c r="D1572" s="51" t="str">
        <f>IFERROR(VLOOKUP(B1572,منتجات!$A$3:$C$350,3,0),"")</f>
        <v/>
      </c>
      <c r="E1572" s="51"/>
      <c r="F1572" s="51" t="str">
        <f>IFERROR(INDEX(منتجات!$G$3:$G$114,MATCH(B1572,منتجات!$A$3:$A$115,0)),"")</f>
        <v/>
      </c>
      <c r="G1572" s="51" t="str">
        <f t="shared" si="26"/>
        <v/>
      </c>
      <c r="H1572" s="53"/>
    </row>
    <row r="1573" spans="1:8" x14ac:dyDescent="0.35">
      <c r="A1573" s="49"/>
      <c r="B1573" s="49"/>
      <c r="C1573" s="51" t="str">
        <f>IFERROR(VLOOKUP(B1573,منتجات!$A$3:$C$350,2,0),"")</f>
        <v/>
      </c>
      <c r="D1573" s="49" t="str">
        <f>IFERROR(VLOOKUP(B1573,منتجات!$A$3:$C$350,3,0),"")</f>
        <v/>
      </c>
      <c r="E1573" s="49"/>
      <c r="F1573" s="49" t="str">
        <f>IFERROR(INDEX(منتجات!$G$3:$G$114,MATCH(B1573,منتجات!$A$3:$A$115,0)),"")</f>
        <v/>
      </c>
      <c r="G1573" s="51" t="str">
        <f t="shared" si="26"/>
        <v/>
      </c>
      <c r="H1573" s="54"/>
    </row>
    <row r="1574" spans="1:8" x14ac:dyDescent="0.35">
      <c r="A1574" s="51"/>
      <c r="B1574" s="51"/>
      <c r="C1574" s="51" t="str">
        <f>IFERROR(VLOOKUP(B1574,منتجات!$A$3:$C$350,2,0),"")</f>
        <v/>
      </c>
      <c r="D1574" s="51" t="str">
        <f>IFERROR(VLOOKUP(B1574,منتجات!$A$3:$C$350,3,0),"")</f>
        <v/>
      </c>
      <c r="E1574" s="51"/>
      <c r="F1574" s="51" t="str">
        <f>IFERROR(INDEX(منتجات!$G$3:$G$114,MATCH(B1574,منتجات!$A$3:$A$115,0)),"")</f>
        <v/>
      </c>
      <c r="G1574" s="51" t="str">
        <f t="shared" si="26"/>
        <v/>
      </c>
      <c r="H1574" s="53"/>
    </row>
    <row r="1575" spans="1:8" x14ac:dyDescent="0.35">
      <c r="A1575" s="49"/>
      <c r="B1575" s="49"/>
      <c r="C1575" s="51" t="str">
        <f>IFERROR(VLOOKUP(B1575,منتجات!$A$3:$C$350,2,0),"")</f>
        <v/>
      </c>
      <c r="D1575" s="49" t="str">
        <f>IFERROR(VLOOKUP(B1575,منتجات!$A$3:$C$350,3,0),"")</f>
        <v/>
      </c>
      <c r="E1575" s="49"/>
      <c r="F1575" s="49" t="str">
        <f>IFERROR(INDEX(منتجات!$G$3:$G$114,MATCH(B1575,منتجات!$A$3:$A$115,0)),"")</f>
        <v/>
      </c>
      <c r="G1575" s="51" t="str">
        <f t="shared" si="26"/>
        <v/>
      </c>
      <c r="H1575" s="54"/>
    </row>
    <row r="1576" spans="1:8" x14ac:dyDescent="0.35">
      <c r="A1576" s="51"/>
      <c r="B1576" s="51"/>
      <c r="C1576" s="51" t="str">
        <f>IFERROR(VLOOKUP(B1576,منتجات!$A$3:$C$350,2,0),"")</f>
        <v/>
      </c>
      <c r="D1576" s="51" t="str">
        <f>IFERROR(VLOOKUP(B1576,منتجات!$A$3:$C$350,3,0),"")</f>
        <v/>
      </c>
      <c r="E1576" s="51"/>
      <c r="F1576" s="51" t="str">
        <f>IFERROR(INDEX(منتجات!$G$3:$G$114,MATCH(B1576,منتجات!$A$3:$A$115,0)),"")</f>
        <v/>
      </c>
      <c r="G1576" s="51" t="str">
        <f t="shared" si="26"/>
        <v/>
      </c>
      <c r="H1576" s="53"/>
    </row>
    <row r="1577" spans="1:8" x14ac:dyDescent="0.35">
      <c r="A1577" s="49"/>
      <c r="B1577" s="49"/>
      <c r="C1577" s="51" t="str">
        <f>IFERROR(VLOOKUP(B1577,منتجات!$A$3:$C$350,2,0),"")</f>
        <v/>
      </c>
      <c r="D1577" s="49" t="str">
        <f>IFERROR(VLOOKUP(B1577,منتجات!$A$3:$C$350,3,0),"")</f>
        <v/>
      </c>
      <c r="E1577" s="49"/>
      <c r="F1577" s="49" t="str">
        <f>IFERROR(INDEX(منتجات!$G$3:$G$114,MATCH(B1577,منتجات!$A$3:$A$115,0)),"")</f>
        <v/>
      </c>
      <c r="G1577" s="51" t="str">
        <f t="shared" si="26"/>
        <v/>
      </c>
      <c r="H1577" s="54"/>
    </row>
    <row r="1578" spans="1:8" x14ac:dyDescent="0.35">
      <c r="A1578" s="51"/>
      <c r="B1578" s="51"/>
      <c r="C1578" s="51" t="str">
        <f>IFERROR(VLOOKUP(B1578,منتجات!$A$3:$C$350,2,0),"")</f>
        <v/>
      </c>
      <c r="D1578" s="51" t="str">
        <f>IFERROR(VLOOKUP(B1578,منتجات!$A$3:$C$350,3,0),"")</f>
        <v/>
      </c>
      <c r="E1578" s="51"/>
      <c r="F1578" s="51" t="str">
        <f>IFERROR(INDEX(منتجات!$G$3:$G$114,MATCH(B1578,منتجات!$A$3:$A$115,0)),"")</f>
        <v/>
      </c>
      <c r="G1578" s="51" t="str">
        <f t="shared" si="26"/>
        <v/>
      </c>
      <c r="H1578" s="53"/>
    </row>
    <row r="1579" spans="1:8" x14ac:dyDescent="0.35">
      <c r="A1579" s="49"/>
      <c r="B1579" s="49"/>
      <c r="C1579" s="51" t="str">
        <f>IFERROR(VLOOKUP(B1579,منتجات!$A$3:$C$350,2,0),"")</f>
        <v/>
      </c>
      <c r="D1579" s="49" t="str">
        <f>IFERROR(VLOOKUP(B1579,منتجات!$A$3:$C$350,3,0),"")</f>
        <v/>
      </c>
      <c r="E1579" s="49"/>
      <c r="F1579" s="49" t="str">
        <f>IFERROR(INDEX(منتجات!$G$3:$G$114,MATCH(B1579,منتجات!$A$3:$A$115,0)),"")</f>
        <v/>
      </c>
      <c r="G1579" s="51" t="str">
        <f t="shared" si="26"/>
        <v/>
      </c>
      <c r="H1579" s="54"/>
    </row>
    <row r="1580" spans="1:8" x14ac:dyDescent="0.35">
      <c r="A1580" s="51"/>
      <c r="B1580" s="51"/>
      <c r="C1580" s="51" t="str">
        <f>IFERROR(VLOOKUP(B1580,منتجات!$A$3:$C$350,2,0),"")</f>
        <v/>
      </c>
      <c r="D1580" s="51" t="str">
        <f>IFERROR(VLOOKUP(B1580,منتجات!$A$3:$C$350,3,0),"")</f>
        <v/>
      </c>
      <c r="E1580" s="51"/>
      <c r="F1580" s="51" t="str">
        <f>IFERROR(INDEX(منتجات!$G$3:$G$114,MATCH(B1580,منتجات!$A$3:$A$115,0)),"")</f>
        <v/>
      </c>
      <c r="G1580" s="51" t="str">
        <f t="shared" si="26"/>
        <v/>
      </c>
      <c r="H1580" s="53"/>
    </row>
    <row r="1581" spans="1:8" x14ac:dyDescent="0.35">
      <c r="A1581" s="49"/>
      <c r="B1581" s="49"/>
      <c r="C1581" s="51" t="str">
        <f>IFERROR(VLOOKUP(B1581,منتجات!$A$3:$C$350,2,0),"")</f>
        <v/>
      </c>
      <c r="D1581" s="49" t="str">
        <f>IFERROR(VLOOKUP(B1581,منتجات!$A$3:$C$350,3,0),"")</f>
        <v/>
      </c>
      <c r="E1581" s="49"/>
      <c r="F1581" s="49" t="str">
        <f>IFERROR(INDEX(منتجات!$G$3:$G$114,MATCH(B1581,منتجات!$A$3:$A$115,0)),"")</f>
        <v/>
      </c>
      <c r="G1581" s="51" t="str">
        <f t="shared" si="26"/>
        <v/>
      </c>
      <c r="H1581" s="54"/>
    </row>
    <row r="1582" spans="1:8" x14ac:dyDescent="0.35">
      <c r="A1582" s="51"/>
      <c r="B1582" s="51"/>
      <c r="C1582" s="51" t="str">
        <f>IFERROR(VLOOKUP(B1582,منتجات!$A$3:$C$350,2,0),"")</f>
        <v/>
      </c>
      <c r="D1582" s="51" t="str">
        <f>IFERROR(VLOOKUP(B1582,منتجات!$A$3:$C$350,3,0),"")</f>
        <v/>
      </c>
      <c r="E1582" s="51"/>
      <c r="F1582" s="51" t="str">
        <f>IFERROR(INDEX(منتجات!$G$3:$G$114,MATCH(B1582,منتجات!$A$3:$A$115,0)),"")</f>
        <v/>
      </c>
      <c r="G1582" s="51" t="str">
        <f t="shared" si="26"/>
        <v/>
      </c>
      <c r="H1582" s="53"/>
    </row>
    <row r="1583" spans="1:8" x14ac:dyDescent="0.35">
      <c r="A1583" s="49"/>
      <c r="B1583" s="49"/>
      <c r="C1583" s="51" t="str">
        <f>IFERROR(VLOOKUP(B1583,منتجات!$A$3:$C$350,2,0),"")</f>
        <v/>
      </c>
      <c r="D1583" s="49" t="str">
        <f>IFERROR(VLOOKUP(B1583,منتجات!$A$3:$C$350,3,0),"")</f>
        <v/>
      </c>
      <c r="E1583" s="49"/>
      <c r="F1583" s="49" t="str">
        <f>IFERROR(INDEX(منتجات!$G$3:$G$114,MATCH(B1583,منتجات!$A$3:$A$115,0)),"")</f>
        <v/>
      </c>
      <c r="G1583" s="51" t="str">
        <f t="shared" si="26"/>
        <v/>
      </c>
      <c r="H1583" s="54"/>
    </row>
    <row r="1584" spans="1:8" x14ac:dyDescent="0.35">
      <c r="A1584" s="51"/>
      <c r="B1584" s="51"/>
      <c r="C1584" s="51" t="str">
        <f>IFERROR(VLOOKUP(B1584,منتجات!$A$3:$C$350,2,0),"")</f>
        <v/>
      </c>
      <c r="D1584" s="51" t="str">
        <f>IFERROR(VLOOKUP(B1584,منتجات!$A$3:$C$350,3,0),"")</f>
        <v/>
      </c>
      <c r="E1584" s="51"/>
      <c r="F1584" s="51" t="str">
        <f>IFERROR(INDEX(منتجات!$G$3:$G$114,MATCH(B1584,منتجات!$A$3:$A$115,0)),"")</f>
        <v/>
      </c>
      <c r="G1584" s="51" t="str">
        <f t="shared" si="26"/>
        <v/>
      </c>
      <c r="H1584" s="53"/>
    </row>
    <row r="1585" spans="1:8" x14ac:dyDescent="0.35">
      <c r="A1585" s="49"/>
      <c r="B1585" s="49"/>
      <c r="C1585" s="51" t="str">
        <f>IFERROR(VLOOKUP(B1585,منتجات!$A$3:$C$350,2,0),"")</f>
        <v/>
      </c>
      <c r="D1585" s="49" t="str">
        <f>IFERROR(VLOOKUP(B1585,منتجات!$A$3:$C$350,3,0),"")</f>
        <v/>
      </c>
      <c r="E1585" s="49"/>
      <c r="F1585" s="49" t="str">
        <f>IFERROR(INDEX(منتجات!$G$3:$G$114,MATCH(B1585,منتجات!$A$3:$A$115,0)),"")</f>
        <v/>
      </c>
      <c r="G1585" s="51" t="str">
        <f t="shared" si="26"/>
        <v/>
      </c>
      <c r="H1585" s="54"/>
    </row>
    <row r="1586" spans="1:8" x14ac:dyDescent="0.35">
      <c r="A1586" s="51"/>
      <c r="B1586" s="51"/>
      <c r="C1586" s="51" t="str">
        <f>IFERROR(VLOOKUP(B1586,منتجات!$A$3:$C$350,2,0),"")</f>
        <v/>
      </c>
      <c r="D1586" s="51" t="str">
        <f>IFERROR(VLOOKUP(B1586,منتجات!$A$3:$C$350,3,0),"")</f>
        <v/>
      </c>
      <c r="E1586" s="51"/>
      <c r="F1586" s="51" t="str">
        <f>IFERROR(INDEX(منتجات!$G$3:$G$114,MATCH(B1586,منتجات!$A$3:$A$115,0)),"")</f>
        <v/>
      </c>
      <c r="G1586" s="51" t="str">
        <f t="shared" si="26"/>
        <v/>
      </c>
      <c r="H1586" s="53"/>
    </row>
    <row r="1587" spans="1:8" x14ac:dyDescent="0.35">
      <c r="A1587" s="49"/>
      <c r="B1587" s="49"/>
      <c r="C1587" s="51" t="str">
        <f>IFERROR(VLOOKUP(B1587,منتجات!$A$3:$C$350,2,0),"")</f>
        <v/>
      </c>
      <c r="D1587" s="49" t="str">
        <f>IFERROR(VLOOKUP(B1587,منتجات!$A$3:$C$350,3,0),"")</f>
        <v/>
      </c>
      <c r="E1587" s="49"/>
      <c r="F1587" s="49" t="str">
        <f>IFERROR(INDEX(منتجات!$G$3:$G$114,MATCH(B1587,منتجات!$A$3:$A$115,0)),"")</f>
        <v/>
      </c>
      <c r="G1587" s="51" t="str">
        <f t="shared" si="26"/>
        <v/>
      </c>
      <c r="H1587" s="54"/>
    </row>
    <row r="1588" spans="1:8" x14ac:dyDescent="0.35">
      <c r="A1588" s="51"/>
      <c r="B1588" s="51"/>
      <c r="C1588" s="51" t="str">
        <f>IFERROR(VLOOKUP(B1588,منتجات!$A$3:$C$350,2,0),"")</f>
        <v/>
      </c>
      <c r="D1588" s="51" t="str">
        <f>IFERROR(VLOOKUP(B1588,منتجات!$A$3:$C$350,3,0),"")</f>
        <v/>
      </c>
      <c r="E1588" s="51"/>
      <c r="F1588" s="51" t="str">
        <f>IFERROR(INDEX(منتجات!$G$3:$G$114,MATCH(B1588,منتجات!$A$3:$A$115,0)),"")</f>
        <v/>
      </c>
      <c r="G1588" s="51" t="str">
        <f t="shared" si="26"/>
        <v/>
      </c>
      <c r="H1588" s="53"/>
    </row>
    <row r="1589" spans="1:8" x14ac:dyDescent="0.35">
      <c r="A1589" s="49"/>
      <c r="B1589" s="49"/>
      <c r="C1589" s="51" t="str">
        <f>IFERROR(VLOOKUP(B1589,منتجات!$A$3:$C$350,2,0),"")</f>
        <v/>
      </c>
      <c r="D1589" s="49" t="str">
        <f>IFERROR(VLOOKUP(B1589,منتجات!$A$3:$C$350,3,0),"")</f>
        <v/>
      </c>
      <c r="E1589" s="49"/>
      <c r="F1589" s="49" t="str">
        <f>IFERROR(INDEX(منتجات!$G$3:$G$114,MATCH(B1589,منتجات!$A$3:$A$115,0)),"")</f>
        <v/>
      </c>
      <c r="G1589" s="51" t="str">
        <f t="shared" si="26"/>
        <v/>
      </c>
      <c r="H1589" s="54"/>
    </row>
    <row r="1590" spans="1:8" x14ac:dyDescent="0.35">
      <c r="A1590" s="51"/>
      <c r="B1590" s="51"/>
      <c r="C1590" s="51" t="str">
        <f>IFERROR(VLOOKUP(B1590,منتجات!$A$3:$C$350,2,0),"")</f>
        <v/>
      </c>
      <c r="D1590" s="51" t="str">
        <f>IFERROR(VLOOKUP(B1590,منتجات!$A$3:$C$350,3,0),"")</f>
        <v/>
      </c>
      <c r="E1590" s="51"/>
      <c r="F1590" s="51" t="str">
        <f>IFERROR(INDEX(منتجات!$G$3:$G$114,MATCH(B1590,منتجات!$A$3:$A$115,0)),"")</f>
        <v/>
      </c>
      <c r="G1590" s="51" t="str">
        <f t="shared" si="26"/>
        <v/>
      </c>
      <c r="H1590" s="53"/>
    </row>
    <row r="1591" spans="1:8" x14ac:dyDescent="0.35">
      <c r="A1591" s="49"/>
      <c r="B1591" s="49"/>
      <c r="C1591" s="51" t="str">
        <f>IFERROR(VLOOKUP(B1591,منتجات!$A$3:$C$350,2,0),"")</f>
        <v/>
      </c>
      <c r="D1591" s="49" t="str">
        <f>IFERROR(VLOOKUP(B1591,منتجات!$A$3:$C$350,3,0),"")</f>
        <v/>
      </c>
      <c r="E1591" s="49"/>
      <c r="F1591" s="49" t="str">
        <f>IFERROR(INDEX(منتجات!$G$3:$G$114,MATCH(B1591,منتجات!$A$3:$A$115,0)),"")</f>
        <v/>
      </c>
      <c r="G1591" s="51" t="str">
        <f t="shared" si="26"/>
        <v/>
      </c>
      <c r="H1591" s="54"/>
    </row>
    <row r="1592" spans="1:8" x14ac:dyDescent="0.35">
      <c r="A1592" s="51"/>
      <c r="B1592" s="51"/>
      <c r="C1592" s="51" t="str">
        <f>IFERROR(VLOOKUP(B1592,منتجات!$A$3:$C$350,2,0),"")</f>
        <v/>
      </c>
      <c r="D1592" s="51" t="str">
        <f>IFERROR(VLOOKUP(B1592,منتجات!$A$3:$C$350,3,0),"")</f>
        <v/>
      </c>
      <c r="E1592" s="51"/>
      <c r="F1592" s="51" t="str">
        <f>IFERROR(INDEX(منتجات!$G$3:$G$114,MATCH(B1592,منتجات!$A$3:$A$115,0)),"")</f>
        <v/>
      </c>
      <c r="G1592" s="51" t="str">
        <f t="shared" si="26"/>
        <v/>
      </c>
      <c r="H1592" s="53"/>
    </row>
    <row r="1593" spans="1:8" x14ac:dyDescent="0.35">
      <c r="A1593" s="49"/>
      <c r="B1593" s="49"/>
      <c r="C1593" s="51" t="str">
        <f>IFERROR(VLOOKUP(B1593,منتجات!$A$3:$C$350,2,0),"")</f>
        <v/>
      </c>
      <c r="D1593" s="49" t="str">
        <f>IFERROR(VLOOKUP(B1593,منتجات!$A$3:$C$350,3,0),"")</f>
        <v/>
      </c>
      <c r="E1593" s="49"/>
      <c r="F1593" s="49" t="str">
        <f>IFERROR(INDEX(منتجات!$G$3:$G$114,MATCH(B1593,منتجات!$A$3:$A$115,0)),"")</f>
        <v/>
      </c>
      <c r="G1593" s="51" t="str">
        <f t="shared" si="26"/>
        <v/>
      </c>
      <c r="H1593" s="54"/>
    </row>
    <row r="1594" spans="1:8" x14ac:dyDescent="0.35">
      <c r="A1594" s="51"/>
      <c r="B1594" s="51"/>
      <c r="C1594" s="51" t="str">
        <f>IFERROR(VLOOKUP(B1594,منتجات!$A$3:$C$350,2,0),"")</f>
        <v/>
      </c>
      <c r="D1594" s="51" t="str">
        <f>IFERROR(VLOOKUP(B1594,منتجات!$A$3:$C$350,3,0),"")</f>
        <v/>
      </c>
      <c r="E1594" s="51"/>
      <c r="F1594" s="51" t="str">
        <f>IFERROR(INDEX(منتجات!$G$3:$G$114,MATCH(B1594,منتجات!$A$3:$A$115,0)),"")</f>
        <v/>
      </c>
      <c r="G1594" s="51" t="str">
        <f t="shared" si="26"/>
        <v/>
      </c>
      <c r="H1594" s="53"/>
    </row>
    <row r="1595" spans="1:8" x14ac:dyDescent="0.35">
      <c r="A1595" s="49"/>
      <c r="B1595" s="49"/>
      <c r="C1595" s="51" t="str">
        <f>IFERROR(VLOOKUP(B1595,منتجات!$A$3:$C$350,2,0),"")</f>
        <v/>
      </c>
      <c r="D1595" s="49" t="str">
        <f>IFERROR(VLOOKUP(B1595,منتجات!$A$3:$C$350,3,0),"")</f>
        <v/>
      </c>
      <c r="E1595" s="49"/>
      <c r="F1595" s="49" t="str">
        <f>IFERROR(INDEX(منتجات!$G$3:$G$114,MATCH(B1595,منتجات!$A$3:$A$115,0)),"")</f>
        <v/>
      </c>
      <c r="G1595" s="51" t="str">
        <f t="shared" si="26"/>
        <v/>
      </c>
      <c r="H1595" s="54"/>
    </row>
    <row r="1596" spans="1:8" x14ac:dyDescent="0.35">
      <c r="A1596" s="51"/>
      <c r="B1596" s="51"/>
      <c r="C1596" s="51" t="str">
        <f>IFERROR(VLOOKUP(B1596,منتجات!$A$3:$C$350,2,0),"")</f>
        <v/>
      </c>
      <c r="D1596" s="51" t="str">
        <f>IFERROR(VLOOKUP(B1596,منتجات!$A$3:$C$350,3,0),"")</f>
        <v/>
      </c>
      <c r="E1596" s="51"/>
      <c r="F1596" s="51" t="str">
        <f>IFERROR(INDEX(منتجات!$G$3:$G$114,MATCH(B1596,منتجات!$A$3:$A$115,0)),"")</f>
        <v/>
      </c>
      <c r="G1596" s="51" t="str">
        <f t="shared" si="26"/>
        <v/>
      </c>
      <c r="H1596" s="53"/>
    </row>
    <row r="1597" spans="1:8" x14ac:dyDescent="0.35">
      <c r="A1597" s="49"/>
      <c r="B1597" s="49"/>
      <c r="C1597" s="51" t="str">
        <f>IFERROR(VLOOKUP(B1597,منتجات!$A$3:$C$350,2,0),"")</f>
        <v/>
      </c>
      <c r="D1597" s="49" t="str">
        <f>IFERROR(VLOOKUP(B1597,منتجات!$A$3:$C$350,3,0),"")</f>
        <v/>
      </c>
      <c r="E1597" s="49"/>
      <c r="F1597" s="49" t="str">
        <f>IFERROR(INDEX(منتجات!$G$3:$G$114,MATCH(B1597,منتجات!$A$3:$A$115,0)),"")</f>
        <v/>
      </c>
      <c r="G1597" s="51" t="str">
        <f t="shared" si="26"/>
        <v/>
      </c>
      <c r="H1597" s="54"/>
    </row>
    <row r="1598" spans="1:8" x14ac:dyDescent="0.35">
      <c r="A1598" s="51"/>
      <c r="B1598" s="51"/>
      <c r="C1598" s="51" t="str">
        <f>IFERROR(VLOOKUP(B1598,منتجات!$A$3:$C$350,2,0),"")</f>
        <v/>
      </c>
      <c r="D1598" s="51" t="str">
        <f>IFERROR(VLOOKUP(B1598,منتجات!$A$3:$C$350,3,0),"")</f>
        <v/>
      </c>
      <c r="E1598" s="51"/>
      <c r="F1598" s="51" t="str">
        <f>IFERROR(INDEX(منتجات!$G$3:$G$114,MATCH(B1598,منتجات!$A$3:$A$115,0)),"")</f>
        <v/>
      </c>
      <c r="G1598" s="51" t="str">
        <f t="shared" si="26"/>
        <v/>
      </c>
      <c r="H1598" s="53"/>
    </row>
    <row r="1599" spans="1:8" x14ac:dyDescent="0.35">
      <c r="A1599" s="49"/>
      <c r="B1599" s="49"/>
      <c r="C1599" s="51" t="str">
        <f>IFERROR(VLOOKUP(B1599,منتجات!$A$3:$C$350,2,0),"")</f>
        <v/>
      </c>
      <c r="D1599" s="49" t="str">
        <f>IFERROR(VLOOKUP(B1599,منتجات!$A$3:$C$350,3,0),"")</f>
        <v/>
      </c>
      <c r="E1599" s="49"/>
      <c r="F1599" s="49" t="str">
        <f>IFERROR(INDEX(منتجات!$G$3:$G$114,MATCH(B1599,منتجات!$A$3:$A$115,0)),"")</f>
        <v/>
      </c>
      <c r="G1599" s="51" t="str">
        <f t="shared" si="26"/>
        <v/>
      </c>
      <c r="H1599" s="54"/>
    </row>
    <row r="1600" spans="1:8" x14ac:dyDescent="0.35">
      <c r="A1600" s="51"/>
      <c r="B1600" s="51"/>
      <c r="C1600" s="51" t="str">
        <f>IFERROR(VLOOKUP(B1600,منتجات!$A$3:$C$350,2,0),"")</f>
        <v/>
      </c>
      <c r="D1600" s="51" t="str">
        <f>IFERROR(VLOOKUP(B1600,منتجات!$A$3:$C$350,3,0),"")</f>
        <v/>
      </c>
      <c r="E1600" s="51"/>
      <c r="F1600" s="51" t="str">
        <f>IFERROR(INDEX(منتجات!$G$3:$G$114,MATCH(B1600,منتجات!$A$3:$A$115,0)),"")</f>
        <v/>
      </c>
      <c r="G1600" s="51" t="str">
        <f t="shared" si="26"/>
        <v/>
      </c>
      <c r="H1600" s="53"/>
    </row>
    <row r="1601" spans="1:8" x14ac:dyDescent="0.35">
      <c r="A1601" s="49"/>
      <c r="B1601" s="49"/>
      <c r="C1601" s="51" t="str">
        <f>IFERROR(VLOOKUP(B1601,منتجات!$A$3:$C$350,2,0),"")</f>
        <v/>
      </c>
      <c r="D1601" s="49" t="str">
        <f>IFERROR(VLOOKUP(B1601,منتجات!$A$3:$C$350,3,0),"")</f>
        <v/>
      </c>
      <c r="E1601" s="49"/>
      <c r="F1601" s="49" t="str">
        <f>IFERROR(INDEX(منتجات!$G$3:$G$114,MATCH(B1601,منتجات!$A$3:$A$115,0)),"")</f>
        <v/>
      </c>
      <c r="G1601" s="51" t="str">
        <f t="shared" si="26"/>
        <v/>
      </c>
      <c r="H1601" s="54"/>
    </row>
    <row r="1602" spans="1:8" x14ac:dyDescent="0.35">
      <c r="A1602" s="51"/>
      <c r="B1602" s="51"/>
      <c r="C1602" s="51" t="str">
        <f>IFERROR(VLOOKUP(B1602,منتجات!$A$3:$C$350,2,0),"")</f>
        <v/>
      </c>
      <c r="D1602" s="51" t="str">
        <f>IFERROR(VLOOKUP(B1602,منتجات!$A$3:$C$350,3,0),"")</f>
        <v/>
      </c>
      <c r="E1602" s="51"/>
      <c r="F1602" s="51" t="str">
        <f>IFERROR(INDEX(منتجات!$G$3:$G$114,MATCH(B1602,منتجات!$A$3:$A$115,0)),"")</f>
        <v/>
      </c>
      <c r="G1602" s="51" t="str">
        <f t="shared" si="26"/>
        <v/>
      </c>
      <c r="H1602" s="53"/>
    </row>
    <row r="1603" spans="1:8" x14ac:dyDescent="0.35">
      <c r="A1603" s="49"/>
      <c r="B1603" s="49"/>
      <c r="C1603" s="51" t="str">
        <f>IFERROR(VLOOKUP(B1603,منتجات!$A$3:$C$350,2,0),"")</f>
        <v/>
      </c>
      <c r="D1603" s="49" t="str">
        <f>IFERROR(VLOOKUP(B1603,منتجات!$A$3:$C$350,3,0),"")</f>
        <v/>
      </c>
      <c r="E1603" s="49"/>
      <c r="F1603" s="49" t="str">
        <f>IFERROR(INDEX(منتجات!$G$3:$G$114,MATCH(B1603,منتجات!$A$3:$A$115,0)),"")</f>
        <v/>
      </c>
      <c r="G1603" s="51" t="str">
        <f t="shared" si="26"/>
        <v/>
      </c>
      <c r="H1603" s="54"/>
    </row>
    <row r="1604" spans="1:8" x14ac:dyDescent="0.35">
      <c r="A1604" s="51"/>
      <c r="B1604" s="51"/>
      <c r="C1604" s="51" t="str">
        <f>IFERROR(VLOOKUP(B1604,منتجات!$A$3:$C$350,2,0),"")</f>
        <v/>
      </c>
      <c r="D1604" s="51" t="str">
        <f>IFERROR(VLOOKUP(B1604,منتجات!$A$3:$C$350,3,0),"")</f>
        <v/>
      </c>
      <c r="E1604" s="51"/>
      <c r="F1604" s="51" t="str">
        <f>IFERROR(INDEX(منتجات!$G$3:$G$114,MATCH(B1604,منتجات!$A$3:$A$115,0)),"")</f>
        <v/>
      </c>
      <c r="G1604" s="51" t="str">
        <f t="shared" si="26"/>
        <v/>
      </c>
      <c r="H1604" s="53"/>
    </row>
    <row r="1605" spans="1:8" x14ac:dyDescent="0.35">
      <c r="A1605" s="49"/>
      <c r="B1605" s="49"/>
      <c r="C1605" s="51" t="str">
        <f>IFERROR(VLOOKUP(B1605,منتجات!$A$3:$C$350,2,0),"")</f>
        <v/>
      </c>
      <c r="D1605" s="49" t="str">
        <f>IFERROR(VLOOKUP(B1605,منتجات!$A$3:$C$350,3,0),"")</f>
        <v/>
      </c>
      <c r="E1605" s="49"/>
      <c r="F1605" s="49" t="str">
        <f>IFERROR(INDEX(منتجات!$G$3:$G$114,MATCH(B1605,منتجات!$A$3:$A$115,0)),"")</f>
        <v/>
      </c>
      <c r="G1605" s="51" t="str">
        <f t="shared" si="26"/>
        <v/>
      </c>
      <c r="H1605" s="54"/>
    </row>
    <row r="1606" spans="1:8" x14ac:dyDescent="0.35">
      <c r="A1606" s="51"/>
      <c r="B1606" s="51"/>
      <c r="C1606" s="51" t="str">
        <f>IFERROR(VLOOKUP(B1606,منتجات!$A$3:$C$350,2,0),"")</f>
        <v/>
      </c>
      <c r="D1606" s="51" t="str">
        <f>IFERROR(VLOOKUP(B1606,منتجات!$A$3:$C$350,3,0),"")</f>
        <v/>
      </c>
      <c r="E1606" s="51"/>
      <c r="F1606" s="51" t="str">
        <f>IFERROR(INDEX(منتجات!$G$3:$G$114,MATCH(B1606,منتجات!$A$3:$A$115,0)),"")</f>
        <v/>
      </c>
      <c r="G1606" s="51" t="str">
        <f t="shared" si="26"/>
        <v/>
      </c>
      <c r="H1606" s="53"/>
    </row>
    <row r="1607" spans="1:8" x14ac:dyDescent="0.35">
      <c r="A1607" s="49"/>
      <c r="B1607" s="49"/>
      <c r="C1607" s="51" t="str">
        <f>IFERROR(VLOOKUP(B1607,منتجات!$A$3:$C$350,2,0),"")</f>
        <v/>
      </c>
      <c r="D1607" s="49" t="str">
        <f>IFERROR(VLOOKUP(B1607,منتجات!$A$3:$C$350,3,0),"")</f>
        <v/>
      </c>
      <c r="E1607" s="49"/>
      <c r="F1607" s="49" t="str">
        <f>IFERROR(INDEX(منتجات!$G$3:$G$114,MATCH(B1607,منتجات!$A$3:$A$115,0)),"")</f>
        <v/>
      </c>
      <c r="G1607" s="51" t="str">
        <f t="shared" si="26"/>
        <v/>
      </c>
      <c r="H1607" s="54"/>
    </row>
    <row r="1608" spans="1:8" x14ac:dyDescent="0.35">
      <c r="A1608" s="51"/>
      <c r="B1608" s="51"/>
      <c r="C1608" s="51" t="str">
        <f>IFERROR(VLOOKUP(B1608,منتجات!$A$3:$C$350,2,0),"")</f>
        <v/>
      </c>
      <c r="D1608" s="51" t="str">
        <f>IFERROR(VLOOKUP(B1608,منتجات!$A$3:$C$350,3,0),"")</f>
        <v/>
      </c>
      <c r="E1608" s="51"/>
      <c r="F1608" s="51" t="str">
        <f>IFERROR(INDEX(منتجات!$G$3:$G$114,MATCH(B1608,منتجات!$A$3:$A$115,0)),"")</f>
        <v/>
      </c>
      <c r="G1608" s="51" t="str">
        <f t="shared" si="26"/>
        <v/>
      </c>
      <c r="H1608" s="53"/>
    </row>
    <row r="1609" spans="1:8" x14ac:dyDescent="0.35">
      <c r="A1609" s="49"/>
      <c r="B1609" s="49"/>
      <c r="C1609" s="51" t="str">
        <f>IFERROR(VLOOKUP(B1609,منتجات!$A$3:$C$350,2,0),"")</f>
        <v/>
      </c>
      <c r="D1609" s="49" t="str">
        <f>IFERROR(VLOOKUP(B1609,منتجات!$A$3:$C$350,3,0),"")</f>
        <v/>
      </c>
      <c r="E1609" s="49"/>
      <c r="F1609" s="49" t="str">
        <f>IFERROR(INDEX(منتجات!$G$3:$G$114,MATCH(B1609,منتجات!$A$3:$A$115,0)),"")</f>
        <v/>
      </c>
      <c r="G1609" s="51" t="str">
        <f t="shared" si="26"/>
        <v/>
      </c>
      <c r="H1609" s="54"/>
    </row>
    <row r="1610" spans="1:8" x14ac:dyDescent="0.35">
      <c r="A1610" s="51"/>
      <c r="B1610" s="51"/>
      <c r="C1610" s="51" t="str">
        <f>IFERROR(VLOOKUP(B1610,منتجات!$A$3:$C$350,2,0),"")</f>
        <v/>
      </c>
      <c r="D1610" s="51" t="str">
        <f>IFERROR(VLOOKUP(B1610,منتجات!$A$3:$C$350,3,0),"")</f>
        <v/>
      </c>
      <c r="E1610" s="51"/>
      <c r="F1610" s="51" t="str">
        <f>IFERROR(INDEX(منتجات!$G$3:$G$114,MATCH(B1610,منتجات!$A$3:$A$115,0)),"")</f>
        <v/>
      </c>
      <c r="G1610" s="51" t="str">
        <f t="shared" si="26"/>
        <v/>
      </c>
      <c r="H1610" s="53"/>
    </row>
    <row r="1611" spans="1:8" x14ac:dyDescent="0.35">
      <c r="A1611" s="49"/>
      <c r="B1611" s="49"/>
      <c r="C1611" s="51" t="str">
        <f>IFERROR(VLOOKUP(B1611,منتجات!$A$3:$C$350,2,0),"")</f>
        <v/>
      </c>
      <c r="D1611" s="49" t="str">
        <f>IFERROR(VLOOKUP(B1611,منتجات!$A$3:$C$350,3,0),"")</f>
        <v/>
      </c>
      <c r="E1611" s="49"/>
      <c r="F1611" s="49" t="str">
        <f>IFERROR(INDEX(منتجات!$G$3:$G$114,MATCH(B1611,منتجات!$A$3:$A$115,0)),"")</f>
        <v/>
      </c>
      <c r="G1611" s="51" t="str">
        <f t="shared" si="26"/>
        <v/>
      </c>
      <c r="H1611" s="54"/>
    </row>
    <row r="1612" spans="1:8" x14ac:dyDescent="0.35">
      <c r="A1612" s="51"/>
      <c r="B1612" s="51"/>
      <c r="C1612" s="51" t="str">
        <f>IFERROR(VLOOKUP(B1612,منتجات!$A$3:$C$350,2,0),"")</f>
        <v/>
      </c>
      <c r="D1612" s="51" t="str">
        <f>IFERROR(VLOOKUP(B1612,منتجات!$A$3:$C$350,3,0),"")</f>
        <v/>
      </c>
      <c r="E1612" s="51"/>
      <c r="F1612" s="51" t="str">
        <f>IFERROR(INDEX(منتجات!$G$3:$G$114,MATCH(B1612,منتجات!$A$3:$A$115,0)),"")</f>
        <v/>
      </c>
      <c r="G1612" s="51" t="str">
        <f t="shared" si="26"/>
        <v/>
      </c>
      <c r="H1612" s="53"/>
    </row>
    <row r="1613" spans="1:8" x14ac:dyDescent="0.35">
      <c r="A1613" s="49"/>
      <c r="B1613" s="49"/>
      <c r="C1613" s="51" t="str">
        <f>IFERROR(VLOOKUP(B1613,منتجات!$A$3:$C$350,2,0),"")</f>
        <v/>
      </c>
      <c r="D1613" s="49" t="str">
        <f>IFERROR(VLOOKUP(B1613,منتجات!$A$3:$C$350,3,0),"")</f>
        <v/>
      </c>
      <c r="E1613" s="49"/>
      <c r="F1613" s="49" t="str">
        <f>IFERROR(INDEX(منتجات!$G$3:$G$114,MATCH(B1613,منتجات!$A$3:$A$115,0)),"")</f>
        <v/>
      </c>
      <c r="G1613" s="51" t="str">
        <f t="shared" si="26"/>
        <v/>
      </c>
      <c r="H1613" s="54"/>
    </row>
    <row r="1614" spans="1:8" x14ac:dyDescent="0.35">
      <c r="A1614" s="51"/>
      <c r="B1614" s="51"/>
      <c r="C1614" s="51" t="str">
        <f>IFERROR(VLOOKUP(B1614,منتجات!$A$3:$C$350,2,0),"")</f>
        <v/>
      </c>
      <c r="D1614" s="51" t="str">
        <f>IFERROR(VLOOKUP(B1614,منتجات!$A$3:$C$350,3,0),"")</f>
        <v/>
      </c>
      <c r="E1614" s="51"/>
      <c r="F1614" s="51" t="str">
        <f>IFERROR(INDEX(منتجات!$G$3:$G$114,MATCH(B1614,منتجات!$A$3:$A$115,0)),"")</f>
        <v/>
      </c>
      <c r="G1614" s="51" t="str">
        <f t="shared" ref="G1614:G1677" si="27">IFERROR(E1614*F1614*D1614,"")</f>
        <v/>
      </c>
      <c r="H1614" s="53"/>
    </row>
    <row r="1615" spans="1:8" x14ac:dyDescent="0.35">
      <c r="A1615" s="49"/>
      <c r="B1615" s="49"/>
      <c r="C1615" s="51" t="str">
        <f>IFERROR(VLOOKUP(B1615,منتجات!$A$3:$C$350,2,0),"")</f>
        <v/>
      </c>
      <c r="D1615" s="49" t="str">
        <f>IFERROR(VLOOKUP(B1615,منتجات!$A$3:$C$350,3,0),"")</f>
        <v/>
      </c>
      <c r="E1615" s="49"/>
      <c r="F1615" s="49" t="str">
        <f>IFERROR(INDEX(منتجات!$G$3:$G$114,MATCH(B1615,منتجات!$A$3:$A$115,0)),"")</f>
        <v/>
      </c>
      <c r="G1615" s="51" t="str">
        <f t="shared" si="27"/>
        <v/>
      </c>
      <c r="H1615" s="54"/>
    </row>
    <row r="1616" spans="1:8" x14ac:dyDescent="0.35">
      <c r="A1616" s="51"/>
      <c r="B1616" s="51"/>
      <c r="C1616" s="51" t="str">
        <f>IFERROR(VLOOKUP(B1616,منتجات!$A$3:$C$350,2,0),"")</f>
        <v/>
      </c>
      <c r="D1616" s="51" t="str">
        <f>IFERROR(VLOOKUP(B1616,منتجات!$A$3:$C$350,3,0),"")</f>
        <v/>
      </c>
      <c r="E1616" s="51"/>
      <c r="F1616" s="51" t="str">
        <f>IFERROR(INDEX(منتجات!$G$3:$G$114,MATCH(B1616,منتجات!$A$3:$A$115,0)),"")</f>
        <v/>
      </c>
      <c r="G1616" s="51" t="str">
        <f t="shared" si="27"/>
        <v/>
      </c>
      <c r="H1616" s="53"/>
    </row>
    <row r="1617" spans="1:8" x14ac:dyDescent="0.35">
      <c r="A1617" s="49"/>
      <c r="B1617" s="49"/>
      <c r="C1617" s="51" t="str">
        <f>IFERROR(VLOOKUP(B1617,منتجات!$A$3:$C$350,2,0),"")</f>
        <v/>
      </c>
      <c r="D1617" s="49" t="str">
        <f>IFERROR(VLOOKUP(B1617,منتجات!$A$3:$C$350,3,0),"")</f>
        <v/>
      </c>
      <c r="E1617" s="49"/>
      <c r="F1617" s="49" t="str">
        <f>IFERROR(INDEX(منتجات!$G$3:$G$114,MATCH(B1617,منتجات!$A$3:$A$115,0)),"")</f>
        <v/>
      </c>
      <c r="G1617" s="51" t="str">
        <f t="shared" si="27"/>
        <v/>
      </c>
      <c r="H1617" s="54"/>
    </row>
    <row r="1618" spans="1:8" x14ac:dyDescent="0.35">
      <c r="A1618" s="51"/>
      <c r="B1618" s="51"/>
      <c r="C1618" s="51" t="str">
        <f>IFERROR(VLOOKUP(B1618,منتجات!$A$3:$C$350,2,0),"")</f>
        <v/>
      </c>
      <c r="D1618" s="51" t="str">
        <f>IFERROR(VLOOKUP(B1618,منتجات!$A$3:$C$350,3,0),"")</f>
        <v/>
      </c>
      <c r="E1618" s="51"/>
      <c r="F1618" s="51" t="str">
        <f>IFERROR(INDEX(منتجات!$G$3:$G$114,MATCH(B1618,منتجات!$A$3:$A$115,0)),"")</f>
        <v/>
      </c>
      <c r="G1618" s="51" t="str">
        <f t="shared" si="27"/>
        <v/>
      </c>
      <c r="H1618" s="53"/>
    </row>
    <row r="1619" spans="1:8" x14ac:dyDescent="0.35">
      <c r="A1619" s="49"/>
      <c r="B1619" s="49"/>
      <c r="C1619" s="51" t="str">
        <f>IFERROR(VLOOKUP(B1619,منتجات!$A$3:$C$350,2,0),"")</f>
        <v/>
      </c>
      <c r="D1619" s="49" t="str">
        <f>IFERROR(VLOOKUP(B1619,منتجات!$A$3:$C$350,3,0),"")</f>
        <v/>
      </c>
      <c r="E1619" s="49"/>
      <c r="F1619" s="49" t="str">
        <f>IFERROR(INDEX(منتجات!$G$3:$G$114,MATCH(B1619,منتجات!$A$3:$A$115,0)),"")</f>
        <v/>
      </c>
      <c r="G1619" s="51" t="str">
        <f t="shared" si="27"/>
        <v/>
      </c>
      <c r="H1619" s="54"/>
    </row>
    <row r="1620" spans="1:8" x14ac:dyDescent="0.35">
      <c r="A1620" s="51"/>
      <c r="B1620" s="51"/>
      <c r="C1620" s="51" t="str">
        <f>IFERROR(VLOOKUP(B1620,منتجات!$A$3:$C$350,2,0),"")</f>
        <v/>
      </c>
      <c r="D1620" s="51" t="str">
        <f>IFERROR(VLOOKUP(B1620,منتجات!$A$3:$C$350,3,0),"")</f>
        <v/>
      </c>
      <c r="E1620" s="51"/>
      <c r="F1620" s="51" t="str">
        <f>IFERROR(INDEX(منتجات!$G$3:$G$114,MATCH(B1620,منتجات!$A$3:$A$115,0)),"")</f>
        <v/>
      </c>
      <c r="G1620" s="51" t="str">
        <f t="shared" si="27"/>
        <v/>
      </c>
      <c r="H1620" s="53"/>
    </row>
    <row r="1621" spans="1:8" x14ac:dyDescent="0.35">
      <c r="A1621" s="49"/>
      <c r="B1621" s="49"/>
      <c r="C1621" s="51" t="str">
        <f>IFERROR(VLOOKUP(B1621,منتجات!$A$3:$C$350,2,0),"")</f>
        <v/>
      </c>
      <c r="D1621" s="49" t="str">
        <f>IFERROR(VLOOKUP(B1621,منتجات!$A$3:$C$350,3,0),"")</f>
        <v/>
      </c>
      <c r="E1621" s="49"/>
      <c r="F1621" s="49" t="str">
        <f>IFERROR(INDEX(منتجات!$G$3:$G$114,MATCH(B1621,منتجات!$A$3:$A$115,0)),"")</f>
        <v/>
      </c>
      <c r="G1621" s="51" t="str">
        <f t="shared" si="27"/>
        <v/>
      </c>
      <c r="H1621" s="54"/>
    </row>
    <row r="1622" spans="1:8" x14ac:dyDescent="0.35">
      <c r="A1622" s="51"/>
      <c r="B1622" s="51"/>
      <c r="C1622" s="51" t="str">
        <f>IFERROR(VLOOKUP(B1622,منتجات!$A$3:$C$350,2,0),"")</f>
        <v/>
      </c>
      <c r="D1622" s="51" t="str">
        <f>IFERROR(VLOOKUP(B1622,منتجات!$A$3:$C$350,3,0),"")</f>
        <v/>
      </c>
      <c r="E1622" s="51"/>
      <c r="F1622" s="51" t="str">
        <f>IFERROR(INDEX(منتجات!$G$3:$G$114,MATCH(B1622,منتجات!$A$3:$A$115,0)),"")</f>
        <v/>
      </c>
      <c r="G1622" s="51" t="str">
        <f t="shared" si="27"/>
        <v/>
      </c>
      <c r="H1622" s="53"/>
    </row>
    <row r="1623" spans="1:8" x14ac:dyDescent="0.35">
      <c r="A1623" s="49"/>
      <c r="B1623" s="49"/>
      <c r="C1623" s="51" t="str">
        <f>IFERROR(VLOOKUP(B1623,منتجات!$A$3:$C$350,2,0),"")</f>
        <v/>
      </c>
      <c r="D1623" s="49" t="str">
        <f>IFERROR(VLOOKUP(B1623,منتجات!$A$3:$C$350,3,0),"")</f>
        <v/>
      </c>
      <c r="E1623" s="49"/>
      <c r="F1623" s="49" t="str">
        <f>IFERROR(INDEX(منتجات!$G$3:$G$114,MATCH(B1623,منتجات!$A$3:$A$115,0)),"")</f>
        <v/>
      </c>
      <c r="G1623" s="51" t="str">
        <f t="shared" si="27"/>
        <v/>
      </c>
      <c r="H1623" s="54"/>
    </row>
    <row r="1624" spans="1:8" x14ac:dyDescent="0.35">
      <c r="A1624" s="51"/>
      <c r="B1624" s="51"/>
      <c r="C1624" s="51" t="str">
        <f>IFERROR(VLOOKUP(B1624,منتجات!$A$3:$C$350,2,0),"")</f>
        <v/>
      </c>
      <c r="D1624" s="51" t="str">
        <f>IFERROR(VLOOKUP(B1624,منتجات!$A$3:$C$350,3,0),"")</f>
        <v/>
      </c>
      <c r="E1624" s="51"/>
      <c r="F1624" s="51" t="str">
        <f>IFERROR(INDEX(منتجات!$G$3:$G$114,MATCH(B1624,منتجات!$A$3:$A$115,0)),"")</f>
        <v/>
      </c>
      <c r="G1624" s="51" t="str">
        <f t="shared" si="27"/>
        <v/>
      </c>
      <c r="H1624" s="53"/>
    </row>
    <row r="1625" spans="1:8" x14ac:dyDescent="0.35">
      <c r="A1625" s="49"/>
      <c r="B1625" s="49"/>
      <c r="C1625" s="51" t="str">
        <f>IFERROR(VLOOKUP(B1625,منتجات!$A$3:$C$350,2,0),"")</f>
        <v/>
      </c>
      <c r="D1625" s="49" t="str">
        <f>IFERROR(VLOOKUP(B1625,منتجات!$A$3:$C$350,3,0),"")</f>
        <v/>
      </c>
      <c r="E1625" s="49"/>
      <c r="F1625" s="49" t="str">
        <f>IFERROR(INDEX(منتجات!$G$3:$G$114,MATCH(B1625,منتجات!$A$3:$A$115,0)),"")</f>
        <v/>
      </c>
      <c r="G1625" s="51" t="str">
        <f t="shared" si="27"/>
        <v/>
      </c>
      <c r="H1625" s="54"/>
    </row>
    <row r="1626" spans="1:8" x14ac:dyDescent="0.35">
      <c r="A1626" s="51"/>
      <c r="B1626" s="51"/>
      <c r="C1626" s="51" t="str">
        <f>IFERROR(VLOOKUP(B1626,منتجات!$A$3:$C$350,2,0),"")</f>
        <v/>
      </c>
      <c r="D1626" s="51" t="str">
        <f>IFERROR(VLOOKUP(B1626,منتجات!$A$3:$C$350,3,0),"")</f>
        <v/>
      </c>
      <c r="E1626" s="51"/>
      <c r="F1626" s="51" t="str">
        <f>IFERROR(INDEX(منتجات!$G$3:$G$114,MATCH(B1626,منتجات!$A$3:$A$115,0)),"")</f>
        <v/>
      </c>
      <c r="G1626" s="51" t="str">
        <f t="shared" si="27"/>
        <v/>
      </c>
      <c r="H1626" s="53"/>
    </row>
    <row r="1627" spans="1:8" x14ac:dyDescent="0.35">
      <c r="A1627" s="49"/>
      <c r="B1627" s="49"/>
      <c r="C1627" s="51" t="str">
        <f>IFERROR(VLOOKUP(B1627,منتجات!$A$3:$C$350,2,0),"")</f>
        <v/>
      </c>
      <c r="D1627" s="49" t="str">
        <f>IFERROR(VLOOKUP(B1627,منتجات!$A$3:$C$350,3,0),"")</f>
        <v/>
      </c>
      <c r="E1627" s="49"/>
      <c r="F1627" s="49" t="str">
        <f>IFERROR(INDEX(منتجات!$G$3:$G$114,MATCH(B1627,منتجات!$A$3:$A$115,0)),"")</f>
        <v/>
      </c>
      <c r="G1627" s="51" t="str">
        <f t="shared" si="27"/>
        <v/>
      </c>
      <c r="H1627" s="54"/>
    </row>
    <row r="1628" spans="1:8" x14ac:dyDescent="0.35">
      <c r="A1628" s="51"/>
      <c r="B1628" s="51"/>
      <c r="C1628" s="51" t="str">
        <f>IFERROR(VLOOKUP(B1628,منتجات!$A$3:$C$350,2,0),"")</f>
        <v/>
      </c>
      <c r="D1628" s="51" t="str">
        <f>IFERROR(VLOOKUP(B1628,منتجات!$A$3:$C$350,3,0),"")</f>
        <v/>
      </c>
      <c r="E1628" s="51"/>
      <c r="F1628" s="51" t="str">
        <f>IFERROR(INDEX(منتجات!$G$3:$G$114,MATCH(B1628,منتجات!$A$3:$A$115,0)),"")</f>
        <v/>
      </c>
      <c r="G1628" s="51" t="str">
        <f t="shared" si="27"/>
        <v/>
      </c>
      <c r="H1628" s="53"/>
    </row>
    <row r="1629" spans="1:8" x14ac:dyDescent="0.35">
      <c r="A1629" s="49"/>
      <c r="B1629" s="49"/>
      <c r="C1629" s="51" t="str">
        <f>IFERROR(VLOOKUP(B1629,منتجات!$A$3:$C$350,2,0),"")</f>
        <v/>
      </c>
      <c r="D1629" s="49" t="str">
        <f>IFERROR(VLOOKUP(B1629,منتجات!$A$3:$C$350,3,0),"")</f>
        <v/>
      </c>
      <c r="E1629" s="49"/>
      <c r="F1629" s="49" t="str">
        <f>IFERROR(INDEX(منتجات!$G$3:$G$114,MATCH(B1629,منتجات!$A$3:$A$115,0)),"")</f>
        <v/>
      </c>
      <c r="G1629" s="51" t="str">
        <f t="shared" si="27"/>
        <v/>
      </c>
      <c r="H1629" s="54"/>
    </row>
    <row r="1630" spans="1:8" x14ac:dyDescent="0.35">
      <c r="A1630" s="51"/>
      <c r="B1630" s="51"/>
      <c r="C1630" s="51" t="str">
        <f>IFERROR(VLOOKUP(B1630,منتجات!$A$3:$C$350,2,0),"")</f>
        <v/>
      </c>
      <c r="D1630" s="51" t="str">
        <f>IFERROR(VLOOKUP(B1630,منتجات!$A$3:$C$350,3,0),"")</f>
        <v/>
      </c>
      <c r="E1630" s="51"/>
      <c r="F1630" s="51" t="str">
        <f>IFERROR(INDEX(منتجات!$G$3:$G$114,MATCH(B1630,منتجات!$A$3:$A$115,0)),"")</f>
        <v/>
      </c>
      <c r="G1630" s="51" t="str">
        <f t="shared" si="27"/>
        <v/>
      </c>
      <c r="H1630" s="53"/>
    </row>
    <row r="1631" spans="1:8" x14ac:dyDescent="0.35">
      <c r="A1631" s="49"/>
      <c r="B1631" s="49"/>
      <c r="C1631" s="51" t="str">
        <f>IFERROR(VLOOKUP(B1631,منتجات!$A$3:$C$350,2,0),"")</f>
        <v/>
      </c>
      <c r="D1631" s="49" t="str">
        <f>IFERROR(VLOOKUP(B1631,منتجات!$A$3:$C$350,3,0),"")</f>
        <v/>
      </c>
      <c r="E1631" s="49"/>
      <c r="F1631" s="49" t="str">
        <f>IFERROR(INDEX(منتجات!$G$3:$G$114,MATCH(B1631,منتجات!$A$3:$A$115,0)),"")</f>
        <v/>
      </c>
      <c r="G1631" s="51" t="str">
        <f t="shared" si="27"/>
        <v/>
      </c>
      <c r="H1631" s="54"/>
    </row>
    <row r="1632" spans="1:8" x14ac:dyDescent="0.35">
      <c r="A1632" s="51"/>
      <c r="B1632" s="51"/>
      <c r="C1632" s="51" t="str">
        <f>IFERROR(VLOOKUP(B1632,منتجات!$A$3:$C$350,2,0),"")</f>
        <v/>
      </c>
      <c r="D1632" s="51" t="str">
        <f>IFERROR(VLOOKUP(B1632,منتجات!$A$3:$C$350,3,0),"")</f>
        <v/>
      </c>
      <c r="E1632" s="51"/>
      <c r="F1632" s="51" t="str">
        <f>IFERROR(INDEX(منتجات!$G$3:$G$114,MATCH(B1632,منتجات!$A$3:$A$115,0)),"")</f>
        <v/>
      </c>
      <c r="G1632" s="51" t="str">
        <f t="shared" si="27"/>
        <v/>
      </c>
      <c r="H1632" s="53"/>
    </row>
    <row r="1633" spans="1:8" x14ac:dyDescent="0.35">
      <c r="A1633" s="49"/>
      <c r="B1633" s="49"/>
      <c r="C1633" s="51" t="str">
        <f>IFERROR(VLOOKUP(B1633,منتجات!$A$3:$C$350,2,0),"")</f>
        <v/>
      </c>
      <c r="D1633" s="49" t="str">
        <f>IFERROR(VLOOKUP(B1633,منتجات!$A$3:$C$350,3,0),"")</f>
        <v/>
      </c>
      <c r="E1633" s="49"/>
      <c r="F1633" s="49" t="str">
        <f>IFERROR(INDEX(منتجات!$G$3:$G$114,MATCH(B1633,منتجات!$A$3:$A$115,0)),"")</f>
        <v/>
      </c>
      <c r="G1633" s="51" t="str">
        <f t="shared" si="27"/>
        <v/>
      </c>
      <c r="H1633" s="54"/>
    </row>
    <row r="1634" spans="1:8" x14ac:dyDescent="0.35">
      <c r="A1634" s="51"/>
      <c r="B1634" s="51"/>
      <c r="C1634" s="51" t="str">
        <f>IFERROR(VLOOKUP(B1634,منتجات!$A$3:$C$350,2,0),"")</f>
        <v/>
      </c>
      <c r="D1634" s="51" t="str">
        <f>IFERROR(VLOOKUP(B1634,منتجات!$A$3:$C$350,3,0),"")</f>
        <v/>
      </c>
      <c r="E1634" s="51"/>
      <c r="F1634" s="51" t="str">
        <f>IFERROR(INDEX(منتجات!$G$3:$G$114,MATCH(B1634,منتجات!$A$3:$A$115,0)),"")</f>
        <v/>
      </c>
      <c r="G1634" s="51" t="str">
        <f t="shared" si="27"/>
        <v/>
      </c>
      <c r="H1634" s="53"/>
    </row>
    <row r="1635" spans="1:8" x14ac:dyDescent="0.35">
      <c r="A1635" s="49"/>
      <c r="B1635" s="49"/>
      <c r="C1635" s="51" t="str">
        <f>IFERROR(VLOOKUP(B1635,منتجات!$A$3:$C$350,2,0),"")</f>
        <v/>
      </c>
      <c r="D1635" s="49" t="str">
        <f>IFERROR(VLOOKUP(B1635,منتجات!$A$3:$C$350,3,0),"")</f>
        <v/>
      </c>
      <c r="E1635" s="49"/>
      <c r="F1635" s="49" t="str">
        <f>IFERROR(INDEX(منتجات!$G$3:$G$114,MATCH(B1635,منتجات!$A$3:$A$115,0)),"")</f>
        <v/>
      </c>
      <c r="G1635" s="51" t="str">
        <f t="shared" si="27"/>
        <v/>
      </c>
      <c r="H1635" s="54"/>
    </row>
    <row r="1636" spans="1:8" x14ac:dyDescent="0.35">
      <c r="A1636" s="51"/>
      <c r="B1636" s="51"/>
      <c r="C1636" s="51" t="str">
        <f>IFERROR(VLOOKUP(B1636,منتجات!$A$3:$C$350,2,0),"")</f>
        <v/>
      </c>
      <c r="D1636" s="51" t="str">
        <f>IFERROR(VLOOKUP(B1636,منتجات!$A$3:$C$350,3,0),"")</f>
        <v/>
      </c>
      <c r="E1636" s="51"/>
      <c r="F1636" s="51" t="str">
        <f>IFERROR(INDEX(منتجات!$G$3:$G$114,MATCH(B1636,منتجات!$A$3:$A$115,0)),"")</f>
        <v/>
      </c>
      <c r="G1636" s="51" t="str">
        <f t="shared" si="27"/>
        <v/>
      </c>
      <c r="H1636" s="53"/>
    </row>
    <row r="1637" spans="1:8" x14ac:dyDescent="0.35">
      <c r="A1637" s="49"/>
      <c r="B1637" s="49"/>
      <c r="C1637" s="51" t="str">
        <f>IFERROR(VLOOKUP(B1637,منتجات!$A$3:$C$350,2,0),"")</f>
        <v/>
      </c>
      <c r="D1637" s="49" t="str">
        <f>IFERROR(VLOOKUP(B1637,منتجات!$A$3:$C$350,3,0),"")</f>
        <v/>
      </c>
      <c r="E1637" s="49"/>
      <c r="F1637" s="49" t="str">
        <f>IFERROR(INDEX(منتجات!$G$3:$G$114,MATCH(B1637,منتجات!$A$3:$A$115,0)),"")</f>
        <v/>
      </c>
      <c r="G1637" s="51" t="str">
        <f t="shared" si="27"/>
        <v/>
      </c>
      <c r="H1637" s="54"/>
    </row>
    <row r="1638" spans="1:8" x14ac:dyDescent="0.35">
      <c r="A1638" s="51"/>
      <c r="B1638" s="51"/>
      <c r="C1638" s="51" t="str">
        <f>IFERROR(VLOOKUP(B1638,منتجات!$A$3:$C$350,2,0),"")</f>
        <v/>
      </c>
      <c r="D1638" s="51" t="str">
        <f>IFERROR(VLOOKUP(B1638,منتجات!$A$3:$C$350,3,0),"")</f>
        <v/>
      </c>
      <c r="E1638" s="51"/>
      <c r="F1638" s="51" t="str">
        <f>IFERROR(INDEX(منتجات!$G$3:$G$114,MATCH(B1638,منتجات!$A$3:$A$115,0)),"")</f>
        <v/>
      </c>
      <c r="G1638" s="51" t="str">
        <f t="shared" si="27"/>
        <v/>
      </c>
      <c r="H1638" s="53"/>
    </row>
    <row r="1639" spans="1:8" x14ac:dyDescent="0.35">
      <c r="A1639" s="49"/>
      <c r="B1639" s="49"/>
      <c r="C1639" s="51" t="str">
        <f>IFERROR(VLOOKUP(B1639,منتجات!$A$3:$C$350,2,0),"")</f>
        <v/>
      </c>
      <c r="D1639" s="49" t="str">
        <f>IFERROR(VLOOKUP(B1639,منتجات!$A$3:$C$350,3,0),"")</f>
        <v/>
      </c>
      <c r="E1639" s="49"/>
      <c r="F1639" s="49" t="str">
        <f>IFERROR(INDEX(منتجات!$G$3:$G$114,MATCH(B1639,منتجات!$A$3:$A$115,0)),"")</f>
        <v/>
      </c>
      <c r="G1639" s="51" t="str">
        <f t="shared" si="27"/>
        <v/>
      </c>
      <c r="H1639" s="54"/>
    </row>
    <row r="1640" spans="1:8" x14ac:dyDescent="0.35">
      <c r="A1640" s="51"/>
      <c r="B1640" s="51"/>
      <c r="C1640" s="51" t="str">
        <f>IFERROR(VLOOKUP(B1640,منتجات!$A$3:$C$350,2,0),"")</f>
        <v/>
      </c>
      <c r="D1640" s="51" t="str">
        <f>IFERROR(VLOOKUP(B1640,منتجات!$A$3:$C$350,3,0),"")</f>
        <v/>
      </c>
      <c r="E1640" s="51"/>
      <c r="F1640" s="51" t="str">
        <f>IFERROR(INDEX(منتجات!$G$3:$G$114,MATCH(B1640,منتجات!$A$3:$A$115,0)),"")</f>
        <v/>
      </c>
      <c r="G1640" s="51" t="str">
        <f t="shared" si="27"/>
        <v/>
      </c>
      <c r="H1640" s="53"/>
    </row>
    <row r="1641" spans="1:8" x14ac:dyDescent="0.35">
      <c r="A1641" s="49"/>
      <c r="B1641" s="49"/>
      <c r="C1641" s="51" t="str">
        <f>IFERROR(VLOOKUP(B1641,منتجات!$A$3:$C$350,2,0),"")</f>
        <v/>
      </c>
      <c r="D1641" s="49" t="str">
        <f>IFERROR(VLOOKUP(B1641,منتجات!$A$3:$C$350,3,0),"")</f>
        <v/>
      </c>
      <c r="E1641" s="49"/>
      <c r="F1641" s="49" t="str">
        <f>IFERROR(INDEX(منتجات!$G$3:$G$114,MATCH(B1641,منتجات!$A$3:$A$115,0)),"")</f>
        <v/>
      </c>
      <c r="G1641" s="51" t="str">
        <f t="shared" si="27"/>
        <v/>
      </c>
      <c r="H1641" s="54"/>
    </row>
    <row r="1642" spans="1:8" x14ac:dyDescent="0.35">
      <c r="A1642" s="51"/>
      <c r="B1642" s="51"/>
      <c r="C1642" s="51" t="str">
        <f>IFERROR(VLOOKUP(B1642,منتجات!$A$3:$C$350,2,0),"")</f>
        <v/>
      </c>
      <c r="D1642" s="51" t="str">
        <f>IFERROR(VLOOKUP(B1642,منتجات!$A$3:$C$350,3,0),"")</f>
        <v/>
      </c>
      <c r="E1642" s="51"/>
      <c r="F1642" s="51" t="str">
        <f>IFERROR(INDEX(منتجات!$G$3:$G$114,MATCH(B1642,منتجات!$A$3:$A$115,0)),"")</f>
        <v/>
      </c>
      <c r="G1642" s="51" t="str">
        <f t="shared" si="27"/>
        <v/>
      </c>
      <c r="H1642" s="53"/>
    </row>
    <row r="1643" spans="1:8" x14ac:dyDescent="0.35">
      <c r="A1643" s="49"/>
      <c r="B1643" s="49"/>
      <c r="C1643" s="51" t="str">
        <f>IFERROR(VLOOKUP(B1643,منتجات!$A$3:$C$350,2,0),"")</f>
        <v/>
      </c>
      <c r="D1643" s="49" t="str">
        <f>IFERROR(VLOOKUP(B1643,منتجات!$A$3:$C$350,3,0),"")</f>
        <v/>
      </c>
      <c r="E1643" s="49"/>
      <c r="F1643" s="49" t="str">
        <f>IFERROR(INDEX(منتجات!$G$3:$G$114,MATCH(B1643,منتجات!$A$3:$A$115,0)),"")</f>
        <v/>
      </c>
      <c r="G1643" s="51" t="str">
        <f t="shared" si="27"/>
        <v/>
      </c>
      <c r="H1643" s="54"/>
    </row>
    <row r="1644" spans="1:8" x14ac:dyDescent="0.35">
      <c r="A1644" s="51"/>
      <c r="B1644" s="51"/>
      <c r="C1644" s="51" t="str">
        <f>IFERROR(VLOOKUP(B1644,منتجات!$A$3:$C$350,2,0),"")</f>
        <v/>
      </c>
      <c r="D1644" s="51" t="str">
        <f>IFERROR(VLOOKUP(B1644,منتجات!$A$3:$C$350,3,0),"")</f>
        <v/>
      </c>
      <c r="E1644" s="51"/>
      <c r="F1644" s="51" t="str">
        <f>IFERROR(INDEX(منتجات!$G$3:$G$114,MATCH(B1644,منتجات!$A$3:$A$115,0)),"")</f>
        <v/>
      </c>
      <c r="G1644" s="51" t="str">
        <f t="shared" si="27"/>
        <v/>
      </c>
      <c r="H1644" s="53"/>
    </row>
    <row r="1645" spans="1:8" x14ac:dyDescent="0.35">
      <c r="A1645" s="49"/>
      <c r="B1645" s="49"/>
      <c r="C1645" s="51" t="str">
        <f>IFERROR(VLOOKUP(B1645,منتجات!$A$3:$C$350,2,0),"")</f>
        <v/>
      </c>
      <c r="D1645" s="49" t="str">
        <f>IFERROR(VLOOKUP(B1645,منتجات!$A$3:$C$350,3,0),"")</f>
        <v/>
      </c>
      <c r="E1645" s="49"/>
      <c r="F1645" s="49" t="str">
        <f>IFERROR(INDEX(منتجات!$G$3:$G$114,MATCH(B1645,منتجات!$A$3:$A$115,0)),"")</f>
        <v/>
      </c>
      <c r="G1645" s="51" t="str">
        <f t="shared" si="27"/>
        <v/>
      </c>
      <c r="H1645" s="54"/>
    </row>
    <row r="1646" spans="1:8" x14ac:dyDescent="0.35">
      <c r="A1646" s="51"/>
      <c r="B1646" s="51"/>
      <c r="C1646" s="51" t="str">
        <f>IFERROR(VLOOKUP(B1646,منتجات!$A$3:$C$350,2,0),"")</f>
        <v/>
      </c>
      <c r="D1646" s="51" t="str">
        <f>IFERROR(VLOOKUP(B1646,منتجات!$A$3:$C$350,3,0),"")</f>
        <v/>
      </c>
      <c r="E1646" s="51"/>
      <c r="F1646" s="51" t="str">
        <f>IFERROR(INDEX(منتجات!$G$3:$G$114,MATCH(B1646,منتجات!$A$3:$A$115,0)),"")</f>
        <v/>
      </c>
      <c r="G1646" s="51" t="str">
        <f t="shared" si="27"/>
        <v/>
      </c>
      <c r="H1646" s="53"/>
    </row>
    <row r="1647" spans="1:8" x14ac:dyDescent="0.35">
      <c r="A1647" s="49"/>
      <c r="B1647" s="49"/>
      <c r="C1647" s="51" t="str">
        <f>IFERROR(VLOOKUP(B1647,منتجات!$A$3:$C$350,2,0),"")</f>
        <v/>
      </c>
      <c r="D1647" s="49" t="str">
        <f>IFERROR(VLOOKUP(B1647,منتجات!$A$3:$C$350,3,0),"")</f>
        <v/>
      </c>
      <c r="E1647" s="49"/>
      <c r="F1647" s="49" t="str">
        <f>IFERROR(INDEX(منتجات!$G$3:$G$114,MATCH(B1647,منتجات!$A$3:$A$115,0)),"")</f>
        <v/>
      </c>
      <c r="G1647" s="51" t="str">
        <f t="shared" si="27"/>
        <v/>
      </c>
      <c r="H1647" s="54"/>
    </row>
    <row r="1648" spans="1:8" x14ac:dyDescent="0.35">
      <c r="A1648" s="51"/>
      <c r="B1648" s="51"/>
      <c r="C1648" s="51" t="str">
        <f>IFERROR(VLOOKUP(B1648,منتجات!$A$3:$C$350,2,0),"")</f>
        <v/>
      </c>
      <c r="D1648" s="51" t="str">
        <f>IFERROR(VLOOKUP(B1648,منتجات!$A$3:$C$350,3,0),"")</f>
        <v/>
      </c>
      <c r="E1648" s="51"/>
      <c r="F1648" s="51" t="str">
        <f>IFERROR(INDEX(منتجات!$G$3:$G$114,MATCH(B1648,منتجات!$A$3:$A$115,0)),"")</f>
        <v/>
      </c>
      <c r="G1648" s="51" t="str">
        <f t="shared" si="27"/>
        <v/>
      </c>
      <c r="H1648" s="53"/>
    </row>
    <row r="1649" spans="1:8" x14ac:dyDescent="0.35">
      <c r="A1649" s="49"/>
      <c r="B1649" s="49"/>
      <c r="C1649" s="51" t="str">
        <f>IFERROR(VLOOKUP(B1649,منتجات!$A$3:$C$350,2,0),"")</f>
        <v/>
      </c>
      <c r="D1649" s="49" t="str">
        <f>IFERROR(VLOOKUP(B1649,منتجات!$A$3:$C$350,3,0),"")</f>
        <v/>
      </c>
      <c r="E1649" s="49"/>
      <c r="F1649" s="49" t="str">
        <f>IFERROR(INDEX(منتجات!$G$3:$G$114,MATCH(B1649,منتجات!$A$3:$A$115,0)),"")</f>
        <v/>
      </c>
      <c r="G1649" s="51" t="str">
        <f t="shared" si="27"/>
        <v/>
      </c>
      <c r="H1649" s="54"/>
    </row>
    <row r="1650" spans="1:8" x14ac:dyDescent="0.35">
      <c r="A1650" s="51"/>
      <c r="B1650" s="51"/>
      <c r="C1650" s="51" t="str">
        <f>IFERROR(VLOOKUP(B1650,منتجات!$A$3:$C$350,2,0),"")</f>
        <v/>
      </c>
      <c r="D1650" s="51" t="str">
        <f>IFERROR(VLOOKUP(B1650,منتجات!$A$3:$C$350,3,0),"")</f>
        <v/>
      </c>
      <c r="E1650" s="51"/>
      <c r="F1650" s="51" t="str">
        <f>IFERROR(INDEX(منتجات!$G$3:$G$114,MATCH(B1650,منتجات!$A$3:$A$115,0)),"")</f>
        <v/>
      </c>
      <c r="G1650" s="51" t="str">
        <f t="shared" si="27"/>
        <v/>
      </c>
      <c r="H1650" s="53"/>
    </row>
    <row r="1651" spans="1:8" x14ac:dyDescent="0.35">
      <c r="A1651" s="49"/>
      <c r="B1651" s="49"/>
      <c r="C1651" s="51" t="str">
        <f>IFERROR(VLOOKUP(B1651,منتجات!$A$3:$C$350,2,0),"")</f>
        <v/>
      </c>
      <c r="D1651" s="49" t="str">
        <f>IFERROR(VLOOKUP(B1651,منتجات!$A$3:$C$350,3,0),"")</f>
        <v/>
      </c>
      <c r="E1651" s="49"/>
      <c r="F1651" s="49" t="str">
        <f>IFERROR(INDEX(منتجات!$G$3:$G$114,MATCH(B1651,منتجات!$A$3:$A$115,0)),"")</f>
        <v/>
      </c>
      <c r="G1651" s="51" t="str">
        <f t="shared" si="27"/>
        <v/>
      </c>
      <c r="H1651" s="54"/>
    </row>
    <row r="1652" spans="1:8" x14ac:dyDescent="0.35">
      <c r="A1652" s="51"/>
      <c r="B1652" s="51"/>
      <c r="C1652" s="51" t="str">
        <f>IFERROR(VLOOKUP(B1652,منتجات!$A$3:$C$350,2,0),"")</f>
        <v/>
      </c>
      <c r="D1652" s="51" t="str">
        <f>IFERROR(VLOOKUP(B1652,منتجات!$A$3:$C$350,3,0),"")</f>
        <v/>
      </c>
      <c r="E1652" s="51"/>
      <c r="F1652" s="51" t="str">
        <f>IFERROR(INDEX(منتجات!$G$3:$G$114,MATCH(B1652,منتجات!$A$3:$A$115,0)),"")</f>
        <v/>
      </c>
      <c r="G1652" s="51" t="str">
        <f t="shared" si="27"/>
        <v/>
      </c>
      <c r="H1652" s="53"/>
    </row>
    <row r="1653" spans="1:8" x14ac:dyDescent="0.35">
      <c r="A1653" s="49"/>
      <c r="B1653" s="49"/>
      <c r="C1653" s="51" t="str">
        <f>IFERROR(VLOOKUP(B1653,منتجات!$A$3:$C$350,2,0),"")</f>
        <v/>
      </c>
      <c r="D1653" s="49" t="str">
        <f>IFERROR(VLOOKUP(B1653,منتجات!$A$3:$C$350,3,0),"")</f>
        <v/>
      </c>
      <c r="E1653" s="49"/>
      <c r="F1653" s="49" t="str">
        <f>IFERROR(INDEX(منتجات!$G$3:$G$114,MATCH(B1653,منتجات!$A$3:$A$115,0)),"")</f>
        <v/>
      </c>
      <c r="G1653" s="51" t="str">
        <f t="shared" si="27"/>
        <v/>
      </c>
      <c r="H1653" s="54"/>
    </row>
    <row r="1654" spans="1:8" x14ac:dyDescent="0.35">
      <c r="A1654" s="51"/>
      <c r="B1654" s="51"/>
      <c r="C1654" s="51" t="str">
        <f>IFERROR(VLOOKUP(B1654,منتجات!$A$3:$C$350,2,0),"")</f>
        <v/>
      </c>
      <c r="D1654" s="51" t="str">
        <f>IFERROR(VLOOKUP(B1654,منتجات!$A$3:$C$350,3,0),"")</f>
        <v/>
      </c>
      <c r="E1654" s="51"/>
      <c r="F1654" s="51" t="str">
        <f>IFERROR(INDEX(منتجات!$G$3:$G$114,MATCH(B1654,منتجات!$A$3:$A$115,0)),"")</f>
        <v/>
      </c>
      <c r="G1654" s="51" t="str">
        <f t="shared" si="27"/>
        <v/>
      </c>
      <c r="H1654" s="53"/>
    </row>
    <row r="1655" spans="1:8" x14ac:dyDescent="0.35">
      <c r="A1655" s="49"/>
      <c r="B1655" s="49"/>
      <c r="C1655" s="51" t="str">
        <f>IFERROR(VLOOKUP(B1655,منتجات!$A$3:$C$350,2,0),"")</f>
        <v/>
      </c>
      <c r="D1655" s="49" t="str">
        <f>IFERROR(VLOOKUP(B1655,منتجات!$A$3:$C$350,3,0),"")</f>
        <v/>
      </c>
      <c r="E1655" s="49"/>
      <c r="F1655" s="49" t="str">
        <f>IFERROR(INDEX(منتجات!$G$3:$G$114,MATCH(B1655,منتجات!$A$3:$A$115,0)),"")</f>
        <v/>
      </c>
      <c r="G1655" s="51" t="str">
        <f t="shared" si="27"/>
        <v/>
      </c>
      <c r="H1655" s="54"/>
    </row>
    <row r="1656" spans="1:8" x14ac:dyDescent="0.35">
      <c r="A1656" s="51"/>
      <c r="B1656" s="51"/>
      <c r="C1656" s="51" t="str">
        <f>IFERROR(VLOOKUP(B1656,منتجات!$A$3:$C$350,2,0),"")</f>
        <v/>
      </c>
      <c r="D1656" s="51" t="str">
        <f>IFERROR(VLOOKUP(B1656,منتجات!$A$3:$C$350,3,0),"")</f>
        <v/>
      </c>
      <c r="E1656" s="51"/>
      <c r="F1656" s="51" t="str">
        <f>IFERROR(INDEX(منتجات!$G$3:$G$114,MATCH(B1656,منتجات!$A$3:$A$115,0)),"")</f>
        <v/>
      </c>
      <c r="G1656" s="51" t="str">
        <f t="shared" si="27"/>
        <v/>
      </c>
      <c r="H1656" s="53"/>
    </row>
    <row r="1657" spans="1:8" x14ac:dyDescent="0.35">
      <c r="A1657" s="49"/>
      <c r="B1657" s="49"/>
      <c r="C1657" s="51" t="str">
        <f>IFERROR(VLOOKUP(B1657,منتجات!$A$3:$C$350,2,0),"")</f>
        <v/>
      </c>
      <c r="D1657" s="49" t="str">
        <f>IFERROR(VLOOKUP(B1657,منتجات!$A$3:$C$350,3,0),"")</f>
        <v/>
      </c>
      <c r="E1657" s="49"/>
      <c r="F1657" s="49" t="str">
        <f>IFERROR(INDEX(منتجات!$G$3:$G$114,MATCH(B1657,منتجات!$A$3:$A$115,0)),"")</f>
        <v/>
      </c>
      <c r="G1657" s="51" t="str">
        <f t="shared" si="27"/>
        <v/>
      </c>
      <c r="H1657" s="54"/>
    </row>
    <row r="1658" spans="1:8" x14ac:dyDescent="0.35">
      <c r="A1658" s="51"/>
      <c r="B1658" s="51"/>
      <c r="C1658" s="51" t="str">
        <f>IFERROR(VLOOKUP(B1658,منتجات!$A$3:$C$350,2,0),"")</f>
        <v/>
      </c>
      <c r="D1658" s="51" t="str">
        <f>IFERROR(VLOOKUP(B1658,منتجات!$A$3:$C$350,3,0),"")</f>
        <v/>
      </c>
      <c r="E1658" s="51"/>
      <c r="F1658" s="51" t="str">
        <f>IFERROR(INDEX(منتجات!$G$3:$G$114,MATCH(B1658,منتجات!$A$3:$A$115,0)),"")</f>
        <v/>
      </c>
      <c r="G1658" s="51" t="str">
        <f t="shared" si="27"/>
        <v/>
      </c>
      <c r="H1658" s="53"/>
    </row>
    <row r="1659" spans="1:8" x14ac:dyDescent="0.35">
      <c r="A1659" s="49"/>
      <c r="B1659" s="49"/>
      <c r="C1659" s="51" t="str">
        <f>IFERROR(VLOOKUP(B1659,منتجات!$A$3:$C$350,2,0),"")</f>
        <v/>
      </c>
      <c r="D1659" s="49" t="str">
        <f>IFERROR(VLOOKUP(B1659,منتجات!$A$3:$C$350,3,0),"")</f>
        <v/>
      </c>
      <c r="E1659" s="49"/>
      <c r="F1659" s="49" t="str">
        <f>IFERROR(INDEX(منتجات!$G$3:$G$114,MATCH(B1659,منتجات!$A$3:$A$115,0)),"")</f>
        <v/>
      </c>
      <c r="G1659" s="51" t="str">
        <f t="shared" si="27"/>
        <v/>
      </c>
      <c r="H1659" s="54"/>
    </row>
    <row r="1660" spans="1:8" x14ac:dyDescent="0.35">
      <c r="A1660" s="51"/>
      <c r="B1660" s="51"/>
      <c r="C1660" s="51" t="str">
        <f>IFERROR(VLOOKUP(B1660,منتجات!$A$3:$C$350,2,0),"")</f>
        <v/>
      </c>
      <c r="D1660" s="51" t="str">
        <f>IFERROR(VLOOKUP(B1660,منتجات!$A$3:$C$350,3,0),"")</f>
        <v/>
      </c>
      <c r="E1660" s="51"/>
      <c r="F1660" s="51" t="str">
        <f>IFERROR(INDEX(منتجات!$G$3:$G$114,MATCH(B1660,منتجات!$A$3:$A$115,0)),"")</f>
        <v/>
      </c>
      <c r="G1660" s="51" t="str">
        <f t="shared" si="27"/>
        <v/>
      </c>
      <c r="H1660" s="53"/>
    </row>
    <row r="1661" spans="1:8" x14ac:dyDescent="0.35">
      <c r="A1661" s="49"/>
      <c r="B1661" s="49"/>
      <c r="C1661" s="51" t="str">
        <f>IFERROR(VLOOKUP(B1661,منتجات!$A$3:$C$350,2,0),"")</f>
        <v/>
      </c>
      <c r="D1661" s="49" t="str">
        <f>IFERROR(VLOOKUP(B1661,منتجات!$A$3:$C$350,3,0),"")</f>
        <v/>
      </c>
      <c r="E1661" s="49"/>
      <c r="F1661" s="49" t="str">
        <f>IFERROR(INDEX(منتجات!$G$3:$G$114,MATCH(B1661,منتجات!$A$3:$A$115,0)),"")</f>
        <v/>
      </c>
      <c r="G1661" s="51" t="str">
        <f t="shared" si="27"/>
        <v/>
      </c>
      <c r="H1661" s="54"/>
    </row>
    <row r="1662" spans="1:8" x14ac:dyDescent="0.35">
      <c r="A1662" s="51"/>
      <c r="B1662" s="51"/>
      <c r="C1662" s="51" t="str">
        <f>IFERROR(VLOOKUP(B1662,منتجات!$A$3:$C$350,2,0),"")</f>
        <v/>
      </c>
      <c r="D1662" s="51" t="str">
        <f>IFERROR(VLOOKUP(B1662,منتجات!$A$3:$C$350,3,0),"")</f>
        <v/>
      </c>
      <c r="E1662" s="51"/>
      <c r="F1662" s="51" t="str">
        <f>IFERROR(INDEX(منتجات!$G$3:$G$114,MATCH(B1662,منتجات!$A$3:$A$115,0)),"")</f>
        <v/>
      </c>
      <c r="G1662" s="51" t="str">
        <f t="shared" si="27"/>
        <v/>
      </c>
      <c r="H1662" s="53"/>
    </row>
    <row r="1663" spans="1:8" x14ac:dyDescent="0.35">
      <c r="A1663" s="49"/>
      <c r="B1663" s="49"/>
      <c r="C1663" s="51" t="str">
        <f>IFERROR(VLOOKUP(B1663,منتجات!$A$3:$C$350,2,0),"")</f>
        <v/>
      </c>
      <c r="D1663" s="49" t="str">
        <f>IFERROR(VLOOKUP(B1663,منتجات!$A$3:$C$350,3,0),"")</f>
        <v/>
      </c>
      <c r="E1663" s="49"/>
      <c r="F1663" s="49" t="str">
        <f>IFERROR(INDEX(منتجات!$G$3:$G$114,MATCH(B1663,منتجات!$A$3:$A$115,0)),"")</f>
        <v/>
      </c>
      <c r="G1663" s="51" t="str">
        <f t="shared" si="27"/>
        <v/>
      </c>
      <c r="H1663" s="54"/>
    </row>
    <row r="1664" spans="1:8" x14ac:dyDescent="0.35">
      <c r="A1664" s="51"/>
      <c r="B1664" s="51"/>
      <c r="C1664" s="51" t="str">
        <f>IFERROR(VLOOKUP(B1664,منتجات!$A$3:$C$350,2,0),"")</f>
        <v/>
      </c>
      <c r="D1664" s="51" t="str">
        <f>IFERROR(VLOOKUP(B1664,منتجات!$A$3:$C$350,3,0),"")</f>
        <v/>
      </c>
      <c r="E1664" s="51"/>
      <c r="F1664" s="51" t="str">
        <f>IFERROR(INDEX(منتجات!$G$3:$G$114,MATCH(B1664,منتجات!$A$3:$A$115,0)),"")</f>
        <v/>
      </c>
      <c r="G1664" s="51" t="str">
        <f t="shared" si="27"/>
        <v/>
      </c>
      <c r="H1664" s="53"/>
    </row>
    <row r="1665" spans="1:8" x14ac:dyDescent="0.35">
      <c r="A1665" s="49"/>
      <c r="B1665" s="49"/>
      <c r="C1665" s="51" t="str">
        <f>IFERROR(VLOOKUP(B1665,منتجات!$A$3:$C$350,2,0),"")</f>
        <v/>
      </c>
      <c r="D1665" s="49" t="str">
        <f>IFERROR(VLOOKUP(B1665,منتجات!$A$3:$C$350,3,0),"")</f>
        <v/>
      </c>
      <c r="E1665" s="49"/>
      <c r="F1665" s="49" t="str">
        <f>IFERROR(INDEX(منتجات!$G$3:$G$114,MATCH(B1665,منتجات!$A$3:$A$115,0)),"")</f>
        <v/>
      </c>
      <c r="G1665" s="51" t="str">
        <f t="shared" si="27"/>
        <v/>
      </c>
      <c r="H1665" s="54"/>
    </row>
    <row r="1666" spans="1:8" x14ac:dyDescent="0.35">
      <c r="A1666" s="51"/>
      <c r="B1666" s="51"/>
      <c r="C1666" s="51" t="str">
        <f>IFERROR(VLOOKUP(B1666,منتجات!$A$3:$C$350,2,0),"")</f>
        <v/>
      </c>
      <c r="D1666" s="51" t="str">
        <f>IFERROR(VLOOKUP(B1666,منتجات!$A$3:$C$350,3,0),"")</f>
        <v/>
      </c>
      <c r="E1666" s="51"/>
      <c r="F1666" s="51" t="str">
        <f>IFERROR(INDEX(منتجات!$G$3:$G$114,MATCH(B1666,منتجات!$A$3:$A$115,0)),"")</f>
        <v/>
      </c>
      <c r="G1666" s="51" t="str">
        <f t="shared" si="27"/>
        <v/>
      </c>
      <c r="H1666" s="53"/>
    </row>
    <row r="1667" spans="1:8" x14ac:dyDescent="0.35">
      <c r="A1667" s="49"/>
      <c r="B1667" s="49"/>
      <c r="C1667" s="51" t="str">
        <f>IFERROR(VLOOKUP(B1667,منتجات!$A$3:$C$350,2,0),"")</f>
        <v/>
      </c>
      <c r="D1667" s="49" t="str">
        <f>IFERROR(VLOOKUP(B1667,منتجات!$A$3:$C$350,3,0),"")</f>
        <v/>
      </c>
      <c r="E1667" s="49"/>
      <c r="F1667" s="49" t="str">
        <f>IFERROR(INDEX(منتجات!$G$3:$G$114,MATCH(B1667,منتجات!$A$3:$A$115,0)),"")</f>
        <v/>
      </c>
      <c r="G1667" s="51" t="str">
        <f t="shared" si="27"/>
        <v/>
      </c>
      <c r="H1667" s="54"/>
    </row>
    <row r="1668" spans="1:8" x14ac:dyDescent="0.35">
      <c r="A1668" s="51"/>
      <c r="B1668" s="51"/>
      <c r="C1668" s="51" t="str">
        <f>IFERROR(VLOOKUP(B1668,منتجات!$A$3:$C$350,2,0),"")</f>
        <v/>
      </c>
      <c r="D1668" s="51" t="str">
        <f>IFERROR(VLOOKUP(B1668,منتجات!$A$3:$C$350,3,0),"")</f>
        <v/>
      </c>
      <c r="E1668" s="51"/>
      <c r="F1668" s="51" t="str">
        <f>IFERROR(INDEX(منتجات!$G$3:$G$114,MATCH(B1668,منتجات!$A$3:$A$115,0)),"")</f>
        <v/>
      </c>
      <c r="G1668" s="51" t="str">
        <f t="shared" si="27"/>
        <v/>
      </c>
      <c r="H1668" s="53"/>
    </row>
    <row r="1669" spans="1:8" x14ac:dyDescent="0.35">
      <c r="A1669" s="49"/>
      <c r="B1669" s="49"/>
      <c r="C1669" s="51" t="str">
        <f>IFERROR(VLOOKUP(B1669,منتجات!$A$3:$C$350,2,0),"")</f>
        <v/>
      </c>
      <c r="D1669" s="49" t="str">
        <f>IFERROR(VLOOKUP(B1669,منتجات!$A$3:$C$350,3,0),"")</f>
        <v/>
      </c>
      <c r="E1669" s="49"/>
      <c r="F1669" s="49" t="str">
        <f>IFERROR(INDEX(منتجات!$G$3:$G$114,MATCH(B1669,منتجات!$A$3:$A$115,0)),"")</f>
        <v/>
      </c>
      <c r="G1669" s="51" t="str">
        <f t="shared" si="27"/>
        <v/>
      </c>
      <c r="H1669" s="54"/>
    </row>
    <row r="1670" spans="1:8" x14ac:dyDescent="0.35">
      <c r="A1670" s="51"/>
      <c r="B1670" s="51"/>
      <c r="C1670" s="51" t="str">
        <f>IFERROR(VLOOKUP(B1670,منتجات!$A$3:$C$350,2,0),"")</f>
        <v/>
      </c>
      <c r="D1670" s="51" t="str">
        <f>IFERROR(VLOOKUP(B1670,منتجات!$A$3:$C$350,3,0),"")</f>
        <v/>
      </c>
      <c r="E1670" s="51"/>
      <c r="F1670" s="51" t="str">
        <f>IFERROR(INDEX(منتجات!$G$3:$G$114,MATCH(B1670,منتجات!$A$3:$A$115,0)),"")</f>
        <v/>
      </c>
      <c r="G1670" s="51" t="str">
        <f t="shared" si="27"/>
        <v/>
      </c>
      <c r="H1670" s="53"/>
    </row>
    <row r="1671" spans="1:8" x14ac:dyDescent="0.35">
      <c r="A1671" s="49"/>
      <c r="B1671" s="49"/>
      <c r="C1671" s="51" t="str">
        <f>IFERROR(VLOOKUP(B1671,منتجات!$A$3:$C$350,2,0),"")</f>
        <v/>
      </c>
      <c r="D1671" s="49" t="str">
        <f>IFERROR(VLOOKUP(B1671,منتجات!$A$3:$C$350,3,0),"")</f>
        <v/>
      </c>
      <c r="E1671" s="49"/>
      <c r="F1671" s="49" t="str">
        <f>IFERROR(INDEX(منتجات!$G$3:$G$114,MATCH(B1671,منتجات!$A$3:$A$115,0)),"")</f>
        <v/>
      </c>
      <c r="G1671" s="51" t="str">
        <f t="shared" si="27"/>
        <v/>
      </c>
      <c r="H1671" s="54"/>
    </row>
    <row r="1672" spans="1:8" x14ac:dyDescent="0.35">
      <c r="A1672" s="51"/>
      <c r="B1672" s="51"/>
      <c r="C1672" s="51" t="str">
        <f>IFERROR(VLOOKUP(B1672,منتجات!$A$3:$C$350,2,0),"")</f>
        <v/>
      </c>
      <c r="D1672" s="51" t="str">
        <f>IFERROR(VLOOKUP(B1672,منتجات!$A$3:$C$350,3,0),"")</f>
        <v/>
      </c>
      <c r="E1672" s="51"/>
      <c r="F1672" s="51" t="str">
        <f>IFERROR(INDEX(منتجات!$G$3:$G$114,MATCH(B1672,منتجات!$A$3:$A$115,0)),"")</f>
        <v/>
      </c>
      <c r="G1672" s="51" t="str">
        <f t="shared" si="27"/>
        <v/>
      </c>
      <c r="H1672" s="53"/>
    </row>
    <row r="1673" spans="1:8" x14ac:dyDescent="0.35">
      <c r="A1673" s="49"/>
      <c r="B1673" s="49"/>
      <c r="C1673" s="51" t="str">
        <f>IFERROR(VLOOKUP(B1673,منتجات!$A$3:$C$350,2,0),"")</f>
        <v/>
      </c>
      <c r="D1673" s="49" t="str">
        <f>IFERROR(VLOOKUP(B1673,منتجات!$A$3:$C$350,3,0),"")</f>
        <v/>
      </c>
      <c r="E1673" s="49"/>
      <c r="F1673" s="49" t="str">
        <f>IFERROR(INDEX(منتجات!$G$3:$G$114,MATCH(B1673,منتجات!$A$3:$A$115,0)),"")</f>
        <v/>
      </c>
      <c r="G1673" s="51" t="str">
        <f t="shared" si="27"/>
        <v/>
      </c>
      <c r="H1673" s="54"/>
    </row>
    <row r="1674" spans="1:8" x14ac:dyDescent="0.35">
      <c r="A1674" s="51"/>
      <c r="B1674" s="51"/>
      <c r="C1674" s="51" t="str">
        <f>IFERROR(VLOOKUP(B1674,منتجات!$A$3:$C$350,2,0),"")</f>
        <v/>
      </c>
      <c r="D1674" s="51" t="str">
        <f>IFERROR(VLOOKUP(B1674,منتجات!$A$3:$C$350,3,0),"")</f>
        <v/>
      </c>
      <c r="E1674" s="51"/>
      <c r="F1674" s="51" t="str">
        <f>IFERROR(INDEX(منتجات!$G$3:$G$114,MATCH(B1674,منتجات!$A$3:$A$115,0)),"")</f>
        <v/>
      </c>
      <c r="G1674" s="51" t="str">
        <f t="shared" si="27"/>
        <v/>
      </c>
      <c r="H1674" s="53"/>
    </row>
    <row r="1675" spans="1:8" x14ac:dyDescent="0.35">
      <c r="A1675" s="49"/>
      <c r="B1675" s="49"/>
      <c r="C1675" s="51" t="str">
        <f>IFERROR(VLOOKUP(B1675,منتجات!$A$3:$C$350,2,0),"")</f>
        <v/>
      </c>
      <c r="D1675" s="49" t="str">
        <f>IFERROR(VLOOKUP(B1675,منتجات!$A$3:$C$350,3,0),"")</f>
        <v/>
      </c>
      <c r="E1675" s="49"/>
      <c r="F1675" s="49" t="str">
        <f>IFERROR(INDEX(منتجات!$G$3:$G$114,MATCH(B1675,منتجات!$A$3:$A$115,0)),"")</f>
        <v/>
      </c>
      <c r="G1675" s="51" t="str">
        <f t="shared" si="27"/>
        <v/>
      </c>
      <c r="H1675" s="54"/>
    </row>
    <row r="1676" spans="1:8" x14ac:dyDescent="0.35">
      <c r="A1676" s="51"/>
      <c r="B1676" s="51"/>
      <c r="C1676" s="51" t="str">
        <f>IFERROR(VLOOKUP(B1676,منتجات!$A$3:$C$350,2,0),"")</f>
        <v/>
      </c>
      <c r="D1676" s="51" t="str">
        <f>IFERROR(VLOOKUP(B1676,منتجات!$A$3:$C$350,3,0),"")</f>
        <v/>
      </c>
      <c r="E1676" s="51"/>
      <c r="F1676" s="51" t="str">
        <f>IFERROR(INDEX(منتجات!$G$3:$G$114,MATCH(B1676,منتجات!$A$3:$A$115,0)),"")</f>
        <v/>
      </c>
      <c r="G1676" s="51" t="str">
        <f t="shared" si="27"/>
        <v/>
      </c>
      <c r="H1676" s="53"/>
    </row>
    <row r="1677" spans="1:8" x14ac:dyDescent="0.35">
      <c r="A1677" s="49"/>
      <c r="B1677" s="49"/>
      <c r="C1677" s="51" t="str">
        <f>IFERROR(VLOOKUP(B1677,منتجات!$A$3:$C$350,2,0),"")</f>
        <v/>
      </c>
      <c r="D1677" s="49" t="str">
        <f>IFERROR(VLOOKUP(B1677,منتجات!$A$3:$C$350,3,0),"")</f>
        <v/>
      </c>
      <c r="E1677" s="49"/>
      <c r="F1677" s="49" t="str">
        <f>IFERROR(INDEX(منتجات!$G$3:$G$114,MATCH(B1677,منتجات!$A$3:$A$115,0)),"")</f>
        <v/>
      </c>
      <c r="G1677" s="51" t="str">
        <f t="shared" si="27"/>
        <v/>
      </c>
      <c r="H1677" s="54"/>
    </row>
    <row r="1678" spans="1:8" x14ac:dyDescent="0.35">
      <c r="A1678" s="51"/>
      <c r="B1678" s="51"/>
      <c r="C1678" s="51" t="str">
        <f>IFERROR(VLOOKUP(B1678,منتجات!$A$3:$C$350,2,0),"")</f>
        <v/>
      </c>
      <c r="D1678" s="51" t="str">
        <f>IFERROR(VLOOKUP(B1678,منتجات!$A$3:$C$350,3,0),"")</f>
        <v/>
      </c>
      <c r="E1678" s="51"/>
      <c r="F1678" s="51" t="str">
        <f>IFERROR(INDEX(منتجات!$G$3:$G$114,MATCH(B1678,منتجات!$A$3:$A$115,0)),"")</f>
        <v/>
      </c>
      <c r="G1678" s="51" t="str">
        <f t="shared" ref="G1678:G1741" si="28">IFERROR(E1678*F1678*D1678,"")</f>
        <v/>
      </c>
      <c r="H1678" s="53"/>
    </row>
    <row r="1679" spans="1:8" x14ac:dyDescent="0.35">
      <c r="A1679" s="49"/>
      <c r="B1679" s="49"/>
      <c r="C1679" s="51" t="str">
        <f>IFERROR(VLOOKUP(B1679,منتجات!$A$3:$C$350,2,0),"")</f>
        <v/>
      </c>
      <c r="D1679" s="49" t="str">
        <f>IFERROR(VLOOKUP(B1679,منتجات!$A$3:$C$350,3,0),"")</f>
        <v/>
      </c>
      <c r="E1679" s="49"/>
      <c r="F1679" s="49" t="str">
        <f>IFERROR(INDEX(منتجات!$G$3:$G$114,MATCH(B1679,منتجات!$A$3:$A$115,0)),"")</f>
        <v/>
      </c>
      <c r="G1679" s="51" t="str">
        <f t="shared" si="28"/>
        <v/>
      </c>
      <c r="H1679" s="54"/>
    </row>
    <row r="1680" spans="1:8" x14ac:dyDescent="0.35">
      <c r="A1680" s="51"/>
      <c r="B1680" s="51"/>
      <c r="C1680" s="51" t="str">
        <f>IFERROR(VLOOKUP(B1680,منتجات!$A$3:$C$350,2,0),"")</f>
        <v/>
      </c>
      <c r="D1680" s="51" t="str">
        <f>IFERROR(VLOOKUP(B1680,منتجات!$A$3:$C$350,3,0),"")</f>
        <v/>
      </c>
      <c r="E1680" s="51"/>
      <c r="F1680" s="51" t="str">
        <f>IFERROR(INDEX(منتجات!$G$3:$G$114,MATCH(B1680,منتجات!$A$3:$A$115,0)),"")</f>
        <v/>
      </c>
      <c r="G1680" s="51" t="str">
        <f t="shared" si="28"/>
        <v/>
      </c>
      <c r="H1680" s="53"/>
    </row>
    <row r="1681" spans="1:8" x14ac:dyDescent="0.35">
      <c r="A1681" s="49"/>
      <c r="B1681" s="49"/>
      <c r="C1681" s="51" t="str">
        <f>IFERROR(VLOOKUP(B1681,منتجات!$A$3:$C$350,2,0),"")</f>
        <v/>
      </c>
      <c r="D1681" s="49" t="str">
        <f>IFERROR(VLOOKUP(B1681,منتجات!$A$3:$C$350,3,0),"")</f>
        <v/>
      </c>
      <c r="E1681" s="49"/>
      <c r="F1681" s="49" t="str">
        <f>IFERROR(INDEX(منتجات!$G$3:$G$114,MATCH(B1681,منتجات!$A$3:$A$115,0)),"")</f>
        <v/>
      </c>
      <c r="G1681" s="51" t="str">
        <f t="shared" si="28"/>
        <v/>
      </c>
      <c r="H1681" s="54"/>
    </row>
    <row r="1682" spans="1:8" x14ac:dyDescent="0.35">
      <c r="A1682" s="51"/>
      <c r="B1682" s="51"/>
      <c r="C1682" s="51" t="str">
        <f>IFERROR(VLOOKUP(B1682,منتجات!$A$3:$C$350,2,0),"")</f>
        <v/>
      </c>
      <c r="D1682" s="51" t="str">
        <f>IFERROR(VLOOKUP(B1682,منتجات!$A$3:$C$350,3,0),"")</f>
        <v/>
      </c>
      <c r="E1682" s="51"/>
      <c r="F1682" s="51" t="str">
        <f>IFERROR(INDEX(منتجات!$G$3:$G$114,MATCH(B1682,منتجات!$A$3:$A$115,0)),"")</f>
        <v/>
      </c>
      <c r="G1682" s="51" t="str">
        <f t="shared" si="28"/>
        <v/>
      </c>
      <c r="H1682" s="53"/>
    </row>
    <row r="1683" spans="1:8" x14ac:dyDescent="0.35">
      <c r="A1683" s="49"/>
      <c r="B1683" s="49"/>
      <c r="C1683" s="51" t="str">
        <f>IFERROR(VLOOKUP(B1683,منتجات!$A$3:$C$350,2,0),"")</f>
        <v/>
      </c>
      <c r="D1683" s="49" t="str">
        <f>IFERROR(VLOOKUP(B1683,منتجات!$A$3:$C$350,3,0),"")</f>
        <v/>
      </c>
      <c r="E1683" s="49"/>
      <c r="F1683" s="49" t="str">
        <f>IFERROR(INDEX(منتجات!$G$3:$G$114,MATCH(B1683,منتجات!$A$3:$A$115,0)),"")</f>
        <v/>
      </c>
      <c r="G1683" s="51" t="str">
        <f t="shared" si="28"/>
        <v/>
      </c>
      <c r="H1683" s="54"/>
    </row>
    <row r="1684" spans="1:8" x14ac:dyDescent="0.35">
      <c r="A1684" s="51"/>
      <c r="B1684" s="51"/>
      <c r="C1684" s="51" t="str">
        <f>IFERROR(VLOOKUP(B1684,منتجات!$A$3:$C$350,2,0),"")</f>
        <v/>
      </c>
      <c r="D1684" s="51" t="str">
        <f>IFERROR(VLOOKUP(B1684,منتجات!$A$3:$C$350,3,0),"")</f>
        <v/>
      </c>
      <c r="E1684" s="51"/>
      <c r="F1684" s="51" t="str">
        <f>IFERROR(INDEX(منتجات!$G$3:$G$114,MATCH(B1684,منتجات!$A$3:$A$115,0)),"")</f>
        <v/>
      </c>
      <c r="G1684" s="51" t="str">
        <f t="shared" si="28"/>
        <v/>
      </c>
      <c r="H1684" s="53"/>
    </row>
    <row r="1685" spans="1:8" x14ac:dyDescent="0.35">
      <c r="A1685" s="49"/>
      <c r="B1685" s="49"/>
      <c r="C1685" s="51" t="str">
        <f>IFERROR(VLOOKUP(B1685,منتجات!$A$3:$C$350,2,0),"")</f>
        <v/>
      </c>
      <c r="D1685" s="49" t="str">
        <f>IFERROR(VLOOKUP(B1685,منتجات!$A$3:$C$350,3,0),"")</f>
        <v/>
      </c>
      <c r="E1685" s="49"/>
      <c r="F1685" s="49" t="str">
        <f>IFERROR(INDEX(منتجات!$G$3:$G$114,MATCH(B1685,منتجات!$A$3:$A$115,0)),"")</f>
        <v/>
      </c>
      <c r="G1685" s="51" t="str">
        <f t="shared" si="28"/>
        <v/>
      </c>
      <c r="H1685" s="54"/>
    </row>
    <row r="1686" spans="1:8" x14ac:dyDescent="0.35">
      <c r="A1686" s="51"/>
      <c r="B1686" s="51"/>
      <c r="C1686" s="51" t="str">
        <f>IFERROR(VLOOKUP(B1686,منتجات!$A$3:$C$350,2,0),"")</f>
        <v/>
      </c>
      <c r="D1686" s="51" t="str">
        <f>IFERROR(VLOOKUP(B1686,منتجات!$A$3:$C$350,3,0),"")</f>
        <v/>
      </c>
      <c r="E1686" s="51"/>
      <c r="F1686" s="51" t="str">
        <f>IFERROR(INDEX(منتجات!$G$3:$G$114,MATCH(B1686,منتجات!$A$3:$A$115,0)),"")</f>
        <v/>
      </c>
      <c r="G1686" s="51" t="str">
        <f t="shared" si="28"/>
        <v/>
      </c>
      <c r="H1686" s="53"/>
    </row>
    <row r="1687" spans="1:8" x14ac:dyDescent="0.35">
      <c r="A1687" s="49"/>
      <c r="B1687" s="49"/>
      <c r="C1687" s="51" t="str">
        <f>IFERROR(VLOOKUP(B1687,منتجات!$A$3:$C$350,2,0),"")</f>
        <v/>
      </c>
      <c r="D1687" s="49" t="str">
        <f>IFERROR(VLOOKUP(B1687,منتجات!$A$3:$C$350,3,0),"")</f>
        <v/>
      </c>
      <c r="E1687" s="49"/>
      <c r="F1687" s="49" t="str">
        <f>IFERROR(INDEX(منتجات!$G$3:$G$114,MATCH(B1687,منتجات!$A$3:$A$115,0)),"")</f>
        <v/>
      </c>
      <c r="G1687" s="51" t="str">
        <f t="shared" si="28"/>
        <v/>
      </c>
      <c r="H1687" s="54"/>
    </row>
    <row r="1688" spans="1:8" x14ac:dyDescent="0.35">
      <c r="A1688" s="51"/>
      <c r="B1688" s="51"/>
      <c r="C1688" s="51" t="str">
        <f>IFERROR(VLOOKUP(B1688,منتجات!$A$3:$C$350,2,0),"")</f>
        <v/>
      </c>
      <c r="D1688" s="51" t="str">
        <f>IFERROR(VLOOKUP(B1688,منتجات!$A$3:$C$350,3,0),"")</f>
        <v/>
      </c>
      <c r="E1688" s="51"/>
      <c r="F1688" s="51" t="str">
        <f>IFERROR(INDEX(منتجات!$G$3:$G$114,MATCH(B1688,منتجات!$A$3:$A$115,0)),"")</f>
        <v/>
      </c>
      <c r="G1688" s="51" t="str">
        <f t="shared" si="28"/>
        <v/>
      </c>
      <c r="H1688" s="53"/>
    </row>
    <row r="1689" spans="1:8" x14ac:dyDescent="0.35">
      <c r="A1689" s="49"/>
      <c r="B1689" s="49"/>
      <c r="C1689" s="51" t="str">
        <f>IFERROR(VLOOKUP(B1689,منتجات!$A$3:$C$350,2,0),"")</f>
        <v/>
      </c>
      <c r="D1689" s="49" t="str">
        <f>IFERROR(VLOOKUP(B1689,منتجات!$A$3:$C$350,3,0),"")</f>
        <v/>
      </c>
      <c r="E1689" s="49"/>
      <c r="F1689" s="49" t="str">
        <f>IFERROR(INDEX(منتجات!$G$3:$G$114,MATCH(B1689,منتجات!$A$3:$A$115,0)),"")</f>
        <v/>
      </c>
      <c r="G1689" s="51" t="str">
        <f t="shared" si="28"/>
        <v/>
      </c>
      <c r="H1689" s="54"/>
    </row>
    <row r="1690" spans="1:8" x14ac:dyDescent="0.35">
      <c r="A1690" s="51"/>
      <c r="B1690" s="51"/>
      <c r="C1690" s="51" t="str">
        <f>IFERROR(VLOOKUP(B1690,منتجات!$A$3:$C$350,2,0),"")</f>
        <v/>
      </c>
      <c r="D1690" s="51" t="str">
        <f>IFERROR(VLOOKUP(B1690,منتجات!$A$3:$C$350,3,0),"")</f>
        <v/>
      </c>
      <c r="E1690" s="51"/>
      <c r="F1690" s="51" t="str">
        <f>IFERROR(INDEX(منتجات!$G$3:$G$114,MATCH(B1690,منتجات!$A$3:$A$115,0)),"")</f>
        <v/>
      </c>
      <c r="G1690" s="51" t="str">
        <f t="shared" si="28"/>
        <v/>
      </c>
      <c r="H1690" s="53"/>
    </row>
    <row r="1691" spans="1:8" x14ac:dyDescent="0.35">
      <c r="A1691" s="49"/>
      <c r="B1691" s="49"/>
      <c r="C1691" s="51" t="str">
        <f>IFERROR(VLOOKUP(B1691,منتجات!$A$3:$C$350,2,0),"")</f>
        <v/>
      </c>
      <c r="D1691" s="49" t="str">
        <f>IFERROR(VLOOKUP(B1691,منتجات!$A$3:$C$350,3,0),"")</f>
        <v/>
      </c>
      <c r="E1691" s="49"/>
      <c r="F1691" s="49" t="str">
        <f>IFERROR(INDEX(منتجات!$G$3:$G$114,MATCH(B1691,منتجات!$A$3:$A$115,0)),"")</f>
        <v/>
      </c>
      <c r="G1691" s="51" t="str">
        <f t="shared" si="28"/>
        <v/>
      </c>
      <c r="H1691" s="54"/>
    </row>
    <row r="1692" spans="1:8" x14ac:dyDescent="0.35">
      <c r="A1692" s="51"/>
      <c r="B1692" s="51"/>
      <c r="C1692" s="51" t="str">
        <f>IFERROR(VLOOKUP(B1692,منتجات!$A$3:$C$350,2,0),"")</f>
        <v/>
      </c>
      <c r="D1692" s="51" t="str">
        <f>IFERROR(VLOOKUP(B1692,منتجات!$A$3:$C$350,3,0),"")</f>
        <v/>
      </c>
      <c r="E1692" s="51"/>
      <c r="F1692" s="51" t="str">
        <f>IFERROR(INDEX(منتجات!$G$3:$G$114,MATCH(B1692,منتجات!$A$3:$A$115,0)),"")</f>
        <v/>
      </c>
      <c r="G1692" s="51" t="str">
        <f t="shared" si="28"/>
        <v/>
      </c>
      <c r="H1692" s="53"/>
    </row>
    <row r="1693" spans="1:8" x14ac:dyDescent="0.35">
      <c r="A1693" s="49"/>
      <c r="B1693" s="49"/>
      <c r="C1693" s="51" t="str">
        <f>IFERROR(VLOOKUP(B1693,منتجات!$A$3:$C$350,2,0),"")</f>
        <v/>
      </c>
      <c r="D1693" s="49" t="str">
        <f>IFERROR(VLOOKUP(B1693,منتجات!$A$3:$C$350,3,0),"")</f>
        <v/>
      </c>
      <c r="E1693" s="49"/>
      <c r="F1693" s="49" t="str">
        <f>IFERROR(INDEX(منتجات!$G$3:$G$114,MATCH(B1693,منتجات!$A$3:$A$115,0)),"")</f>
        <v/>
      </c>
      <c r="G1693" s="51" t="str">
        <f t="shared" si="28"/>
        <v/>
      </c>
      <c r="H1693" s="54"/>
    </row>
    <row r="1694" spans="1:8" x14ac:dyDescent="0.35">
      <c r="A1694" s="51"/>
      <c r="B1694" s="51"/>
      <c r="C1694" s="51" t="str">
        <f>IFERROR(VLOOKUP(B1694,منتجات!$A$3:$C$350,2,0),"")</f>
        <v/>
      </c>
      <c r="D1694" s="51" t="str">
        <f>IFERROR(VLOOKUP(B1694,منتجات!$A$3:$C$350,3,0),"")</f>
        <v/>
      </c>
      <c r="E1694" s="51"/>
      <c r="F1694" s="51" t="str">
        <f>IFERROR(INDEX(منتجات!$G$3:$G$114,MATCH(B1694,منتجات!$A$3:$A$115,0)),"")</f>
        <v/>
      </c>
      <c r="G1694" s="51" t="str">
        <f t="shared" si="28"/>
        <v/>
      </c>
      <c r="H1694" s="53"/>
    </row>
    <row r="1695" spans="1:8" x14ac:dyDescent="0.35">
      <c r="A1695" s="49"/>
      <c r="B1695" s="49"/>
      <c r="C1695" s="51" t="str">
        <f>IFERROR(VLOOKUP(B1695,منتجات!$A$3:$C$350,2,0),"")</f>
        <v/>
      </c>
      <c r="D1695" s="49" t="str">
        <f>IFERROR(VLOOKUP(B1695,منتجات!$A$3:$C$350,3,0),"")</f>
        <v/>
      </c>
      <c r="E1695" s="49"/>
      <c r="F1695" s="49" t="str">
        <f>IFERROR(INDEX(منتجات!$G$3:$G$114,MATCH(B1695,منتجات!$A$3:$A$115,0)),"")</f>
        <v/>
      </c>
      <c r="G1695" s="51" t="str">
        <f t="shared" si="28"/>
        <v/>
      </c>
      <c r="H1695" s="54"/>
    </row>
    <row r="1696" spans="1:8" x14ac:dyDescent="0.35">
      <c r="A1696" s="51"/>
      <c r="B1696" s="51"/>
      <c r="C1696" s="51" t="str">
        <f>IFERROR(VLOOKUP(B1696,منتجات!$A$3:$C$350,2,0),"")</f>
        <v/>
      </c>
      <c r="D1696" s="51" t="str">
        <f>IFERROR(VLOOKUP(B1696,منتجات!$A$3:$C$350,3,0),"")</f>
        <v/>
      </c>
      <c r="E1696" s="51"/>
      <c r="F1696" s="51" t="str">
        <f>IFERROR(INDEX(منتجات!$G$3:$G$114,MATCH(B1696,منتجات!$A$3:$A$115,0)),"")</f>
        <v/>
      </c>
      <c r="G1696" s="51" t="str">
        <f t="shared" si="28"/>
        <v/>
      </c>
      <c r="H1696" s="53"/>
    </row>
    <row r="1697" spans="1:8" x14ac:dyDescent="0.35">
      <c r="A1697" s="49"/>
      <c r="B1697" s="49"/>
      <c r="C1697" s="51" t="str">
        <f>IFERROR(VLOOKUP(B1697,منتجات!$A$3:$C$350,2,0),"")</f>
        <v/>
      </c>
      <c r="D1697" s="49" t="str">
        <f>IFERROR(VLOOKUP(B1697,منتجات!$A$3:$C$350,3,0),"")</f>
        <v/>
      </c>
      <c r="E1697" s="49"/>
      <c r="F1697" s="49" t="str">
        <f>IFERROR(INDEX(منتجات!$G$3:$G$114,MATCH(B1697,منتجات!$A$3:$A$115,0)),"")</f>
        <v/>
      </c>
      <c r="G1697" s="51" t="str">
        <f t="shared" si="28"/>
        <v/>
      </c>
      <c r="H1697" s="54"/>
    </row>
    <row r="1698" spans="1:8" x14ac:dyDescent="0.35">
      <c r="A1698" s="51"/>
      <c r="B1698" s="51"/>
      <c r="C1698" s="51" t="str">
        <f>IFERROR(VLOOKUP(B1698,منتجات!$A$3:$C$350,2,0),"")</f>
        <v/>
      </c>
      <c r="D1698" s="51" t="str">
        <f>IFERROR(VLOOKUP(B1698,منتجات!$A$3:$C$350,3,0),"")</f>
        <v/>
      </c>
      <c r="E1698" s="51"/>
      <c r="F1698" s="51" t="str">
        <f>IFERROR(INDEX(منتجات!$G$3:$G$114,MATCH(B1698,منتجات!$A$3:$A$115,0)),"")</f>
        <v/>
      </c>
      <c r="G1698" s="51" t="str">
        <f t="shared" si="28"/>
        <v/>
      </c>
      <c r="H1698" s="53"/>
    </row>
    <row r="1699" spans="1:8" x14ac:dyDescent="0.35">
      <c r="A1699" s="49"/>
      <c r="B1699" s="49"/>
      <c r="C1699" s="51" t="str">
        <f>IFERROR(VLOOKUP(B1699,منتجات!$A$3:$C$350,2,0),"")</f>
        <v/>
      </c>
      <c r="D1699" s="49" t="str">
        <f>IFERROR(VLOOKUP(B1699,منتجات!$A$3:$C$350,3,0),"")</f>
        <v/>
      </c>
      <c r="E1699" s="49"/>
      <c r="F1699" s="49" t="str">
        <f>IFERROR(INDEX(منتجات!$G$3:$G$114,MATCH(B1699,منتجات!$A$3:$A$115,0)),"")</f>
        <v/>
      </c>
      <c r="G1699" s="51" t="str">
        <f t="shared" si="28"/>
        <v/>
      </c>
      <c r="H1699" s="54"/>
    </row>
    <row r="1700" spans="1:8" x14ac:dyDescent="0.35">
      <c r="A1700" s="51"/>
      <c r="B1700" s="51"/>
      <c r="C1700" s="51" t="str">
        <f>IFERROR(VLOOKUP(B1700,منتجات!$A$3:$C$350,2,0),"")</f>
        <v/>
      </c>
      <c r="D1700" s="51" t="str">
        <f>IFERROR(VLOOKUP(B1700,منتجات!$A$3:$C$350,3,0),"")</f>
        <v/>
      </c>
      <c r="E1700" s="51"/>
      <c r="F1700" s="51" t="str">
        <f>IFERROR(INDEX(منتجات!$G$3:$G$114,MATCH(B1700,منتجات!$A$3:$A$115,0)),"")</f>
        <v/>
      </c>
      <c r="G1700" s="51" t="str">
        <f t="shared" si="28"/>
        <v/>
      </c>
      <c r="H1700" s="53"/>
    </row>
    <row r="1701" spans="1:8" x14ac:dyDescent="0.35">
      <c r="A1701" s="49"/>
      <c r="B1701" s="49"/>
      <c r="C1701" s="51" t="str">
        <f>IFERROR(VLOOKUP(B1701,منتجات!$A$3:$C$350,2,0),"")</f>
        <v/>
      </c>
      <c r="D1701" s="49" t="str">
        <f>IFERROR(VLOOKUP(B1701,منتجات!$A$3:$C$350,3,0),"")</f>
        <v/>
      </c>
      <c r="E1701" s="49"/>
      <c r="F1701" s="49" t="str">
        <f>IFERROR(INDEX(منتجات!$G$3:$G$114,MATCH(B1701,منتجات!$A$3:$A$115,0)),"")</f>
        <v/>
      </c>
      <c r="G1701" s="51" t="str">
        <f t="shared" si="28"/>
        <v/>
      </c>
      <c r="H1701" s="54"/>
    </row>
    <row r="1702" spans="1:8" x14ac:dyDescent="0.35">
      <c r="A1702" s="51"/>
      <c r="B1702" s="51"/>
      <c r="C1702" s="51" t="str">
        <f>IFERROR(VLOOKUP(B1702,منتجات!$A$3:$C$350,2,0),"")</f>
        <v/>
      </c>
      <c r="D1702" s="51" t="str">
        <f>IFERROR(VLOOKUP(B1702,منتجات!$A$3:$C$350,3,0),"")</f>
        <v/>
      </c>
      <c r="E1702" s="51"/>
      <c r="F1702" s="51" t="str">
        <f>IFERROR(INDEX(منتجات!$G$3:$G$114,MATCH(B1702,منتجات!$A$3:$A$115,0)),"")</f>
        <v/>
      </c>
      <c r="G1702" s="51" t="str">
        <f t="shared" si="28"/>
        <v/>
      </c>
      <c r="H1702" s="53"/>
    </row>
    <row r="1703" spans="1:8" x14ac:dyDescent="0.35">
      <c r="A1703" s="49"/>
      <c r="B1703" s="49"/>
      <c r="C1703" s="51" t="str">
        <f>IFERROR(VLOOKUP(B1703,منتجات!$A$3:$C$350,2,0),"")</f>
        <v/>
      </c>
      <c r="D1703" s="49" t="str">
        <f>IFERROR(VLOOKUP(B1703,منتجات!$A$3:$C$350,3,0),"")</f>
        <v/>
      </c>
      <c r="E1703" s="49"/>
      <c r="F1703" s="49" t="str">
        <f>IFERROR(INDEX(منتجات!$G$3:$G$114,MATCH(B1703,منتجات!$A$3:$A$115,0)),"")</f>
        <v/>
      </c>
      <c r="G1703" s="51" t="str">
        <f t="shared" si="28"/>
        <v/>
      </c>
      <c r="H1703" s="54"/>
    </row>
    <row r="1704" spans="1:8" x14ac:dyDescent="0.35">
      <c r="A1704" s="51"/>
      <c r="B1704" s="51"/>
      <c r="C1704" s="51" t="str">
        <f>IFERROR(VLOOKUP(B1704,منتجات!$A$3:$C$350,2,0),"")</f>
        <v/>
      </c>
      <c r="D1704" s="51" t="str">
        <f>IFERROR(VLOOKUP(B1704,منتجات!$A$3:$C$350,3,0),"")</f>
        <v/>
      </c>
      <c r="E1704" s="51"/>
      <c r="F1704" s="51" t="str">
        <f>IFERROR(INDEX(منتجات!$G$3:$G$114,MATCH(B1704,منتجات!$A$3:$A$115,0)),"")</f>
        <v/>
      </c>
      <c r="G1704" s="51" t="str">
        <f t="shared" si="28"/>
        <v/>
      </c>
      <c r="H1704" s="53"/>
    </row>
    <row r="1705" spans="1:8" x14ac:dyDescent="0.35">
      <c r="A1705" s="49"/>
      <c r="B1705" s="49"/>
      <c r="C1705" s="51" t="str">
        <f>IFERROR(VLOOKUP(B1705,منتجات!$A$3:$C$350,2,0),"")</f>
        <v/>
      </c>
      <c r="D1705" s="49" t="str">
        <f>IFERROR(VLOOKUP(B1705,منتجات!$A$3:$C$350,3,0),"")</f>
        <v/>
      </c>
      <c r="E1705" s="49"/>
      <c r="F1705" s="49" t="str">
        <f>IFERROR(INDEX(منتجات!$G$3:$G$114,MATCH(B1705,منتجات!$A$3:$A$115,0)),"")</f>
        <v/>
      </c>
      <c r="G1705" s="51" t="str">
        <f t="shared" si="28"/>
        <v/>
      </c>
      <c r="H1705" s="54"/>
    </row>
    <row r="1706" spans="1:8" x14ac:dyDescent="0.35">
      <c r="A1706" s="51"/>
      <c r="B1706" s="51"/>
      <c r="C1706" s="51" t="str">
        <f>IFERROR(VLOOKUP(B1706,منتجات!$A$3:$C$350,2,0),"")</f>
        <v/>
      </c>
      <c r="D1706" s="51" t="str">
        <f>IFERROR(VLOOKUP(B1706,منتجات!$A$3:$C$350,3,0),"")</f>
        <v/>
      </c>
      <c r="E1706" s="51"/>
      <c r="F1706" s="51" t="str">
        <f>IFERROR(INDEX(منتجات!$G$3:$G$114,MATCH(B1706,منتجات!$A$3:$A$115,0)),"")</f>
        <v/>
      </c>
      <c r="G1706" s="51" t="str">
        <f t="shared" si="28"/>
        <v/>
      </c>
      <c r="H1706" s="53"/>
    </row>
    <row r="1707" spans="1:8" x14ac:dyDescent="0.35">
      <c r="A1707" s="49"/>
      <c r="B1707" s="49"/>
      <c r="C1707" s="51" t="str">
        <f>IFERROR(VLOOKUP(B1707,منتجات!$A$3:$C$350,2,0),"")</f>
        <v/>
      </c>
      <c r="D1707" s="49" t="str">
        <f>IFERROR(VLOOKUP(B1707,منتجات!$A$3:$C$350,3,0),"")</f>
        <v/>
      </c>
      <c r="E1707" s="49"/>
      <c r="F1707" s="49" t="str">
        <f>IFERROR(INDEX(منتجات!$G$3:$G$114,MATCH(B1707,منتجات!$A$3:$A$115,0)),"")</f>
        <v/>
      </c>
      <c r="G1707" s="51" t="str">
        <f t="shared" si="28"/>
        <v/>
      </c>
      <c r="H1707" s="54"/>
    </row>
    <row r="1708" spans="1:8" x14ac:dyDescent="0.35">
      <c r="A1708" s="51"/>
      <c r="B1708" s="51"/>
      <c r="C1708" s="51" t="str">
        <f>IFERROR(VLOOKUP(B1708,منتجات!$A$3:$C$350,2,0),"")</f>
        <v/>
      </c>
      <c r="D1708" s="51" t="str">
        <f>IFERROR(VLOOKUP(B1708,منتجات!$A$3:$C$350,3,0),"")</f>
        <v/>
      </c>
      <c r="E1708" s="51"/>
      <c r="F1708" s="51" t="str">
        <f>IFERROR(INDEX(منتجات!$G$3:$G$114,MATCH(B1708,منتجات!$A$3:$A$115,0)),"")</f>
        <v/>
      </c>
      <c r="G1708" s="51" t="str">
        <f t="shared" si="28"/>
        <v/>
      </c>
      <c r="H1708" s="53"/>
    </row>
    <row r="1709" spans="1:8" x14ac:dyDescent="0.35">
      <c r="A1709" s="49"/>
      <c r="B1709" s="49"/>
      <c r="C1709" s="51" t="str">
        <f>IFERROR(VLOOKUP(B1709,منتجات!$A$3:$C$350,2,0),"")</f>
        <v/>
      </c>
      <c r="D1709" s="49" t="str">
        <f>IFERROR(VLOOKUP(B1709,منتجات!$A$3:$C$350,3,0),"")</f>
        <v/>
      </c>
      <c r="E1709" s="49"/>
      <c r="F1709" s="49" t="str">
        <f>IFERROR(INDEX(منتجات!$G$3:$G$114,MATCH(B1709,منتجات!$A$3:$A$115,0)),"")</f>
        <v/>
      </c>
      <c r="G1709" s="51" t="str">
        <f t="shared" si="28"/>
        <v/>
      </c>
      <c r="H1709" s="54"/>
    </row>
    <row r="1710" spans="1:8" x14ac:dyDescent="0.35">
      <c r="A1710" s="51"/>
      <c r="B1710" s="51"/>
      <c r="C1710" s="51" t="str">
        <f>IFERROR(VLOOKUP(B1710,منتجات!$A$3:$C$350,2,0),"")</f>
        <v/>
      </c>
      <c r="D1710" s="51" t="str">
        <f>IFERROR(VLOOKUP(B1710,منتجات!$A$3:$C$350,3,0),"")</f>
        <v/>
      </c>
      <c r="E1710" s="51"/>
      <c r="F1710" s="51" t="str">
        <f>IFERROR(INDEX(منتجات!$G$3:$G$114,MATCH(B1710,منتجات!$A$3:$A$115,0)),"")</f>
        <v/>
      </c>
      <c r="G1710" s="51" t="str">
        <f t="shared" si="28"/>
        <v/>
      </c>
      <c r="H1710" s="53"/>
    </row>
    <row r="1711" spans="1:8" x14ac:dyDescent="0.35">
      <c r="A1711" s="49"/>
      <c r="B1711" s="49"/>
      <c r="C1711" s="51" t="str">
        <f>IFERROR(VLOOKUP(B1711,منتجات!$A$3:$C$350,2,0),"")</f>
        <v/>
      </c>
      <c r="D1711" s="49" t="str">
        <f>IFERROR(VLOOKUP(B1711,منتجات!$A$3:$C$350,3,0),"")</f>
        <v/>
      </c>
      <c r="E1711" s="49"/>
      <c r="F1711" s="49" t="str">
        <f>IFERROR(INDEX(منتجات!$G$3:$G$114,MATCH(B1711,منتجات!$A$3:$A$115,0)),"")</f>
        <v/>
      </c>
      <c r="G1711" s="51" t="str">
        <f t="shared" si="28"/>
        <v/>
      </c>
      <c r="H1711" s="54"/>
    </row>
    <row r="1712" spans="1:8" x14ac:dyDescent="0.35">
      <c r="A1712" s="51"/>
      <c r="B1712" s="51"/>
      <c r="C1712" s="51" t="str">
        <f>IFERROR(VLOOKUP(B1712,منتجات!$A$3:$C$350,2,0),"")</f>
        <v/>
      </c>
      <c r="D1712" s="51" t="str">
        <f>IFERROR(VLOOKUP(B1712,منتجات!$A$3:$C$350,3,0),"")</f>
        <v/>
      </c>
      <c r="E1712" s="51"/>
      <c r="F1712" s="51" t="str">
        <f>IFERROR(INDEX(منتجات!$G$3:$G$114,MATCH(B1712,منتجات!$A$3:$A$115,0)),"")</f>
        <v/>
      </c>
      <c r="G1712" s="51" t="str">
        <f t="shared" si="28"/>
        <v/>
      </c>
      <c r="H1712" s="53"/>
    </row>
    <row r="1713" spans="1:8" x14ac:dyDescent="0.35">
      <c r="A1713" s="49"/>
      <c r="B1713" s="49"/>
      <c r="C1713" s="51" t="str">
        <f>IFERROR(VLOOKUP(B1713,منتجات!$A$3:$C$350,2,0),"")</f>
        <v/>
      </c>
      <c r="D1713" s="49" t="str">
        <f>IFERROR(VLOOKUP(B1713,منتجات!$A$3:$C$350,3,0),"")</f>
        <v/>
      </c>
      <c r="E1713" s="49"/>
      <c r="F1713" s="49" t="str">
        <f>IFERROR(INDEX(منتجات!$G$3:$G$114,MATCH(B1713,منتجات!$A$3:$A$115,0)),"")</f>
        <v/>
      </c>
      <c r="G1713" s="51" t="str">
        <f t="shared" si="28"/>
        <v/>
      </c>
      <c r="H1713" s="54"/>
    </row>
    <row r="1714" spans="1:8" x14ac:dyDescent="0.35">
      <c r="A1714" s="51"/>
      <c r="B1714" s="51"/>
      <c r="C1714" s="51" t="str">
        <f>IFERROR(VLOOKUP(B1714,منتجات!$A$3:$C$350,2,0),"")</f>
        <v/>
      </c>
      <c r="D1714" s="51" t="str">
        <f>IFERROR(VLOOKUP(B1714,منتجات!$A$3:$C$350,3,0),"")</f>
        <v/>
      </c>
      <c r="E1714" s="51"/>
      <c r="F1714" s="51" t="str">
        <f>IFERROR(INDEX(منتجات!$G$3:$G$114,MATCH(B1714,منتجات!$A$3:$A$115,0)),"")</f>
        <v/>
      </c>
      <c r="G1714" s="51" t="str">
        <f t="shared" si="28"/>
        <v/>
      </c>
      <c r="H1714" s="53"/>
    </row>
    <row r="1715" spans="1:8" x14ac:dyDescent="0.35">
      <c r="A1715" s="49"/>
      <c r="B1715" s="49"/>
      <c r="C1715" s="51" t="str">
        <f>IFERROR(VLOOKUP(B1715,منتجات!$A$3:$C$350,2,0),"")</f>
        <v/>
      </c>
      <c r="D1715" s="49" t="str">
        <f>IFERROR(VLOOKUP(B1715,منتجات!$A$3:$C$350,3,0),"")</f>
        <v/>
      </c>
      <c r="E1715" s="49"/>
      <c r="F1715" s="49" t="str">
        <f>IFERROR(INDEX(منتجات!$G$3:$G$114,MATCH(B1715,منتجات!$A$3:$A$115,0)),"")</f>
        <v/>
      </c>
      <c r="G1715" s="51" t="str">
        <f t="shared" si="28"/>
        <v/>
      </c>
      <c r="H1715" s="54"/>
    </row>
    <row r="1716" spans="1:8" x14ac:dyDescent="0.35">
      <c r="A1716" s="51"/>
      <c r="B1716" s="51"/>
      <c r="C1716" s="51" t="str">
        <f>IFERROR(VLOOKUP(B1716,منتجات!$A$3:$C$350,2,0),"")</f>
        <v/>
      </c>
      <c r="D1716" s="51" t="str">
        <f>IFERROR(VLOOKUP(B1716,منتجات!$A$3:$C$350,3,0),"")</f>
        <v/>
      </c>
      <c r="E1716" s="51"/>
      <c r="F1716" s="51" t="str">
        <f>IFERROR(INDEX(منتجات!$G$3:$G$114,MATCH(B1716,منتجات!$A$3:$A$115,0)),"")</f>
        <v/>
      </c>
      <c r="G1716" s="51" t="str">
        <f t="shared" si="28"/>
        <v/>
      </c>
      <c r="H1716" s="53"/>
    </row>
    <row r="1717" spans="1:8" x14ac:dyDescent="0.35">
      <c r="A1717" s="49"/>
      <c r="B1717" s="49"/>
      <c r="C1717" s="51" t="str">
        <f>IFERROR(VLOOKUP(B1717,منتجات!$A$3:$C$350,2,0),"")</f>
        <v/>
      </c>
      <c r="D1717" s="49" t="str">
        <f>IFERROR(VLOOKUP(B1717,منتجات!$A$3:$C$350,3,0),"")</f>
        <v/>
      </c>
      <c r="E1717" s="49"/>
      <c r="F1717" s="49" t="str">
        <f>IFERROR(INDEX(منتجات!$G$3:$G$114,MATCH(B1717,منتجات!$A$3:$A$115,0)),"")</f>
        <v/>
      </c>
      <c r="G1717" s="51" t="str">
        <f t="shared" si="28"/>
        <v/>
      </c>
      <c r="H1717" s="54"/>
    </row>
    <row r="1718" spans="1:8" x14ac:dyDescent="0.35">
      <c r="A1718" s="51"/>
      <c r="B1718" s="51"/>
      <c r="C1718" s="51" t="str">
        <f>IFERROR(VLOOKUP(B1718,منتجات!$A$3:$C$350,2,0),"")</f>
        <v/>
      </c>
      <c r="D1718" s="51" t="str">
        <f>IFERROR(VLOOKUP(B1718,منتجات!$A$3:$C$350,3,0),"")</f>
        <v/>
      </c>
      <c r="E1718" s="51"/>
      <c r="F1718" s="51" t="str">
        <f>IFERROR(INDEX(منتجات!$G$3:$G$114,MATCH(B1718,منتجات!$A$3:$A$115,0)),"")</f>
        <v/>
      </c>
      <c r="G1718" s="51" t="str">
        <f t="shared" si="28"/>
        <v/>
      </c>
      <c r="H1718" s="53"/>
    </row>
    <row r="1719" spans="1:8" x14ac:dyDescent="0.35">
      <c r="A1719" s="49"/>
      <c r="B1719" s="49"/>
      <c r="C1719" s="51" t="str">
        <f>IFERROR(VLOOKUP(B1719,منتجات!$A$3:$C$350,2,0),"")</f>
        <v/>
      </c>
      <c r="D1719" s="49" t="str">
        <f>IFERROR(VLOOKUP(B1719,منتجات!$A$3:$C$350,3,0),"")</f>
        <v/>
      </c>
      <c r="E1719" s="49"/>
      <c r="F1719" s="49" t="str">
        <f>IFERROR(INDEX(منتجات!$G$3:$G$114,MATCH(B1719,منتجات!$A$3:$A$115,0)),"")</f>
        <v/>
      </c>
      <c r="G1719" s="51" t="str">
        <f t="shared" si="28"/>
        <v/>
      </c>
      <c r="H1719" s="54"/>
    </row>
    <row r="1720" spans="1:8" x14ac:dyDescent="0.35">
      <c r="A1720" s="51"/>
      <c r="B1720" s="51"/>
      <c r="C1720" s="51" t="str">
        <f>IFERROR(VLOOKUP(B1720,منتجات!$A$3:$C$350,2,0),"")</f>
        <v/>
      </c>
      <c r="D1720" s="51" t="str">
        <f>IFERROR(VLOOKUP(B1720,منتجات!$A$3:$C$350,3,0),"")</f>
        <v/>
      </c>
      <c r="E1720" s="51"/>
      <c r="F1720" s="51" t="str">
        <f>IFERROR(INDEX(منتجات!$G$3:$G$114,MATCH(B1720,منتجات!$A$3:$A$115,0)),"")</f>
        <v/>
      </c>
      <c r="G1720" s="51" t="str">
        <f t="shared" si="28"/>
        <v/>
      </c>
      <c r="H1720" s="53"/>
    </row>
    <row r="1721" spans="1:8" x14ac:dyDescent="0.35">
      <c r="A1721" s="49"/>
      <c r="B1721" s="49"/>
      <c r="C1721" s="51" t="str">
        <f>IFERROR(VLOOKUP(B1721,منتجات!$A$3:$C$350,2,0),"")</f>
        <v/>
      </c>
      <c r="D1721" s="49" t="str">
        <f>IFERROR(VLOOKUP(B1721,منتجات!$A$3:$C$350,3,0),"")</f>
        <v/>
      </c>
      <c r="E1721" s="49"/>
      <c r="F1721" s="49" t="str">
        <f>IFERROR(INDEX(منتجات!$G$3:$G$114,MATCH(B1721,منتجات!$A$3:$A$115,0)),"")</f>
        <v/>
      </c>
      <c r="G1721" s="51" t="str">
        <f t="shared" si="28"/>
        <v/>
      </c>
      <c r="H1721" s="54"/>
    </row>
    <row r="1722" spans="1:8" x14ac:dyDescent="0.35">
      <c r="A1722" s="51"/>
      <c r="B1722" s="51"/>
      <c r="C1722" s="51" t="str">
        <f>IFERROR(VLOOKUP(B1722,منتجات!$A$3:$C$350,2,0),"")</f>
        <v/>
      </c>
      <c r="D1722" s="51" t="str">
        <f>IFERROR(VLOOKUP(B1722,منتجات!$A$3:$C$350,3,0),"")</f>
        <v/>
      </c>
      <c r="E1722" s="51"/>
      <c r="F1722" s="51" t="str">
        <f>IFERROR(INDEX(منتجات!$G$3:$G$114,MATCH(B1722,منتجات!$A$3:$A$115,0)),"")</f>
        <v/>
      </c>
      <c r="G1722" s="51" t="str">
        <f t="shared" si="28"/>
        <v/>
      </c>
      <c r="H1722" s="53"/>
    </row>
    <row r="1723" spans="1:8" x14ac:dyDescent="0.35">
      <c r="A1723" s="49"/>
      <c r="B1723" s="49"/>
      <c r="C1723" s="51" t="str">
        <f>IFERROR(VLOOKUP(B1723,منتجات!$A$3:$C$350,2,0),"")</f>
        <v/>
      </c>
      <c r="D1723" s="49" t="str">
        <f>IFERROR(VLOOKUP(B1723,منتجات!$A$3:$C$350,3,0),"")</f>
        <v/>
      </c>
      <c r="E1723" s="49"/>
      <c r="F1723" s="49" t="str">
        <f>IFERROR(INDEX(منتجات!$G$3:$G$114,MATCH(B1723,منتجات!$A$3:$A$115,0)),"")</f>
        <v/>
      </c>
      <c r="G1723" s="51" t="str">
        <f t="shared" si="28"/>
        <v/>
      </c>
      <c r="H1723" s="54"/>
    </row>
    <row r="1724" spans="1:8" x14ac:dyDescent="0.35">
      <c r="A1724" s="51"/>
      <c r="B1724" s="51"/>
      <c r="C1724" s="51" t="str">
        <f>IFERROR(VLOOKUP(B1724,منتجات!$A$3:$C$350,2,0),"")</f>
        <v/>
      </c>
      <c r="D1724" s="51" t="str">
        <f>IFERROR(VLOOKUP(B1724,منتجات!$A$3:$C$350,3,0),"")</f>
        <v/>
      </c>
      <c r="E1724" s="51"/>
      <c r="F1724" s="51" t="str">
        <f>IFERROR(INDEX(منتجات!$G$3:$G$114,MATCH(B1724,منتجات!$A$3:$A$115,0)),"")</f>
        <v/>
      </c>
      <c r="G1724" s="51" t="str">
        <f t="shared" si="28"/>
        <v/>
      </c>
      <c r="H1724" s="53"/>
    </row>
    <row r="1725" spans="1:8" x14ac:dyDescent="0.35">
      <c r="A1725" s="49"/>
      <c r="B1725" s="49"/>
      <c r="C1725" s="51" t="str">
        <f>IFERROR(VLOOKUP(B1725,منتجات!$A$3:$C$350,2,0),"")</f>
        <v/>
      </c>
      <c r="D1725" s="49" t="str">
        <f>IFERROR(VLOOKUP(B1725,منتجات!$A$3:$C$350,3,0),"")</f>
        <v/>
      </c>
      <c r="E1725" s="49"/>
      <c r="F1725" s="49" t="str">
        <f>IFERROR(INDEX(منتجات!$G$3:$G$114,MATCH(B1725,منتجات!$A$3:$A$115,0)),"")</f>
        <v/>
      </c>
      <c r="G1725" s="51" t="str">
        <f t="shared" si="28"/>
        <v/>
      </c>
      <c r="H1725" s="54"/>
    </row>
    <row r="1726" spans="1:8" x14ac:dyDescent="0.35">
      <c r="A1726" s="51"/>
      <c r="B1726" s="51"/>
      <c r="C1726" s="51" t="str">
        <f>IFERROR(VLOOKUP(B1726,منتجات!$A$3:$C$350,2,0),"")</f>
        <v/>
      </c>
      <c r="D1726" s="51" t="str">
        <f>IFERROR(VLOOKUP(B1726,منتجات!$A$3:$C$350,3,0),"")</f>
        <v/>
      </c>
      <c r="E1726" s="51"/>
      <c r="F1726" s="51" t="str">
        <f>IFERROR(INDEX(منتجات!$G$3:$G$114,MATCH(B1726,منتجات!$A$3:$A$115,0)),"")</f>
        <v/>
      </c>
      <c r="G1726" s="51" t="str">
        <f t="shared" si="28"/>
        <v/>
      </c>
      <c r="H1726" s="53"/>
    </row>
    <row r="1727" spans="1:8" x14ac:dyDescent="0.35">
      <c r="A1727" s="49"/>
      <c r="B1727" s="49"/>
      <c r="C1727" s="51" t="str">
        <f>IFERROR(VLOOKUP(B1727,منتجات!$A$3:$C$350,2,0),"")</f>
        <v/>
      </c>
      <c r="D1727" s="49" t="str">
        <f>IFERROR(VLOOKUP(B1727,منتجات!$A$3:$C$350,3,0),"")</f>
        <v/>
      </c>
      <c r="E1727" s="49"/>
      <c r="F1727" s="49" t="str">
        <f>IFERROR(INDEX(منتجات!$G$3:$G$114,MATCH(B1727,منتجات!$A$3:$A$115,0)),"")</f>
        <v/>
      </c>
      <c r="G1727" s="51" t="str">
        <f t="shared" si="28"/>
        <v/>
      </c>
      <c r="H1727" s="54"/>
    </row>
    <row r="1728" spans="1:8" x14ac:dyDescent="0.35">
      <c r="A1728" s="51"/>
      <c r="B1728" s="51"/>
      <c r="C1728" s="51" t="str">
        <f>IFERROR(VLOOKUP(B1728,منتجات!$A$3:$C$350,2,0),"")</f>
        <v/>
      </c>
      <c r="D1728" s="51" t="str">
        <f>IFERROR(VLOOKUP(B1728,منتجات!$A$3:$C$350,3,0),"")</f>
        <v/>
      </c>
      <c r="E1728" s="51"/>
      <c r="F1728" s="51" t="str">
        <f>IFERROR(INDEX(منتجات!$G$3:$G$114,MATCH(B1728,منتجات!$A$3:$A$115,0)),"")</f>
        <v/>
      </c>
      <c r="G1728" s="51" t="str">
        <f t="shared" si="28"/>
        <v/>
      </c>
      <c r="H1728" s="53"/>
    </row>
    <row r="1729" spans="1:8" x14ac:dyDescent="0.35">
      <c r="A1729" s="49"/>
      <c r="B1729" s="49"/>
      <c r="C1729" s="51" t="str">
        <f>IFERROR(VLOOKUP(B1729,منتجات!$A$3:$C$350,2,0),"")</f>
        <v/>
      </c>
      <c r="D1729" s="49" t="str">
        <f>IFERROR(VLOOKUP(B1729,منتجات!$A$3:$C$350,3,0),"")</f>
        <v/>
      </c>
      <c r="E1729" s="49"/>
      <c r="F1729" s="49" t="str">
        <f>IFERROR(INDEX(منتجات!$G$3:$G$114,MATCH(B1729,منتجات!$A$3:$A$115,0)),"")</f>
        <v/>
      </c>
      <c r="G1729" s="51" t="str">
        <f t="shared" si="28"/>
        <v/>
      </c>
      <c r="H1729" s="54"/>
    </row>
    <row r="1730" spans="1:8" x14ac:dyDescent="0.35">
      <c r="A1730" s="51"/>
      <c r="B1730" s="51"/>
      <c r="C1730" s="51" t="str">
        <f>IFERROR(VLOOKUP(B1730,منتجات!$A$3:$C$350,2,0),"")</f>
        <v/>
      </c>
      <c r="D1730" s="51" t="str">
        <f>IFERROR(VLOOKUP(B1730,منتجات!$A$3:$C$350,3,0),"")</f>
        <v/>
      </c>
      <c r="E1730" s="51"/>
      <c r="F1730" s="51" t="str">
        <f>IFERROR(INDEX(منتجات!$G$3:$G$114,MATCH(B1730,منتجات!$A$3:$A$115,0)),"")</f>
        <v/>
      </c>
      <c r="G1730" s="51" t="str">
        <f t="shared" si="28"/>
        <v/>
      </c>
      <c r="H1730" s="53"/>
    </row>
    <row r="1731" spans="1:8" x14ac:dyDescent="0.35">
      <c r="A1731" s="49"/>
      <c r="B1731" s="49"/>
      <c r="C1731" s="51" t="str">
        <f>IFERROR(VLOOKUP(B1731,منتجات!$A$3:$C$350,2,0),"")</f>
        <v/>
      </c>
      <c r="D1731" s="49" t="str">
        <f>IFERROR(VLOOKUP(B1731,منتجات!$A$3:$C$350,3,0),"")</f>
        <v/>
      </c>
      <c r="E1731" s="49"/>
      <c r="F1731" s="49" t="str">
        <f>IFERROR(INDEX(منتجات!$G$3:$G$114,MATCH(B1731,منتجات!$A$3:$A$115,0)),"")</f>
        <v/>
      </c>
      <c r="G1731" s="51" t="str">
        <f t="shared" si="28"/>
        <v/>
      </c>
      <c r="H1731" s="54"/>
    </row>
    <row r="1732" spans="1:8" x14ac:dyDescent="0.35">
      <c r="A1732" s="51"/>
      <c r="B1732" s="51"/>
      <c r="C1732" s="51" t="str">
        <f>IFERROR(VLOOKUP(B1732,منتجات!$A$3:$C$350,2,0),"")</f>
        <v/>
      </c>
      <c r="D1732" s="51" t="str">
        <f>IFERROR(VLOOKUP(B1732,منتجات!$A$3:$C$350,3,0),"")</f>
        <v/>
      </c>
      <c r="E1732" s="51"/>
      <c r="F1732" s="51" t="str">
        <f>IFERROR(INDEX(منتجات!$G$3:$G$114,MATCH(B1732,منتجات!$A$3:$A$115,0)),"")</f>
        <v/>
      </c>
      <c r="G1732" s="51" t="str">
        <f t="shared" si="28"/>
        <v/>
      </c>
      <c r="H1732" s="53"/>
    </row>
    <row r="1733" spans="1:8" x14ac:dyDescent="0.35">
      <c r="A1733" s="49"/>
      <c r="B1733" s="49"/>
      <c r="C1733" s="51" t="str">
        <f>IFERROR(VLOOKUP(B1733,منتجات!$A$3:$C$350,2,0),"")</f>
        <v/>
      </c>
      <c r="D1733" s="49" t="str">
        <f>IFERROR(VLOOKUP(B1733,منتجات!$A$3:$C$350,3,0),"")</f>
        <v/>
      </c>
      <c r="E1733" s="49"/>
      <c r="F1733" s="49" t="str">
        <f>IFERROR(INDEX(منتجات!$G$3:$G$114,MATCH(B1733,منتجات!$A$3:$A$115,0)),"")</f>
        <v/>
      </c>
      <c r="G1733" s="51" t="str">
        <f t="shared" si="28"/>
        <v/>
      </c>
      <c r="H1733" s="54"/>
    </row>
    <row r="1734" spans="1:8" x14ac:dyDescent="0.35">
      <c r="A1734" s="51"/>
      <c r="B1734" s="51"/>
      <c r="C1734" s="51" t="str">
        <f>IFERROR(VLOOKUP(B1734,منتجات!$A$3:$C$350,2,0),"")</f>
        <v/>
      </c>
      <c r="D1734" s="51" t="str">
        <f>IFERROR(VLOOKUP(B1734,منتجات!$A$3:$C$350,3,0),"")</f>
        <v/>
      </c>
      <c r="E1734" s="51"/>
      <c r="F1734" s="51" t="str">
        <f>IFERROR(INDEX(منتجات!$G$3:$G$114,MATCH(B1734,منتجات!$A$3:$A$115,0)),"")</f>
        <v/>
      </c>
      <c r="G1734" s="51" t="str">
        <f t="shared" si="28"/>
        <v/>
      </c>
      <c r="H1734" s="53"/>
    </row>
    <row r="1735" spans="1:8" x14ac:dyDescent="0.35">
      <c r="A1735" s="49"/>
      <c r="B1735" s="49"/>
      <c r="C1735" s="51" t="str">
        <f>IFERROR(VLOOKUP(B1735,منتجات!$A$3:$C$350,2,0),"")</f>
        <v/>
      </c>
      <c r="D1735" s="49" t="str">
        <f>IFERROR(VLOOKUP(B1735,منتجات!$A$3:$C$350,3,0),"")</f>
        <v/>
      </c>
      <c r="E1735" s="49"/>
      <c r="F1735" s="49" t="str">
        <f>IFERROR(INDEX(منتجات!$G$3:$G$114,MATCH(B1735,منتجات!$A$3:$A$115,0)),"")</f>
        <v/>
      </c>
      <c r="G1735" s="51" t="str">
        <f t="shared" si="28"/>
        <v/>
      </c>
      <c r="H1735" s="54"/>
    </row>
    <row r="1736" spans="1:8" x14ac:dyDescent="0.35">
      <c r="A1736" s="51"/>
      <c r="B1736" s="51"/>
      <c r="C1736" s="51" t="str">
        <f>IFERROR(VLOOKUP(B1736,منتجات!$A$3:$C$350,2,0),"")</f>
        <v/>
      </c>
      <c r="D1736" s="51" t="str">
        <f>IFERROR(VLOOKUP(B1736,منتجات!$A$3:$C$350,3,0),"")</f>
        <v/>
      </c>
      <c r="E1736" s="51"/>
      <c r="F1736" s="51" t="str">
        <f>IFERROR(INDEX(منتجات!$G$3:$G$114,MATCH(B1736,منتجات!$A$3:$A$115,0)),"")</f>
        <v/>
      </c>
      <c r="G1736" s="51" t="str">
        <f t="shared" si="28"/>
        <v/>
      </c>
      <c r="H1736" s="53"/>
    </row>
    <row r="1737" spans="1:8" x14ac:dyDescent="0.35">
      <c r="A1737" s="49"/>
      <c r="B1737" s="49"/>
      <c r="C1737" s="51" t="str">
        <f>IFERROR(VLOOKUP(B1737,منتجات!$A$3:$C$350,2,0),"")</f>
        <v/>
      </c>
      <c r="D1737" s="49" t="str">
        <f>IFERROR(VLOOKUP(B1737,منتجات!$A$3:$C$350,3,0),"")</f>
        <v/>
      </c>
      <c r="E1737" s="49"/>
      <c r="F1737" s="49" t="str">
        <f>IFERROR(INDEX(منتجات!$G$3:$G$114,MATCH(B1737,منتجات!$A$3:$A$115,0)),"")</f>
        <v/>
      </c>
      <c r="G1737" s="51" t="str">
        <f t="shared" si="28"/>
        <v/>
      </c>
      <c r="H1737" s="54"/>
    </row>
    <row r="1738" spans="1:8" x14ac:dyDescent="0.35">
      <c r="A1738" s="51"/>
      <c r="B1738" s="51"/>
      <c r="C1738" s="51" t="str">
        <f>IFERROR(VLOOKUP(B1738,منتجات!$A$3:$C$350,2,0),"")</f>
        <v/>
      </c>
      <c r="D1738" s="51" t="str">
        <f>IFERROR(VLOOKUP(B1738,منتجات!$A$3:$C$350,3,0),"")</f>
        <v/>
      </c>
      <c r="E1738" s="51"/>
      <c r="F1738" s="51" t="str">
        <f>IFERROR(INDEX(منتجات!$G$3:$G$114,MATCH(B1738,منتجات!$A$3:$A$115,0)),"")</f>
        <v/>
      </c>
      <c r="G1738" s="51" t="str">
        <f t="shared" si="28"/>
        <v/>
      </c>
      <c r="H1738" s="53"/>
    </row>
    <row r="1739" spans="1:8" x14ac:dyDescent="0.35">
      <c r="A1739" s="49"/>
      <c r="B1739" s="49"/>
      <c r="C1739" s="51" t="str">
        <f>IFERROR(VLOOKUP(B1739,منتجات!$A$3:$C$350,2,0),"")</f>
        <v/>
      </c>
      <c r="D1739" s="49" t="str">
        <f>IFERROR(VLOOKUP(B1739,منتجات!$A$3:$C$350,3,0),"")</f>
        <v/>
      </c>
      <c r="E1739" s="49"/>
      <c r="F1739" s="49" t="str">
        <f>IFERROR(INDEX(منتجات!$G$3:$G$114,MATCH(B1739,منتجات!$A$3:$A$115,0)),"")</f>
        <v/>
      </c>
      <c r="G1739" s="51" t="str">
        <f t="shared" si="28"/>
        <v/>
      </c>
      <c r="H1739" s="54"/>
    </row>
    <row r="1740" spans="1:8" x14ac:dyDescent="0.35">
      <c r="A1740" s="51"/>
      <c r="B1740" s="51"/>
      <c r="C1740" s="51" t="str">
        <f>IFERROR(VLOOKUP(B1740,منتجات!$A$3:$C$350,2,0),"")</f>
        <v/>
      </c>
      <c r="D1740" s="51" t="str">
        <f>IFERROR(VLOOKUP(B1740,منتجات!$A$3:$C$350,3,0),"")</f>
        <v/>
      </c>
      <c r="E1740" s="51"/>
      <c r="F1740" s="51" t="str">
        <f>IFERROR(INDEX(منتجات!$G$3:$G$114,MATCH(B1740,منتجات!$A$3:$A$115,0)),"")</f>
        <v/>
      </c>
      <c r="G1740" s="51" t="str">
        <f t="shared" si="28"/>
        <v/>
      </c>
      <c r="H1740" s="53"/>
    </row>
    <row r="1741" spans="1:8" x14ac:dyDescent="0.35">
      <c r="A1741" s="49"/>
      <c r="B1741" s="49"/>
      <c r="C1741" s="51" t="str">
        <f>IFERROR(VLOOKUP(B1741,منتجات!$A$3:$C$350,2,0),"")</f>
        <v/>
      </c>
      <c r="D1741" s="49" t="str">
        <f>IFERROR(VLOOKUP(B1741,منتجات!$A$3:$C$350,3,0),"")</f>
        <v/>
      </c>
      <c r="E1741" s="49"/>
      <c r="F1741" s="49" t="str">
        <f>IFERROR(INDEX(منتجات!$G$3:$G$114,MATCH(B1741,منتجات!$A$3:$A$115,0)),"")</f>
        <v/>
      </c>
      <c r="G1741" s="51" t="str">
        <f t="shared" si="28"/>
        <v/>
      </c>
      <c r="H1741" s="54"/>
    </row>
    <row r="1742" spans="1:8" x14ac:dyDescent="0.35">
      <c r="A1742" s="51"/>
      <c r="B1742" s="51"/>
      <c r="C1742" s="51" t="str">
        <f>IFERROR(VLOOKUP(B1742,منتجات!$A$3:$C$350,2,0),"")</f>
        <v/>
      </c>
      <c r="D1742" s="51" t="str">
        <f>IFERROR(VLOOKUP(B1742,منتجات!$A$3:$C$350,3,0),"")</f>
        <v/>
      </c>
      <c r="E1742" s="51"/>
      <c r="F1742" s="51" t="str">
        <f>IFERROR(INDEX(منتجات!$G$3:$G$114,MATCH(B1742,منتجات!$A$3:$A$115,0)),"")</f>
        <v/>
      </c>
      <c r="G1742" s="51" t="str">
        <f t="shared" ref="G1742:G1805" si="29">IFERROR(E1742*F1742*D1742,"")</f>
        <v/>
      </c>
      <c r="H1742" s="53"/>
    </row>
    <row r="1743" spans="1:8" x14ac:dyDescent="0.35">
      <c r="A1743" s="49"/>
      <c r="B1743" s="49"/>
      <c r="C1743" s="51" t="str">
        <f>IFERROR(VLOOKUP(B1743,منتجات!$A$3:$C$350,2,0),"")</f>
        <v/>
      </c>
      <c r="D1743" s="49" t="str">
        <f>IFERROR(VLOOKUP(B1743,منتجات!$A$3:$C$350,3,0),"")</f>
        <v/>
      </c>
      <c r="E1743" s="49"/>
      <c r="F1743" s="49" t="str">
        <f>IFERROR(INDEX(منتجات!$G$3:$G$114,MATCH(B1743,منتجات!$A$3:$A$115,0)),"")</f>
        <v/>
      </c>
      <c r="G1743" s="51" t="str">
        <f t="shared" si="29"/>
        <v/>
      </c>
      <c r="H1743" s="54"/>
    </row>
    <row r="1744" spans="1:8" x14ac:dyDescent="0.35">
      <c r="A1744" s="51"/>
      <c r="B1744" s="51"/>
      <c r="C1744" s="51" t="str">
        <f>IFERROR(VLOOKUP(B1744,منتجات!$A$3:$C$350,2,0),"")</f>
        <v/>
      </c>
      <c r="D1744" s="51" t="str">
        <f>IFERROR(VLOOKUP(B1744,منتجات!$A$3:$C$350,3,0),"")</f>
        <v/>
      </c>
      <c r="E1744" s="51"/>
      <c r="F1744" s="51" t="str">
        <f>IFERROR(INDEX(منتجات!$G$3:$G$114,MATCH(B1744,منتجات!$A$3:$A$115,0)),"")</f>
        <v/>
      </c>
      <c r="G1744" s="51" t="str">
        <f t="shared" si="29"/>
        <v/>
      </c>
      <c r="H1744" s="53"/>
    </row>
    <row r="1745" spans="1:8" x14ac:dyDescent="0.35">
      <c r="A1745" s="49"/>
      <c r="B1745" s="49"/>
      <c r="C1745" s="51" t="str">
        <f>IFERROR(VLOOKUP(B1745,منتجات!$A$3:$C$350,2,0),"")</f>
        <v/>
      </c>
      <c r="D1745" s="49" t="str">
        <f>IFERROR(VLOOKUP(B1745,منتجات!$A$3:$C$350,3,0),"")</f>
        <v/>
      </c>
      <c r="E1745" s="49"/>
      <c r="F1745" s="49" t="str">
        <f>IFERROR(INDEX(منتجات!$G$3:$G$114,MATCH(B1745,منتجات!$A$3:$A$115,0)),"")</f>
        <v/>
      </c>
      <c r="G1745" s="51" t="str">
        <f t="shared" si="29"/>
        <v/>
      </c>
      <c r="H1745" s="54"/>
    </row>
    <row r="1746" spans="1:8" x14ac:dyDescent="0.35">
      <c r="A1746" s="51"/>
      <c r="B1746" s="51"/>
      <c r="C1746" s="51" t="str">
        <f>IFERROR(VLOOKUP(B1746,منتجات!$A$3:$C$350,2,0),"")</f>
        <v/>
      </c>
      <c r="D1746" s="51" t="str">
        <f>IFERROR(VLOOKUP(B1746,منتجات!$A$3:$C$350,3,0),"")</f>
        <v/>
      </c>
      <c r="E1746" s="51"/>
      <c r="F1746" s="51" t="str">
        <f>IFERROR(INDEX(منتجات!$G$3:$G$114,MATCH(B1746,منتجات!$A$3:$A$115,0)),"")</f>
        <v/>
      </c>
      <c r="G1746" s="51" t="str">
        <f t="shared" si="29"/>
        <v/>
      </c>
      <c r="H1746" s="53"/>
    </row>
    <row r="1747" spans="1:8" x14ac:dyDescent="0.35">
      <c r="A1747" s="49"/>
      <c r="B1747" s="49"/>
      <c r="C1747" s="51" t="str">
        <f>IFERROR(VLOOKUP(B1747,منتجات!$A$3:$C$350,2,0),"")</f>
        <v/>
      </c>
      <c r="D1747" s="49" t="str">
        <f>IFERROR(VLOOKUP(B1747,منتجات!$A$3:$C$350,3,0),"")</f>
        <v/>
      </c>
      <c r="E1747" s="49"/>
      <c r="F1747" s="49" t="str">
        <f>IFERROR(INDEX(منتجات!$G$3:$G$114,MATCH(B1747,منتجات!$A$3:$A$115,0)),"")</f>
        <v/>
      </c>
      <c r="G1747" s="51" t="str">
        <f t="shared" si="29"/>
        <v/>
      </c>
      <c r="H1747" s="54"/>
    </row>
    <row r="1748" spans="1:8" x14ac:dyDescent="0.35">
      <c r="A1748" s="51"/>
      <c r="B1748" s="51"/>
      <c r="C1748" s="51" t="str">
        <f>IFERROR(VLOOKUP(B1748,منتجات!$A$3:$C$350,2,0),"")</f>
        <v/>
      </c>
      <c r="D1748" s="51" t="str">
        <f>IFERROR(VLOOKUP(B1748,منتجات!$A$3:$C$350,3,0),"")</f>
        <v/>
      </c>
      <c r="E1748" s="51"/>
      <c r="F1748" s="51" t="str">
        <f>IFERROR(INDEX(منتجات!$G$3:$G$114,MATCH(B1748,منتجات!$A$3:$A$115,0)),"")</f>
        <v/>
      </c>
      <c r="G1748" s="51" t="str">
        <f t="shared" si="29"/>
        <v/>
      </c>
      <c r="H1748" s="53"/>
    </row>
    <row r="1749" spans="1:8" x14ac:dyDescent="0.35">
      <c r="A1749" s="49"/>
      <c r="B1749" s="49"/>
      <c r="C1749" s="51" t="str">
        <f>IFERROR(VLOOKUP(B1749,منتجات!$A$3:$C$350,2,0),"")</f>
        <v/>
      </c>
      <c r="D1749" s="49" t="str">
        <f>IFERROR(VLOOKUP(B1749,منتجات!$A$3:$C$350,3,0),"")</f>
        <v/>
      </c>
      <c r="E1749" s="49"/>
      <c r="F1749" s="49" t="str">
        <f>IFERROR(INDEX(منتجات!$G$3:$G$114,MATCH(B1749,منتجات!$A$3:$A$115,0)),"")</f>
        <v/>
      </c>
      <c r="G1749" s="51" t="str">
        <f t="shared" si="29"/>
        <v/>
      </c>
      <c r="H1749" s="54"/>
    </row>
    <row r="1750" spans="1:8" x14ac:dyDescent="0.35">
      <c r="A1750" s="51"/>
      <c r="B1750" s="51"/>
      <c r="C1750" s="51" t="str">
        <f>IFERROR(VLOOKUP(B1750,منتجات!$A$3:$C$350,2,0),"")</f>
        <v/>
      </c>
      <c r="D1750" s="51" t="str">
        <f>IFERROR(VLOOKUP(B1750,منتجات!$A$3:$C$350,3,0),"")</f>
        <v/>
      </c>
      <c r="E1750" s="51"/>
      <c r="F1750" s="51" t="str">
        <f>IFERROR(INDEX(منتجات!$G$3:$G$114,MATCH(B1750,منتجات!$A$3:$A$115,0)),"")</f>
        <v/>
      </c>
      <c r="G1750" s="51" t="str">
        <f t="shared" si="29"/>
        <v/>
      </c>
      <c r="H1750" s="53"/>
    </row>
    <row r="1751" spans="1:8" x14ac:dyDescent="0.35">
      <c r="A1751" s="49"/>
      <c r="B1751" s="49"/>
      <c r="C1751" s="51" t="str">
        <f>IFERROR(VLOOKUP(B1751,منتجات!$A$3:$C$350,2,0),"")</f>
        <v/>
      </c>
      <c r="D1751" s="49" t="str">
        <f>IFERROR(VLOOKUP(B1751,منتجات!$A$3:$C$350,3,0),"")</f>
        <v/>
      </c>
      <c r="E1751" s="49"/>
      <c r="F1751" s="49" t="str">
        <f>IFERROR(INDEX(منتجات!$G$3:$G$114,MATCH(B1751,منتجات!$A$3:$A$115,0)),"")</f>
        <v/>
      </c>
      <c r="G1751" s="51" t="str">
        <f t="shared" si="29"/>
        <v/>
      </c>
      <c r="H1751" s="54"/>
    </row>
    <row r="1752" spans="1:8" x14ac:dyDescent="0.35">
      <c r="A1752" s="51"/>
      <c r="B1752" s="51"/>
      <c r="C1752" s="51" t="str">
        <f>IFERROR(VLOOKUP(B1752,منتجات!$A$3:$C$350,2,0),"")</f>
        <v/>
      </c>
      <c r="D1752" s="51" t="str">
        <f>IFERROR(VLOOKUP(B1752,منتجات!$A$3:$C$350,3,0),"")</f>
        <v/>
      </c>
      <c r="E1752" s="51"/>
      <c r="F1752" s="51" t="str">
        <f>IFERROR(INDEX(منتجات!$G$3:$G$114,MATCH(B1752,منتجات!$A$3:$A$115,0)),"")</f>
        <v/>
      </c>
      <c r="G1752" s="51" t="str">
        <f t="shared" si="29"/>
        <v/>
      </c>
      <c r="H1752" s="53"/>
    </row>
    <row r="1753" spans="1:8" x14ac:dyDescent="0.35">
      <c r="A1753" s="49"/>
      <c r="B1753" s="49"/>
      <c r="C1753" s="51" t="str">
        <f>IFERROR(VLOOKUP(B1753,منتجات!$A$3:$C$350,2,0),"")</f>
        <v/>
      </c>
      <c r="D1753" s="49" t="str">
        <f>IFERROR(VLOOKUP(B1753,منتجات!$A$3:$C$350,3,0),"")</f>
        <v/>
      </c>
      <c r="E1753" s="49"/>
      <c r="F1753" s="49" t="str">
        <f>IFERROR(INDEX(منتجات!$G$3:$G$114,MATCH(B1753,منتجات!$A$3:$A$115,0)),"")</f>
        <v/>
      </c>
      <c r="G1753" s="51" t="str">
        <f t="shared" si="29"/>
        <v/>
      </c>
      <c r="H1753" s="54"/>
    </row>
    <row r="1754" spans="1:8" x14ac:dyDescent="0.35">
      <c r="A1754" s="51"/>
      <c r="B1754" s="51"/>
      <c r="C1754" s="51" t="str">
        <f>IFERROR(VLOOKUP(B1754,منتجات!$A$3:$C$350,2,0),"")</f>
        <v/>
      </c>
      <c r="D1754" s="51" t="str">
        <f>IFERROR(VLOOKUP(B1754,منتجات!$A$3:$C$350,3,0),"")</f>
        <v/>
      </c>
      <c r="E1754" s="51"/>
      <c r="F1754" s="51" t="str">
        <f>IFERROR(INDEX(منتجات!$G$3:$G$114,MATCH(B1754,منتجات!$A$3:$A$115,0)),"")</f>
        <v/>
      </c>
      <c r="G1754" s="51" t="str">
        <f t="shared" si="29"/>
        <v/>
      </c>
      <c r="H1754" s="53"/>
    </row>
    <row r="1755" spans="1:8" x14ac:dyDescent="0.35">
      <c r="A1755" s="49"/>
      <c r="B1755" s="49"/>
      <c r="C1755" s="51" t="str">
        <f>IFERROR(VLOOKUP(B1755,منتجات!$A$3:$C$350,2,0),"")</f>
        <v/>
      </c>
      <c r="D1755" s="49" t="str">
        <f>IFERROR(VLOOKUP(B1755,منتجات!$A$3:$C$350,3,0),"")</f>
        <v/>
      </c>
      <c r="E1755" s="49"/>
      <c r="F1755" s="49" t="str">
        <f>IFERROR(INDEX(منتجات!$G$3:$G$114,MATCH(B1755,منتجات!$A$3:$A$115,0)),"")</f>
        <v/>
      </c>
      <c r="G1755" s="51" t="str">
        <f t="shared" si="29"/>
        <v/>
      </c>
      <c r="H1755" s="54"/>
    </row>
    <row r="1756" spans="1:8" x14ac:dyDescent="0.35">
      <c r="A1756" s="51"/>
      <c r="B1756" s="51"/>
      <c r="C1756" s="51" t="str">
        <f>IFERROR(VLOOKUP(B1756,منتجات!$A$3:$C$350,2,0),"")</f>
        <v/>
      </c>
      <c r="D1756" s="51" t="str">
        <f>IFERROR(VLOOKUP(B1756,منتجات!$A$3:$C$350,3,0),"")</f>
        <v/>
      </c>
      <c r="E1756" s="51"/>
      <c r="F1756" s="51" t="str">
        <f>IFERROR(INDEX(منتجات!$G$3:$G$114,MATCH(B1756,منتجات!$A$3:$A$115,0)),"")</f>
        <v/>
      </c>
      <c r="G1756" s="51" t="str">
        <f t="shared" si="29"/>
        <v/>
      </c>
      <c r="H1756" s="53"/>
    </row>
    <row r="1757" spans="1:8" x14ac:dyDescent="0.35">
      <c r="A1757" s="49"/>
      <c r="B1757" s="49"/>
      <c r="C1757" s="51" t="str">
        <f>IFERROR(VLOOKUP(B1757,منتجات!$A$3:$C$350,2,0),"")</f>
        <v/>
      </c>
      <c r="D1757" s="49" t="str">
        <f>IFERROR(VLOOKUP(B1757,منتجات!$A$3:$C$350,3,0),"")</f>
        <v/>
      </c>
      <c r="E1757" s="49"/>
      <c r="F1757" s="49" t="str">
        <f>IFERROR(INDEX(منتجات!$G$3:$G$114,MATCH(B1757,منتجات!$A$3:$A$115,0)),"")</f>
        <v/>
      </c>
      <c r="G1757" s="51" t="str">
        <f t="shared" si="29"/>
        <v/>
      </c>
      <c r="H1757" s="54"/>
    </row>
    <row r="1758" spans="1:8" x14ac:dyDescent="0.35">
      <c r="A1758" s="51"/>
      <c r="B1758" s="51"/>
      <c r="C1758" s="51" t="str">
        <f>IFERROR(VLOOKUP(B1758,منتجات!$A$3:$C$350,2,0),"")</f>
        <v/>
      </c>
      <c r="D1758" s="51" t="str">
        <f>IFERROR(VLOOKUP(B1758,منتجات!$A$3:$C$350,3,0),"")</f>
        <v/>
      </c>
      <c r="E1758" s="51"/>
      <c r="F1758" s="51" t="str">
        <f>IFERROR(INDEX(منتجات!$G$3:$G$114,MATCH(B1758,منتجات!$A$3:$A$115,0)),"")</f>
        <v/>
      </c>
      <c r="G1758" s="51" t="str">
        <f t="shared" si="29"/>
        <v/>
      </c>
      <c r="H1758" s="53"/>
    </row>
    <row r="1759" spans="1:8" x14ac:dyDescent="0.35">
      <c r="A1759" s="49"/>
      <c r="B1759" s="49"/>
      <c r="C1759" s="51" t="str">
        <f>IFERROR(VLOOKUP(B1759,منتجات!$A$3:$C$350,2,0),"")</f>
        <v/>
      </c>
      <c r="D1759" s="49" t="str">
        <f>IFERROR(VLOOKUP(B1759,منتجات!$A$3:$C$350,3,0),"")</f>
        <v/>
      </c>
      <c r="E1759" s="49"/>
      <c r="F1759" s="49" t="str">
        <f>IFERROR(INDEX(منتجات!$G$3:$G$114,MATCH(B1759,منتجات!$A$3:$A$115,0)),"")</f>
        <v/>
      </c>
      <c r="G1759" s="51" t="str">
        <f t="shared" si="29"/>
        <v/>
      </c>
      <c r="H1759" s="54"/>
    </row>
    <row r="1760" spans="1:8" x14ac:dyDescent="0.35">
      <c r="A1760" s="51"/>
      <c r="B1760" s="51"/>
      <c r="C1760" s="51" t="str">
        <f>IFERROR(VLOOKUP(B1760,منتجات!$A$3:$C$350,2,0),"")</f>
        <v/>
      </c>
      <c r="D1760" s="51" t="str">
        <f>IFERROR(VLOOKUP(B1760,منتجات!$A$3:$C$350,3,0),"")</f>
        <v/>
      </c>
      <c r="E1760" s="51"/>
      <c r="F1760" s="51" t="str">
        <f>IFERROR(INDEX(منتجات!$G$3:$G$114,MATCH(B1760,منتجات!$A$3:$A$115,0)),"")</f>
        <v/>
      </c>
      <c r="G1760" s="51" t="str">
        <f t="shared" si="29"/>
        <v/>
      </c>
      <c r="H1760" s="53"/>
    </row>
    <row r="1761" spans="1:8" x14ac:dyDescent="0.35">
      <c r="A1761" s="49"/>
      <c r="B1761" s="49"/>
      <c r="C1761" s="51" t="str">
        <f>IFERROR(VLOOKUP(B1761,منتجات!$A$3:$C$350,2,0),"")</f>
        <v/>
      </c>
      <c r="D1761" s="49" t="str">
        <f>IFERROR(VLOOKUP(B1761,منتجات!$A$3:$C$350,3,0),"")</f>
        <v/>
      </c>
      <c r="E1761" s="49"/>
      <c r="F1761" s="49" t="str">
        <f>IFERROR(INDEX(منتجات!$G$3:$G$114,MATCH(B1761,منتجات!$A$3:$A$115,0)),"")</f>
        <v/>
      </c>
      <c r="G1761" s="51" t="str">
        <f t="shared" si="29"/>
        <v/>
      </c>
      <c r="H1761" s="54"/>
    </row>
    <row r="1762" spans="1:8" x14ac:dyDescent="0.35">
      <c r="A1762" s="51"/>
      <c r="B1762" s="51"/>
      <c r="C1762" s="51" t="str">
        <f>IFERROR(VLOOKUP(B1762,منتجات!$A$3:$C$350,2,0),"")</f>
        <v/>
      </c>
      <c r="D1762" s="51" t="str">
        <f>IFERROR(VLOOKUP(B1762,منتجات!$A$3:$C$350,3,0),"")</f>
        <v/>
      </c>
      <c r="E1762" s="51"/>
      <c r="F1762" s="51" t="str">
        <f>IFERROR(INDEX(منتجات!$G$3:$G$114,MATCH(B1762,منتجات!$A$3:$A$115,0)),"")</f>
        <v/>
      </c>
      <c r="G1762" s="51" t="str">
        <f t="shared" si="29"/>
        <v/>
      </c>
      <c r="H1762" s="53"/>
    </row>
    <row r="1763" spans="1:8" x14ac:dyDescent="0.35">
      <c r="A1763" s="49"/>
      <c r="B1763" s="49"/>
      <c r="C1763" s="51" t="str">
        <f>IFERROR(VLOOKUP(B1763,منتجات!$A$3:$C$350,2,0),"")</f>
        <v/>
      </c>
      <c r="D1763" s="49" t="str">
        <f>IFERROR(VLOOKUP(B1763,منتجات!$A$3:$C$350,3,0),"")</f>
        <v/>
      </c>
      <c r="E1763" s="49"/>
      <c r="F1763" s="49" t="str">
        <f>IFERROR(INDEX(منتجات!$G$3:$G$114,MATCH(B1763,منتجات!$A$3:$A$115,0)),"")</f>
        <v/>
      </c>
      <c r="G1763" s="51" t="str">
        <f t="shared" si="29"/>
        <v/>
      </c>
      <c r="H1763" s="54"/>
    </row>
    <row r="1764" spans="1:8" x14ac:dyDescent="0.35">
      <c r="A1764" s="51"/>
      <c r="B1764" s="51"/>
      <c r="C1764" s="51" t="str">
        <f>IFERROR(VLOOKUP(B1764,منتجات!$A$3:$C$350,2,0),"")</f>
        <v/>
      </c>
      <c r="D1764" s="51" t="str">
        <f>IFERROR(VLOOKUP(B1764,منتجات!$A$3:$C$350,3,0),"")</f>
        <v/>
      </c>
      <c r="E1764" s="51"/>
      <c r="F1764" s="51" t="str">
        <f>IFERROR(INDEX(منتجات!$G$3:$G$114,MATCH(B1764,منتجات!$A$3:$A$115,0)),"")</f>
        <v/>
      </c>
      <c r="G1764" s="51" t="str">
        <f t="shared" si="29"/>
        <v/>
      </c>
      <c r="H1764" s="53"/>
    </row>
    <row r="1765" spans="1:8" x14ac:dyDescent="0.35">
      <c r="A1765" s="49"/>
      <c r="B1765" s="49"/>
      <c r="C1765" s="51" t="str">
        <f>IFERROR(VLOOKUP(B1765,منتجات!$A$3:$C$350,2,0),"")</f>
        <v/>
      </c>
      <c r="D1765" s="49" t="str">
        <f>IFERROR(VLOOKUP(B1765,منتجات!$A$3:$C$350,3,0),"")</f>
        <v/>
      </c>
      <c r="E1765" s="49"/>
      <c r="F1765" s="49" t="str">
        <f>IFERROR(INDEX(منتجات!$G$3:$G$114,MATCH(B1765,منتجات!$A$3:$A$115,0)),"")</f>
        <v/>
      </c>
      <c r="G1765" s="51" t="str">
        <f t="shared" si="29"/>
        <v/>
      </c>
      <c r="H1765" s="54"/>
    </row>
    <row r="1766" spans="1:8" x14ac:dyDescent="0.35">
      <c r="A1766" s="51"/>
      <c r="B1766" s="51"/>
      <c r="C1766" s="51" t="str">
        <f>IFERROR(VLOOKUP(B1766,منتجات!$A$3:$C$350,2,0),"")</f>
        <v/>
      </c>
      <c r="D1766" s="51" t="str">
        <f>IFERROR(VLOOKUP(B1766,منتجات!$A$3:$C$350,3,0),"")</f>
        <v/>
      </c>
      <c r="E1766" s="51"/>
      <c r="F1766" s="51" t="str">
        <f>IFERROR(INDEX(منتجات!$G$3:$G$114,MATCH(B1766,منتجات!$A$3:$A$115,0)),"")</f>
        <v/>
      </c>
      <c r="G1766" s="51" t="str">
        <f t="shared" si="29"/>
        <v/>
      </c>
      <c r="H1766" s="53"/>
    </row>
    <row r="1767" spans="1:8" x14ac:dyDescent="0.35">
      <c r="A1767" s="49"/>
      <c r="B1767" s="49"/>
      <c r="C1767" s="51" t="str">
        <f>IFERROR(VLOOKUP(B1767,منتجات!$A$3:$C$350,2,0),"")</f>
        <v/>
      </c>
      <c r="D1767" s="49" t="str">
        <f>IFERROR(VLOOKUP(B1767,منتجات!$A$3:$C$350,3,0),"")</f>
        <v/>
      </c>
      <c r="E1767" s="49"/>
      <c r="F1767" s="49" t="str">
        <f>IFERROR(INDEX(منتجات!$G$3:$G$114,MATCH(B1767,منتجات!$A$3:$A$115,0)),"")</f>
        <v/>
      </c>
      <c r="G1767" s="51" t="str">
        <f t="shared" si="29"/>
        <v/>
      </c>
      <c r="H1767" s="54"/>
    </row>
    <row r="1768" spans="1:8" x14ac:dyDescent="0.35">
      <c r="A1768" s="51"/>
      <c r="B1768" s="51"/>
      <c r="C1768" s="51" t="str">
        <f>IFERROR(VLOOKUP(B1768,منتجات!$A$3:$C$350,2,0),"")</f>
        <v/>
      </c>
      <c r="D1768" s="51" t="str">
        <f>IFERROR(VLOOKUP(B1768,منتجات!$A$3:$C$350,3,0),"")</f>
        <v/>
      </c>
      <c r="E1768" s="51"/>
      <c r="F1768" s="51" t="str">
        <f>IFERROR(INDEX(منتجات!$G$3:$G$114,MATCH(B1768,منتجات!$A$3:$A$115,0)),"")</f>
        <v/>
      </c>
      <c r="G1768" s="51" t="str">
        <f t="shared" si="29"/>
        <v/>
      </c>
      <c r="H1768" s="53"/>
    </row>
    <row r="1769" spans="1:8" x14ac:dyDescent="0.35">
      <c r="A1769" s="49"/>
      <c r="B1769" s="49"/>
      <c r="C1769" s="51" t="str">
        <f>IFERROR(VLOOKUP(B1769,منتجات!$A$3:$C$350,2,0),"")</f>
        <v/>
      </c>
      <c r="D1769" s="49" t="str">
        <f>IFERROR(VLOOKUP(B1769,منتجات!$A$3:$C$350,3,0),"")</f>
        <v/>
      </c>
      <c r="E1769" s="49"/>
      <c r="F1769" s="49" t="str">
        <f>IFERROR(INDEX(منتجات!$G$3:$G$114,MATCH(B1769,منتجات!$A$3:$A$115,0)),"")</f>
        <v/>
      </c>
      <c r="G1769" s="51" t="str">
        <f t="shared" si="29"/>
        <v/>
      </c>
      <c r="H1769" s="54"/>
    </row>
    <row r="1770" spans="1:8" x14ac:dyDescent="0.35">
      <c r="A1770" s="51"/>
      <c r="B1770" s="51"/>
      <c r="C1770" s="51" t="str">
        <f>IFERROR(VLOOKUP(B1770,منتجات!$A$3:$C$350,2,0),"")</f>
        <v/>
      </c>
      <c r="D1770" s="51" t="str">
        <f>IFERROR(VLOOKUP(B1770,منتجات!$A$3:$C$350,3,0),"")</f>
        <v/>
      </c>
      <c r="E1770" s="51"/>
      <c r="F1770" s="51" t="str">
        <f>IFERROR(INDEX(منتجات!$G$3:$G$114,MATCH(B1770,منتجات!$A$3:$A$115,0)),"")</f>
        <v/>
      </c>
      <c r="G1770" s="51" t="str">
        <f t="shared" si="29"/>
        <v/>
      </c>
      <c r="H1770" s="53"/>
    </row>
    <row r="1771" spans="1:8" x14ac:dyDescent="0.35">
      <c r="A1771" s="49"/>
      <c r="B1771" s="49"/>
      <c r="C1771" s="51" t="str">
        <f>IFERROR(VLOOKUP(B1771,منتجات!$A$3:$C$350,2,0),"")</f>
        <v/>
      </c>
      <c r="D1771" s="49" t="str">
        <f>IFERROR(VLOOKUP(B1771,منتجات!$A$3:$C$350,3,0),"")</f>
        <v/>
      </c>
      <c r="E1771" s="49"/>
      <c r="F1771" s="49" t="str">
        <f>IFERROR(INDEX(منتجات!$G$3:$G$114,MATCH(B1771,منتجات!$A$3:$A$115,0)),"")</f>
        <v/>
      </c>
      <c r="G1771" s="51" t="str">
        <f t="shared" si="29"/>
        <v/>
      </c>
      <c r="H1771" s="54"/>
    </row>
    <row r="1772" spans="1:8" x14ac:dyDescent="0.35">
      <c r="A1772" s="51"/>
      <c r="B1772" s="51"/>
      <c r="C1772" s="51" t="str">
        <f>IFERROR(VLOOKUP(B1772,منتجات!$A$3:$C$350,2,0),"")</f>
        <v/>
      </c>
      <c r="D1772" s="51" t="str">
        <f>IFERROR(VLOOKUP(B1772,منتجات!$A$3:$C$350,3,0),"")</f>
        <v/>
      </c>
      <c r="E1772" s="51"/>
      <c r="F1772" s="51" t="str">
        <f>IFERROR(INDEX(منتجات!$G$3:$G$114,MATCH(B1772,منتجات!$A$3:$A$115,0)),"")</f>
        <v/>
      </c>
      <c r="G1772" s="51" t="str">
        <f t="shared" si="29"/>
        <v/>
      </c>
      <c r="H1772" s="53"/>
    </row>
    <row r="1773" spans="1:8" x14ac:dyDescent="0.35">
      <c r="A1773" s="49"/>
      <c r="B1773" s="49"/>
      <c r="C1773" s="51" t="str">
        <f>IFERROR(VLOOKUP(B1773,منتجات!$A$3:$C$350,2,0),"")</f>
        <v/>
      </c>
      <c r="D1773" s="49" t="str">
        <f>IFERROR(VLOOKUP(B1773,منتجات!$A$3:$C$350,3,0),"")</f>
        <v/>
      </c>
      <c r="E1773" s="49"/>
      <c r="F1773" s="49" t="str">
        <f>IFERROR(INDEX(منتجات!$G$3:$G$114,MATCH(B1773,منتجات!$A$3:$A$115,0)),"")</f>
        <v/>
      </c>
      <c r="G1773" s="51" t="str">
        <f t="shared" si="29"/>
        <v/>
      </c>
      <c r="H1773" s="54"/>
    </row>
    <row r="1774" spans="1:8" x14ac:dyDescent="0.35">
      <c r="A1774" s="51"/>
      <c r="B1774" s="51"/>
      <c r="C1774" s="51" t="str">
        <f>IFERROR(VLOOKUP(B1774,منتجات!$A$3:$C$350,2,0),"")</f>
        <v/>
      </c>
      <c r="D1774" s="51" t="str">
        <f>IFERROR(VLOOKUP(B1774,منتجات!$A$3:$C$350,3,0),"")</f>
        <v/>
      </c>
      <c r="E1774" s="51"/>
      <c r="F1774" s="51" t="str">
        <f>IFERROR(INDEX(منتجات!$G$3:$G$114,MATCH(B1774,منتجات!$A$3:$A$115,0)),"")</f>
        <v/>
      </c>
      <c r="G1774" s="51" t="str">
        <f t="shared" si="29"/>
        <v/>
      </c>
      <c r="H1774" s="53"/>
    </row>
    <row r="1775" spans="1:8" x14ac:dyDescent="0.35">
      <c r="A1775" s="49"/>
      <c r="B1775" s="49"/>
      <c r="C1775" s="51" t="str">
        <f>IFERROR(VLOOKUP(B1775,منتجات!$A$3:$C$350,2,0),"")</f>
        <v/>
      </c>
      <c r="D1775" s="49" t="str">
        <f>IFERROR(VLOOKUP(B1775,منتجات!$A$3:$C$350,3,0),"")</f>
        <v/>
      </c>
      <c r="E1775" s="49"/>
      <c r="F1775" s="49" t="str">
        <f>IFERROR(INDEX(منتجات!$G$3:$G$114,MATCH(B1775,منتجات!$A$3:$A$115,0)),"")</f>
        <v/>
      </c>
      <c r="G1775" s="51" t="str">
        <f t="shared" si="29"/>
        <v/>
      </c>
      <c r="H1775" s="54"/>
    </row>
    <row r="1776" spans="1:8" x14ac:dyDescent="0.35">
      <c r="A1776" s="51"/>
      <c r="B1776" s="51"/>
      <c r="C1776" s="51" t="str">
        <f>IFERROR(VLOOKUP(B1776,منتجات!$A$3:$C$350,2,0),"")</f>
        <v/>
      </c>
      <c r="D1776" s="51" t="str">
        <f>IFERROR(VLOOKUP(B1776,منتجات!$A$3:$C$350,3,0),"")</f>
        <v/>
      </c>
      <c r="E1776" s="51"/>
      <c r="F1776" s="51" t="str">
        <f>IFERROR(INDEX(منتجات!$G$3:$G$114,MATCH(B1776,منتجات!$A$3:$A$115,0)),"")</f>
        <v/>
      </c>
      <c r="G1776" s="51" t="str">
        <f t="shared" si="29"/>
        <v/>
      </c>
      <c r="H1776" s="53"/>
    </row>
    <row r="1777" spans="1:8" x14ac:dyDescent="0.35">
      <c r="A1777" s="49"/>
      <c r="B1777" s="49"/>
      <c r="C1777" s="51" t="str">
        <f>IFERROR(VLOOKUP(B1777,منتجات!$A$3:$C$350,2,0),"")</f>
        <v/>
      </c>
      <c r="D1777" s="49" t="str">
        <f>IFERROR(VLOOKUP(B1777,منتجات!$A$3:$C$350,3,0),"")</f>
        <v/>
      </c>
      <c r="E1777" s="49"/>
      <c r="F1777" s="49" t="str">
        <f>IFERROR(INDEX(منتجات!$G$3:$G$114,MATCH(B1777,منتجات!$A$3:$A$115,0)),"")</f>
        <v/>
      </c>
      <c r="G1777" s="51" t="str">
        <f t="shared" si="29"/>
        <v/>
      </c>
      <c r="H1777" s="54"/>
    </row>
    <row r="1778" spans="1:8" x14ac:dyDescent="0.35">
      <c r="A1778" s="51"/>
      <c r="B1778" s="51"/>
      <c r="C1778" s="51" t="str">
        <f>IFERROR(VLOOKUP(B1778,منتجات!$A$3:$C$350,2,0),"")</f>
        <v/>
      </c>
      <c r="D1778" s="51" t="str">
        <f>IFERROR(VLOOKUP(B1778,منتجات!$A$3:$C$350,3,0),"")</f>
        <v/>
      </c>
      <c r="E1778" s="51"/>
      <c r="F1778" s="51" t="str">
        <f>IFERROR(INDEX(منتجات!$G$3:$G$114,MATCH(B1778,منتجات!$A$3:$A$115,0)),"")</f>
        <v/>
      </c>
      <c r="G1778" s="51" t="str">
        <f t="shared" si="29"/>
        <v/>
      </c>
      <c r="H1778" s="53"/>
    </row>
    <row r="1779" spans="1:8" x14ac:dyDescent="0.35">
      <c r="A1779" s="49"/>
      <c r="B1779" s="49"/>
      <c r="C1779" s="51" t="str">
        <f>IFERROR(VLOOKUP(B1779,منتجات!$A$3:$C$350,2,0),"")</f>
        <v/>
      </c>
      <c r="D1779" s="49" t="str">
        <f>IFERROR(VLOOKUP(B1779,منتجات!$A$3:$C$350,3,0),"")</f>
        <v/>
      </c>
      <c r="E1779" s="49"/>
      <c r="F1779" s="49" t="str">
        <f>IFERROR(INDEX(منتجات!$G$3:$G$114,MATCH(B1779,منتجات!$A$3:$A$115,0)),"")</f>
        <v/>
      </c>
      <c r="G1779" s="51" t="str">
        <f t="shared" si="29"/>
        <v/>
      </c>
      <c r="H1779" s="54"/>
    </row>
    <row r="1780" spans="1:8" x14ac:dyDescent="0.35">
      <c r="A1780" s="51"/>
      <c r="B1780" s="51"/>
      <c r="C1780" s="51" t="str">
        <f>IFERROR(VLOOKUP(B1780,منتجات!$A$3:$C$350,2,0),"")</f>
        <v/>
      </c>
      <c r="D1780" s="51" t="str">
        <f>IFERROR(VLOOKUP(B1780,منتجات!$A$3:$C$350,3,0),"")</f>
        <v/>
      </c>
      <c r="E1780" s="51"/>
      <c r="F1780" s="51" t="str">
        <f>IFERROR(INDEX(منتجات!$G$3:$G$114,MATCH(B1780,منتجات!$A$3:$A$115,0)),"")</f>
        <v/>
      </c>
      <c r="G1780" s="51" t="str">
        <f t="shared" si="29"/>
        <v/>
      </c>
      <c r="H1780" s="53"/>
    </row>
    <row r="1781" spans="1:8" x14ac:dyDescent="0.35">
      <c r="A1781" s="49"/>
      <c r="B1781" s="49"/>
      <c r="C1781" s="51" t="str">
        <f>IFERROR(VLOOKUP(B1781,منتجات!$A$3:$C$350,2,0),"")</f>
        <v/>
      </c>
      <c r="D1781" s="49" t="str">
        <f>IFERROR(VLOOKUP(B1781,منتجات!$A$3:$C$350,3,0),"")</f>
        <v/>
      </c>
      <c r="E1781" s="49"/>
      <c r="F1781" s="49" t="str">
        <f>IFERROR(INDEX(منتجات!$G$3:$G$114,MATCH(B1781,منتجات!$A$3:$A$115,0)),"")</f>
        <v/>
      </c>
      <c r="G1781" s="51" t="str">
        <f t="shared" si="29"/>
        <v/>
      </c>
      <c r="H1781" s="54"/>
    </row>
    <row r="1782" spans="1:8" x14ac:dyDescent="0.35">
      <c r="A1782" s="51"/>
      <c r="B1782" s="51"/>
      <c r="C1782" s="51" t="str">
        <f>IFERROR(VLOOKUP(B1782,منتجات!$A$3:$C$350,2,0),"")</f>
        <v/>
      </c>
      <c r="D1782" s="51" t="str">
        <f>IFERROR(VLOOKUP(B1782,منتجات!$A$3:$C$350,3,0),"")</f>
        <v/>
      </c>
      <c r="E1782" s="51"/>
      <c r="F1782" s="51" t="str">
        <f>IFERROR(INDEX(منتجات!$G$3:$G$114,MATCH(B1782,منتجات!$A$3:$A$115,0)),"")</f>
        <v/>
      </c>
      <c r="G1782" s="51" t="str">
        <f t="shared" si="29"/>
        <v/>
      </c>
      <c r="H1782" s="53"/>
    </row>
    <row r="1783" spans="1:8" x14ac:dyDescent="0.35">
      <c r="A1783" s="49"/>
      <c r="B1783" s="49"/>
      <c r="C1783" s="51" t="str">
        <f>IFERROR(VLOOKUP(B1783,منتجات!$A$3:$C$350,2,0),"")</f>
        <v/>
      </c>
      <c r="D1783" s="49" t="str">
        <f>IFERROR(VLOOKUP(B1783,منتجات!$A$3:$C$350,3,0),"")</f>
        <v/>
      </c>
      <c r="E1783" s="49"/>
      <c r="F1783" s="49" t="str">
        <f>IFERROR(INDEX(منتجات!$G$3:$G$114,MATCH(B1783,منتجات!$A$3:$A$115,0)),"")</f>
        <v/>
      </c>
      <c r="G1783" s="51" t="str">
        <f t="shared" si="29"/>
        <v/>
      </c>
      <c r="H1783" s="54"/>
    </row>
    <row r="1784" spans="1:8" x14ac:dyDescent="0.35">
      <c r="A1784" s="51"/>
      <c r="B1784" s="51"/>
      <c r="C1784" s="51" t="str">
        <f>IFERROR(VLOOKUP(B1784,منتجات!$A$3:$C$350,2,0),"")</f>
        <v/>
      </c>
      <c r="D1784" s="51" t="str">
        <f>IFERROR(VLOOKUP(B1784,منتجات!$A$3:$C$350,3,0),"")</f>
        <v/>
      </c>
      <c r="E1784" s="51"/>
      <c r="F1784" s="51" t="str">
        <f>IFERROR(INDEX(منتجات!$G$3:$G$114,MATCH(B1784,منتجات!$A$3:$A$115,0)),"")</f>
        <v/>
      </c>
      <c r="G1784" s="51" t="str">
        <f t="shared" si="29"/>
        <v/>
      </c>
      <c r="H1784" s="53"/>
    </row>
    <row r="1785" spans="1:8" x14ac:dyDescent="0.35">
      <c r="A1785" s="49"/>
      <c r="B1785" s="49"/>
      <c r="C1785" s="51" t="str">
        <f>IFERROR(VLOOKUP(B1785,منتجات!$A$3:$C$350,2,0),"")</f>
        <v/>
      </c>
      <c r="D1785" s="49" t="str">
        <f>IFERROR(VLOOKUP(B1785,منتجات!$A$3:$C$350,3,0),"")</f>
        <v/>
      </c>
      <c r="E1785" s="49"/>
      <c r="F1785" s="49" t="str">
        <f>IFERROR(INDEX(منتجات!$G$3:$G$114,MATCH(B1785,منتجات!$A$3:$A$115,0)),"")</f>
        <v/>
      </c>
      <c r="G1785" s="51" t="str">
        <f t="shared" si="29"/>
        <v/>
      </c>
      <c r="H1785" s="54"/>
    </row>
    <row r="1786" spans="1:8" x14ac:dyDescent="0.35">
      <c r="A1786" s="51"/>
      <c r="B1786" s="51"/>
      <c r="C1786" s="51" t="str">
        <f>IFERROR(VLOOKUP(B1786,منتجات!$A$3:$C$350,2,0),"")</f>
        <v/>
      </c>
      <c r="D1786" s="51" t="str">
        <f>IFERROR(VLOOKUP(B1786,منتجات!$A$3:$C$350,3,0),"")</f>
        <v/>
      </c>
      <c r="E1786" s="51"/>
      <c r="F1786" s="51" t="str">
        <f>IFERROR(INDEX(منتجات!$G$3:$G$114,MATCH(B1786,منتجات!$A$3:$A$115,0)),"")</f>
        <v/>
      </c>
      <c r="G1786" s="51" t="str">
        <f t="shared" si="29"/>
        <v/>
      </c>
      <c r="H1786" s="53"/>
    </row>
    <row r="1787" spans="1:8" x14ac:dyDescent="0.35">
      <c r="A1787" s="49"/>
      <c r="B1787" s="49"/>
      <c r="C1787" s="51" t="str">
        <f>IFERROR(VLOOKUP(B1787,منتجات!$A$3:$C$350,2,0),"")</f>
        <v/>
      </c>
      <c r="D1787" s="49" t="str">
        <f>IFERROR(VLOOKUP(B1787,منتجات!$A$3:$C$350,3,0),"")</f>
        <v/>
      </c>
      <c r="E1787" s="49"/>
      <c r="F1787" s="49" t="str">
        <f>IFERROR(INDEX(منتجات!$G$3:$G$114,MATCH(B1787,منتجات!$A$3:$A$115,0)),"")</f>
        <v/>
      </c>
      <c r="G1787" s="51" t="str">
        <f t="shared" si="29"/>
        <v/>
      </c>
      <c r="H1787" s="54"/>
    </row>
    <row r="1788" spans="1:8" x14ac:dyDescent="0.35">
      <c r="A1788" s="51"/>
      <c r="B1788" s="51"/>
      <c r="C1788" s="51" t="str">
        <f>IFERROR(VLOOKUP(B1788,منتجات!$A$3:$C$350,2,0),"")</f>
        <v/>
      </c>
      <c r="D1788" s="51" t="str">
        <f>IFERROR(VLOOKUP(B1788,منتجات!$A$3:$C$350,3,0),"")</f>
        <v/>
      </c>
      <c r="E1788" s="51"/>
      <c r="F1788" s="51" t="str">
        <f>IFERROR(INDEX(منتجات!$G$3:$G$114,MATCH(B1788,منتجات!$A$3:$A$115,0)),"")</f>
        <v/>
      </c>
      <c r="G1788" s="51" t="str">
        <f t="shared" si="29"/>
        <v/>
      </c>
      <c r="H1788" s="53"/>
    </row>
    <row r="1789" spans="1:8" x14ac:dyDescent="0.35">
      <c r="A1789" s="49"/>
      <c r="B1789" s="49"/>
      <c r="C1789" s="51" t="str">
        <f>IFERROR(VLOOKUP(B1789,منتجات!$A$3:$C$350,2,0),"")</f>
        <v/>
      </c>
      <c r="D1789" s="49" t="str">
        <f>IFERROR(VLOOKUP(B1789,منتجات!$A$3:$C$350,3,0),"")</f>
        <v/>
      </c>
      <c r="E1789" s="49"/>
      <c r="F1789" s="49" t="str">
        <f>IFERROR(INDEX(منتجات!$G$3:$G$114,MATCH(B1789,منتجات!$A$3:$A$115,0)),"")</f>
        <v/>
      </c>
      <c r="G1789" s="51" t="str">
        <f t="shared" si="29"/>
        <v/>
      </c>
      <c r="H1789" s="54"/>
    </row>
    <row r="1790" spans="1:8" x14ac:dyDescent="0.35">
      <c r="A1790" s="51"/>
      <c r="B1790" s="51"/>
      <c r="C1790" s="51" t="str">
        <f>IFERROR(VLOOKUP(B1790,منتجات!$A$3:$C$350,2,0),"")</f>
        <v/>
      </c>
      <c r="D1790" s="51" t="str">
        <f>IFERROR(VLOOKUP(B1790,منتجات!$A$3:$C$350,3,0),"")</f>
        <v/>
      </c>
      <c r="E1790" s="51"/>
      <c r="F1790" s="51" t="str">
        <f>IFERROR(INDEX(منتجات!$G$3:$G$114,MATCH(B1790,منتجات!$A$3:$A$115,0)),"")</f>
        <v/>
      </c>
      <c r="G1790" s="51" t="str">
        <f t="shared" si="29"/>
        <v/>
      </c>
      <c r="H1790" s="53"/>
    </row>
    <row r="1791" spans="1:8" x14ac:dyDescent="0.35">
      <c r="A1791" s="49"/>
      <c r="B1791" s="49"/>
      <c r="C1791" s="51" t="str">
        <f>IFERROR(VLOOKUP(B1791,منتجات!$A$3:$C$350,2,0),"")</f>
        <v/>
      </c>
      <c r="D1791" s="49" t="str">
        <f>IFERROR(VLOOKUP(B1791,منتجات!$A$3:$C$350,3,0),"")</f>
        <v/>
      </c>
      <c r="E1791" s="49"/>
      <c r="F1791" s="49" t="str">
        <f>IFERROR(INDEX(منتجات!$G$3:$G$114,MATCH(B1791,منتجات!$A$3:$A$115,0)),"")</f>
        <v/>
      </c>
      <c r="G1791" s="51" t="str">
        <f t="shared" si="29"/>
        <v/>
      </c>
      <c r="H1791" s="54"/>
    </row>
    <row r="1792" spans="1:8" x14ac:dyDescent="0.35">
      <c r="A1792" s="51"/>
      <c r="B1792" s="51"/>
      <c r="C1792" s="51" t="str">
        <f>IFERROR(VLOOKUP(B1792,منتجات!$A$3:$C$350,2,0),"")</f>
        <v/>
      </c>
      <c r="D1792" s="51" t="str">
        <f>IFERROR(VLOOKUP(B1792,منتجات!$A$3:$C$350,3,0),"")</f>
        <v/>
      </c>
      <c r="E1792" s="51"/>
      <c r="F1792" s="51" t="str">
        <f>IFERROR(INDEX(منتجات!$G$3:$G$114,MATCH(B1792,منتجات!$A$3:$A$115,0)),"")</f>
        <v/>
      </c>
      <c r="G1792" s="51" t="str">
        <f t="shared" si="29"/>
        <v/>
      </c>
      <c r="H1792" s="53"/>
    </row>
    <row r="1793" spans="1:8" x14ac:dyDescent="0.35">
      <c r="A1793" s="49"/>
      <c r="B1793" s="49"/>
      <c r="C1793" s="51" t="str">
        <f>IFERROR(VLOOKUP(B1793,منتجات!$A$3:$C$350,2,0),"")</f>
        <v/>
      </c>
      <c r="D1793" s="49" t="str">
        <f>IFERROR(VLOOKUP(B1793,منتجات!$A$3:$C$350,3,0),"")</f>
        <v/>
      </c>
      <c r="E1793" s="49"/>
      <c r="F1793" s="49" t="str">
        <f>IFERROR(INDEX(منتجات!$G$3:$G$114,MATCH(B1793,منتجات!$A$3:$A$115,0)),"")</f>
        <v/>
      </c>
      <c r="G1793" s="51" t="str">
        <f t="shared" si="29"/>
        <v/>
      </c>
      <c r="H1793" s="54"/>
    </row>
    <row r="1794" spans="1:8" x14ac:dyDescent="0.35">
      <c r="A1794" s="51"/>
      <c r="B1794" s="51"/>
      <c r="C1794" s="51" t="str">
        <f>IFERROR(VLOOKUP(B1794,منتجات!$A$3:$C$350,2,0),"")</f>
        <v/>
      </c>
      <c r="D1794" s="51" t="str">
        <f>IFERROR(VLOOKUP(B1794,منتجات!$A$3:$C$350,3,0),"")</f>
        <v/>
      </c>
      <c r="E1794" s="51"/>
      <c r="F1794" s="51" t="str">
        <f>IFERROR(INDEX(منتجات!$G$3:$G$114,MATCH(B1794,منتجات!$A$3:$A$115,0)),"")</f>
        <v/>
      </c>
      <c r="G1794" s="51" t="str">
        <f t="shared" si="29"/>
        <v/>
      </c>
      <c r="H1794" s="53"/>
    </row>
    <row r="1795" spans="1:8" x14ac:dyDescent="0.35">
      <c r="A1795" s="49"/>
      <c r="B1795" s="49"/>
      <c r="C1795" s="51" t="str">
        <f>IFERROR(VLOOKUP(B1795,منتجات!$A$3:$C$350,2,0),"")</f>
        <v/>
      </c>
      <c r="D1795" s="49" t="str">
        <f>IFERROR(VLOOKUP(B1795,منتجات!$A$3:$C$350,3,0),"")</f>
        <v/>
      </c>
      <c r="E1795" s="49"/>
      <c r="F1795" s="49" t="str">
        <f>IFERROR(INDEX(منتجات!$G$3:$G$114,MATCH(B1795,منتجات!$A$3:$A$115,0)),"")</f>
        <v/>
      </c>
      <c r="G1795" s="51" t="str">
        <f t="shared" si="29"/>
        <v/>
      </c>
      <c r="H1795" s="54"/>
    </row>
    <row r="1796" spans="1:8" x14ac:dyDescent="0.35">
      <c r="A1796" s="51"/>
      <c r="B1796" s="51"/>
      <c r="C1796" s="51" t="str">
        <f>IFERROR(VLOOKUP(B1796,منتجات!$A$3:$C$350,2,0),"")</f>
        <v/>
      </c>
      <c r="D1796" s="51" t="str">
        <f>IFERROR(VLOOKUP(B1796,منتجات!$A$3:$C$350,3,0),"")</f>
        <v/>
      </c>
      <c r="E1796" s="51"/>
      <c r="F1796" s="51" t="str">
        <f>IFERROR(INDEX(منتجات!$G$3:$G$114,MATCH(B1796,منتجات!$A$3:$A$115,0)),"")</f>
        <v/>
      </c>
      <c r="G1796" s="51" t="str">
        <f t="shared" si="29"/>
        <v/>
      </c>
      <c r="H1796" s="53"/>
    </row>
    <row r="1797" spans="1:8" x14ac:dyDescent="0.35">
      <c r="A1797" s="49"/>
      <c r="B1797" s="49"/>
      <c r="C1797" s="51" t="str">
        <f>IFERROR(VLOOKUP(B1797,منتجات!$A$3:$C$350,2,0),"")</f>
        <v/>
      </c>
      <c r="D1797" s="49" t="str">
        <f>IFERROR(VLOOKUP(B1797,منتجات!$A$3:$C$350,3,0),"")</f>
        <v/>
      </c>
      <c r="E1797" s="49"/>
      <c r="F1797" s="49" t="str">
        <f>IFERROR(INDEX(منتجات!$G$3:$G$114,MATCH(B1797,منتجات!$A$3:$A$115,0)),"")</f>
        <v/>
      </c>
      <c r="G1797" s="51" t="str">
        <f t="shared" si="29"/>
        <v/>
      </c>
      <c r="H1797" s="54"/>
    </row>
    <row r="1798" spans="1:8" x14ac:dyDescent="0.35">
      <c r="A1798" s="51"/>
      <c r="B1798" s="51"/>
      <c r="C1798" s="51" t="str">
        <f>IFERROR(VLOOKUP(B1798,منتجات!$A$3:$C$350,2,0),"")</f>
        <v/>
      </c>
      <c r="D1798" s="51" t="str">
        <f>IFERROR(VLOOKUP(B1798,منتجات!$A$3:$C$350,3,0),"")</f>
        <v/>
      </c>
      <c r="E1798" s="51"/>
      <c r="F1798" s="51" t="str">
        <f>IFERROR(INDEX(منتجات!$G$3:$G$114,MATCH(B1798,منتجات!$A$3:$A$115,0)),"")</f>
        <v/>
      </c>
      <c r="G1798" s="51" t="str">
        <f t="shared" si="29"/>
        <v/>
      </c>
      <c r="H1798" s="53"/>
    </row>
    <row r="1799" spans="1:8" x14ac:dyDescent="0.35">
      <c r="A1799" s="49"/>
      <c r="B1799" s="49"/>
      <c r="C1799" s="51" t="str">
        <f>IFERROR(VLOOKUP(B1799,منتجات!$A$3:$C$350,2,0),"")</f>
        <v/>
      </c>
      <c r="D1799" s="49" t="str">
        <f>IFERROR(VLOOKUP(B1799,منتجات!$A$3:$C$350,3,0),"")</f>
        <v/>
      </c>
      <c r="E1799" s="49"/>
      <c r="F1799" s="49" t="str">
        <f>IFERROR(INDEX(منتجات!$G$3:$G$114,MATCH(B1799,منتجات!$A$3:$A$115,0)),"")</f>
        <v/>
      </c>
      <c r="G1799" s="51" t="str">
        <f t="shared" si="29"/>
        <v/>
      </c>
      <c r="H1799" s="54"/>
    </row>
    <row r="1800" spans="1:8" x14ac:dyDescent="0.35">
      <c r="A1800" s="51"/>
      <c r="B1800" s="51"/>
      <c r="C1800" s="51" t="str">
        <f>IFERROR(VLOOKUP(B1800,منتجات!$A$3:$C$350,2,0),"")</f>
        <v/>
      </c>
      <c r="D1800" s="51" t="str">
        <f>IFERROR(VLOOKUP(B1800,منتجات!$A$3:$C$350,3,0),"")</f>
        <v/>
      </c>
      <c r="E1800" s="51"/>
      <c r="F1800" s="51" t="str">
        <f>IFERROR(INDEX(منتجات!$G$3:$G$114,MATCH(B1800,منتجات!$A$3:$A$115,0)),"")</f>
        <v/>
      </c>
      <c r="G1800" s="51" t="str">
        <f t="shared" si="29"/>
        <v/>
      </c>
      <c r="H1800" s="53"/>
    </row>
    <row r="1801" spans="1:8" x14ac:dyDescent="0.35">
      <c r="A1801" s="49"/>
      <c r="B1801" s="49"/>
      <c r="C1801" s="51" t="str">
        <f>IFERROR(VLOOKUP(B1801,منتجات!$A$3:$C$350,2,0),"")</f>
        <v/>
      </c>
      <c r="D1801" s="49" t="str">
        <f>IFERROR(VLOOKUP(B1801,منتجات!$A$3:$C$350,3,0),"")</f>
        <v/>
      </c>
      <c r="E1801" s="49"/>
      <c r="F1801" s="49" t="str">
        <f>IFERROR(INDEX(منتجات!$G$3:$G$114,MATCH(B1801,منتجات!$A$3:$A$115,0)),"")</f>
        <v/>
      </c>
      <c r="G1801" s="51" t="str">
        <f t="shared" si="29"/>
        <v/>
      </c>
      <c r="H1801" s="54"/>
    </row>
    <row r="1802" spans="1:8" x14ac:dyDescent="0.35">
      <c r="A1802" s="51"/>
      <c r="B1802" s="51"/>
      <c r="C1802" s="51" t="str">
        <f>IFERROR(VLOOKUP(B1802,منتجات!$A$3:$C$350,2,0),"")</f>
        <v/>
      </c>
      <c r="D1802" s="51" t="str">
        <f>IFERROR(VLOOKUP(B1802,منتجات!$A$3:$C$350,3,0),"")</f>
        <v/>
      </c>
      <c r="E1802" s="51"/>
      <c r="F1802" s="51" t="str">
        <f>IFERROR(INDEX(منتجات!$G$3:$G$114,MATCH(B1802,منتجات!$A$3:$A$115,0)),"")</f>
        <v/>
      </c>
      <c r="G1802" s="51" t="str">
        <f t="shared" si="29"/>
        <v/>
      </c>
      <c r="H1802" s="53"/>
    </row>
    <row r="1803" spans="1:8" x14ac:dyDescent="0.35">
      <c r="A1803" s="49"/>
      <c r="B1803" s="49"/>
      <c r="C1803" s="51" t="str">
        <f>IFERROR(VLOOKUP(B1803,منتجات!$A$3:$C$350,2,0),"")</f>
        <v/>
      </c>
      <c r="D1803" s="49" t="str">
        <f>IFERROR(VLOOKUP(B1803,منتجات!$A$3:$C$350,3,0),"")</f>
        <v/>
      </c>
      <c r="E1803" s="49"/>
      <c r="F1803" s="49" t="str">
        <f>IFERROR(INDEX(منتجات!$G$3:$G$114,MATCH(B1803,منتجات!$A$3:$A$115,0)),"")</f>
        <v/>
      </c>
      <c r="G1803" s="51" t="str">
        <f t="shared" si="29"/>
        <v/>
      </c>
      <c r="H1803" s="54"/>
    </row>
    <row r="1804" spans="1:8" x14ac:dyDescent="0.35">
      <c r="A1804" s="51"/>
      <c r="B1804" s="51"/>
      <c r="C1804" s="51" t="str">
        <f>IFERROR(VLOOKUP(B1804,منتجات!$A$3:$C$350,2,0),"")</f>
        <v/>
      </c>
      <c r="D1804" s="51" t="str">
        <f>IFERROR(VLOOKUP(B1804,منتجات!$A$3:$C$350,3,0),"")</f>
        <v/>
      </c>
      <c r="E1804" s="51"/>
      <c r="F1804" s="51" t="str">
        <f>IFERROR(INDEX(منتجات!$G$3:$G$114,MATCH(B1804,منتجات!$A$3:$A$115,0)),"")</f>
        <v/>
      </c>
      <c r="G1804" s="51" t="str">
        <f t="shared" si="29"/>
        <v/>
      </c>
      <c r="H1804" s="53"/>
    </row>
    <row r="1805" spans="1:8" x14ac:dyDescent="0.35">
      <c r="A1805" s="49"/>
      <c r="B1805" s="49"/>
      <c r="C1805" s="51" t="str">
        <f>IFERROR(VLOOKUP(B1805,منتجات!$A$3:$C$350,2,0),"")</f>
        <v/>
      </c>
      <c r="D1805" s="49" t="str">
        <f>IFERROR(VLOOKUP(B1805,منتجات!$A$3:$C$350,3,0),"")</f>
        <v/>
      </c>
      <c r="E1805" s="49"/>
      <c r="F1805" s="49" t="str">
        <f>IFERROR(INDEX(منتجات!$G$3:$G$114,MATCH(B1805,منتجات!$A$3:$A$115,0)),"")</f>
        <v/>
      </c>
      <c r="G1805" s="51" t="str">
        <f t="shared" si="29"/>
        <v/>
      </c>
      <c r="H1805" s="54"/>
    </row>
    <row r="1806" spans="1:8" x14ac:dyDescent="0.35">
      <c r="A1806" s="51"/>
      <c r="B1806" s="51"/>
      <c r="C1806" s="51" t="str">
        <f>IFERROR(VLOOKUP(B1806,منتجات!$A$3:$C$350,2,0),"")</f>
        <v/>
      </c>
      <c r="D1806" s="51" t="str">
        <f>IFERROR(VLOOKUP(B1806,منتجات!$A$3:$C$350,3,0),"")</f>
        <v/>
      </c>
      <c r="E1806" s="51"/>
      <c r="F1806" s="51" t="str">
        <f>IFERROR(INDEX(منتجات!$G$3:$G$114,MATCH(B1806,منتجات!$A$3:$A$115,0)),"")</f>
        <v/>
      </c>
      <c r="G1806" s="51" t="str">
        <f t="shared" ref="G1806:G1869" si="30">IFERROR(E1806*F1806*D1806,"")</f>
        <v/>
      </c>
      <c r="H1806" s="53"/>
    </row>
    <row r="1807" spans="1:8" x14ac:dyDescent="0.35">
      <c r="A1807" s="49"/>
      <c r="B1807" s="49"/>
      <c r="C1807" s="51" t="str">
        <f>IFERROR(VLOOKUP(B1807,منتجات!$A$3:$C$350,2,0),"")</f>
        <v/>
      </c>
      <c r="D1807" s="49" t="str">
        <f>IFERROR(VLOOKUP(B1807,منتجات!$A$3:$C$350,3,0),"")</f>
        <v/>
      </c>
      <c r="E1807" s="49"/>
      <c r="F1807" s="49" t="str">
        <f>IFERROR(INDEX(منتجات!$G$3:$G$114,MATCH(B1807,منتجات!$A$3:$A$115,0)),"")</f>
        <v/>
      </c>
      <c r="G1807" s="51" t="str">
        <f t="shared" si="30"/>
        <v/>
      </c>
      <c r="H1807" s="54"/>
    </row>
    <row r="1808" spans="1:8" x14ac:dyDescent="0.35">
      <c r="A1808" s="51"/>
      <c r="B1808" s="51"/>
      <c r="C1808" s="51" t="str">
        <f>IFERROR(VLOOKUP(B1808,منتجات!$A$3:$C$350,2,0),"")</f>
        <v/>
      </c>
      <c r="D1808" s="51" t="str">
        <f>IFERROR(VLOOKUP(B1808,منتجات!$A$3:$C$350,3,0),"")</f>
        <v/>
      </c>
      <c r="E1808" s="51"/>
      <c r="F1808" s="51" t="str">
        <f>IFERROR(INDEX(منتجات!$G$3:$G$114,MATCH(B1808,منتجات!$A$3:$A$115,0)),"")</f>
        <v/>
      </c>
      <c r="G1808" s="51" t="str">
        <f t="shared" si="30"/>
        <v/>
      </c>
      <c r="H1808" s="53"/>
    </row>
    <row r="1809" spans="1:8" x14ac:dyDescent="0.35">
      <c r="A1809" s="49"/>
      <c r="B1809" s="49"/>
      <c r="C1809" s="51" t="str">
        <f>IFERROR(VLOOKUP(B1809,منتجات!$A$3:$C$350,2,0),"")</f>
        <v/>
      </c>
      <c r="D1809" s="49" t="str">
        <f>IFERROR(VLOOKUP(B1809,منتجات!$A$3:$C$350,3,0),"")</f>
        <v/>
      </c>
      <c r="E1809" s="49"/>
      <c r="F1809" s="49" t="str">
        <f>IFERROR(INDEX(منتجات!$G$3:$G$114,MATCH(B1809,منتجات!$A$3:$A$115,0)),"")</f>
        <v/>
      </c>
      <c r="G1809" s="51" t="str">
        <f t="shared" si="30"/>
        <v/>
      </c>
      <c r="H1809" s="54"/>
    </row>
    <row r="1810" spans="1:8" x14ac:dyDescent="0.35">
      <c r="A1810" s="51"/>
      <c r="B1810" s="51"/>
      <c r="C1810" s="51" t="str">
        <f>IFERROR(VLOOKUP(B1810,منتجات!$A$3:$C$350,2,0),"")</f>
        <v/>
      </c>
      <c r="D1810" s="51" t="str">
        <f>IFERROR(VLOOKUP(B1810,منتجات!$A$3:$C$350,3,0),"")</f>
        <v/>
      </c>
      <c r="E1810" s="51"/>
      <c r="F1810" s="51" t="str">
        <f>IFERROR(INDEX(منتجات!$G$3:$G$114,MATCH(B1810,منتجات!$A$3:$A$115,0)),"")</f>
        <v/>
      </c>
      <c r="G1810" s="51" t="str">
        <f t="shared" si="30"/>
        <v/>
      </c>
      <c r="H1810" s="53"/>
    </row>
    <row r="1811" spans="1:8" x14ac:dyDescent="0.35">
      <c r="A1811" s="49"/>
      <c r="B1811" s="49"/>
      <c r="C1811" s="51" t="str">
        <f>IFERROR(VLOOKUP(B1811,منتجات!$A$3:$C$350,2,0),"")</f>
        <v/>
      </c>
      <c r="D1811" s="49" t="str">
        <f>IFERROR(VLOOKUP(B1811,منتجات!$A$3:$C$350,3,0),"")</f>
        <v/>
      </c>
      <c r="E1811" s="49"/>
      <c r="F1811" s="49" t="str">
        <f>IFERROR(INDEX(منتجات!$G$3:$G$114,MATCH(B1811,منتجات!$A$3:$A$115,0)),"")</f>
        <v/>
      </c>
      <c r="G1811" s="51" t="str">
        <f t="shared" si="30"/>
        <v/>
      </c>
      <c r="H1811" s="54"/>
    </row>
    <row r="1812" spans="1:8" x14ac:dyDescent="0.35">
      <c r="A1812" s="51"/>
      <c r="B1812" s="51"/>
      <c r="C1812" s="51" t="str">
        <f>IFERROR(VLOOKUP(B1812,منتجات!$A$3:$C$350,2,0),"")</f>
        <v/>
      </c>
      <c r="D1812" s="51" t="str">
        <f>IFERROR(VLOOKUP(B1812,منتجات!$A$3:$C$350,3,0),"")</f>
        <v/>
      </c>
      <c r="E1812" s="51"/>
      <c r="F1812" s="51" t="str">
        <f>IFERROR(INDEX(منتجات!$G$3:$G$114,MATCH(B1812,منتجات!$A$3:$A$115,0)),"")</f>
        <v/>
      </c>
      <c r="G1812" s="51" t="str">
        <f t="shared" si="30"/>
        <v/>
      </c>
      <c r="H1812" s="53"/>
    </row>
    <row r="1813" spans="1:8" x14ac:dyDescent="0.35">
      <c r="A1813" s="49"/>
      <c r="B1813" s="49"/>
      <c r="C1813" s="51" t="str">
        <f>IFERROR(VLOOKUP(B1813,منتجات!$A$3:$C$350,2,0),"")</f>
        <v/>
      </c>
      <c r="D1813" s="49" t="str">
        <f>IFERROR(VLOOKUP(B1813,منتجات!$A$3:$C$350,3,0),"")</f>
        <v/>
      </c>
      <c r="E1813" s="49"/>
      <c r="F1813" s="49" t="str">
        <f>IFERROR(INDEX(منتجات!$G$3:$G$114,MATCH(B1813,منتجات!$A$3:$A$115,0)),"")</f>
        <v/>
      </c>
      <c r="G1813" s="51" t="str">
        <f t="shared" si="30"/>
        <v/>
      </c>
      <c r="H1813" s="54"/>
    </row>
    <row r="1814" spans="1:8" x14ac:dyDescent="0.35">
      <c r="A1814" s="51"/>
      <c r="B1814" s="51"/>
      <c r="C1814" s="51" t="str">
        <f>IFERROR(VLOOKUP(B1814,منتجات!$A$3:$C$350,2,0),"")</f>
        <v/>
      </c>
      <c r="D1814" s="51" t="str">
        <f>IFERROR(VLOOKUP(B1814,منتجات!$A$3:$C$350,3,0),"")</f>
        <v/>
      </c>
      <c r="E1814" s="51"/>
      <c r="F1814" s="51" t="str">
        <f>IFERROR(INDEX(منتجات!$G$3:$G$114,MATCH(B1814,منتجات!$A$3:$A$115,0)),"")</f>
        <v/>
      </c>
      <c r="G1814" s="51" t="str">
        <f t="shared" si="30"/>
        <v/>
      </c>
      <c r="H1814" s="53"/>
    </row>
    <row r="1815" spans="1:8" x14ac:dyDescent="0.35">
      <c r="A1815" s="49"/>
      <c r="B1815" s="49"/>
      <c r="C1815" s="51" t="str">
        <f>IFERROR(VLOOKUP(B1815,منتجات!$A$3:$C$350,2,0),"")</f>
        <v/>
      </c>
      <c r="D1815" s="49" t="str">
        <f>IFERROR(VLOOKUP(B1815,منتجات!$A$3:$C$350,3,0),"")</f>
        <v/>
      </c>
      <c r="E1815" s="49"/>
      <c r="F1815" s="49" t="str">
        <f>IFERROR(INDEX(منتجات!$G$3:$G$114,MATCH(B1815,منتجات!$A$3:$A$115,0)),"")</f>
        <v/>
      </c>
      <c r="G1815" s="51" t="str">
        <f t="shared" si="30"/>
        <v/>
      </c>
      <c r="H1815" s="54"/>
    </row>
    <row r="1816" spans="1:8" x14ac:dyDescent="0.35">
      <c r="A1816" s="51"/>
      <c r="B1816" s="51"/>
      <c r="C1816" s="51" t="str">
        <f>IFERROR(VLOOKUP(B1816,منتجات!$A$3:$C$350,2,0),"")</f>
        <v/>
      </c>
      <c r="D1816" s="51" t="str">
        <f>IFERROR(VLOOKUP(B1816,منتجات!$A$3:$C$350,3,0),"")</f>
        <v/>
      </c>
      <c r="E1816" s="51"/>
      <c r="F1816" s="51" t="str">
        <f>IFERROR(INDEX(منتجات!$G$3:$G$114,MATCH(B1816,منتجات!$A$3:$A$115,0)),"")</f>
        <v/>
      </c>
      <c r="G1816" s="51" t="str">
        <f t="shared" si="30"/>
        <v/>
      </c>
      <c r="H1816" s="53"/>
    </row>
    <row r="1817" spans="1:8" x14ac:dyDescent="0.35">
      <c r="A1817" s="49"/>
      <c r="B1817" s="49"/>
      <c r="C1817" s="51" t="str">
        <f>IFERROR(VLOOKUP(B1817,منتجات!$A$3:$C$350,2,0),"")</f>
        <v/>
      </c>
      <c r="D1817" s="49" t="str">
        <f>IFERROR(VLOOKUP(B1817,منتجات!$A$3:$C$350,3,0),"")</f>
        <v/>
      </c>
      <c r="E1817" s="49"/>
      <c r="F1817" s="49" t="str">
        <f>IFERROR(INDEX(منتجات!$G$3:$G$114,MATCH(B1817,منتجات!$A$3:$A$115,0)),"")</f>
        <v/>
      </c>
      <c r="G1817" s="51" t="str">
        <f t="shared" si="30"/>
        <v/>
      </c>
      <c r="H1817" s="54"/>
    </row>
    <row r="1818" spans="1:8" x14ac:dyDescent="0.35">
      <c r="A1818" s="51"/>
      <c r="B1818" s="51"/>
      <c r="C1818" s="51" t="str">
        <f>IFERROR(VLOOKUP(B1818,منتجات!$A$3:$C$350,2,0),"")</f>
        <v/>
      </c>
      <c r="D1818" s="51" t="str">
        <f>IFERROR(VLOOKUP(B1818,منتجات!$A$3:$C$350,3,0),"")</f>
        <v/>
      </c>
      <c r="E1818" s="51"/>
      <c r="F1818" s="51" t="str">
        <f>IFERROR(INDEX(منتجات!$G$3:$G$114,MATCH(B1818,منتجات!$A$3:$A$115,0)),"")</f>
        <v/>
      </c>
      <c r="G1818" s="51" t="str">
        <f t="shared" si="30"/>
        <v/>
      </c>
      <c r="H1818" s="53"/>
    </row>
    <row r="1819" spans="1:8" x14ac:dyDescent="0.35">
      <c r="A1819" s="49"/>
      <c r="B1819" s="49"/>
      <c r="C1819" s="51" t="str">
        <f>IFERROR(VLOOKUP(B1819,منتجات!$A$3:$C$350,2,0),"")</f>
        <v/>
      </c>
      <c r="D1819" s="49" t="str">
        <f>IFERROR(VLOOKUP(B1819,منتجات!$A$3:$C$350,3,0),"")</f>
        <v/>
      </c>
      <c r="E1819" s="49"/>
      <c r="F1819" s="49" t="str">
        <f>IFERROR(INDEX(منتجات!$G$3:$G$114,MATCH(B1819,منتجات!$A$3:$A$115,0)),"")</f>
        <v/>
      </c>
      <c r="G1819" s="51" t="str">
        <f t="shared" si="30"/>
        <v/>
      </c>
      <c r="H1819" s="54"/>
    </row>
    <row r="1820" spans="1:8" x14ac:dyDescent="0.35">
      <c r="A1820" s="51"/>
      <c r="B1820" s="51"/>
      <c r="C1820" s="51" t="str">
        <f>IFERROR(VLOOKUP(B1820,منتجات!$A$3:$C$350,2,0),"")</f>
        <v/>
      </c>
      <c r="D1820" s="51" t="str">
        <f>IFERROR(VLOOKUP(B1820,منتجات!$A$3:$C$350,3,0),"")</f>
        <v/>
      </c>
      <c r="E1820" s="51"/>
      <c r="F1820" s="51" t="str">
        <f>IFERROR(INDEX(منتجات!$G$3:$G$114,MATCH(B1820,منتجات!$A$3:$A$115,0)),"")</f>
        <v/>
      </c>
      <c r="G1820" s="51" t="str">
        <f t="shared" si="30"/>
        <v/>
      </c>
      <c r="H1820" s="53"/>
    </row>
    <row r="1821" spans="1:8" x14ac:dyDescent="0.35">
      <c r="A1821" s="49"/>
      <c r="B1821" s="49"/>
      <c r="C1821" s="51" t="str">
        <f>IFERROR(VLOOKUP(B1821,منتجات!$A$3:$C$350,2,0),"")</f>
        <v/>
      </c>
      <c r="D1821" s="49" t="str">
        <f>IFERROR(VLOOKUP(B1821,منتجات!$A$3:$C$350,3,0),"")</f>
        <v/>
      </c>
      <c r="E1821" s="49"/>
      <c r="F1821" s="49" t="str">
        <f>IFERROR(INDEX(منتجات!$G$3:$G$114,MATCH(B1821,منتجات!$A$3:$A$115,0)),"")</f>
        <v/>
      </c>
      <c r="G1821" s="51" t="str">
        <f t="shared" si="30"/>
        <v/>
      </c>
      <c r="H1821" s="54"/>
    </row>
    <row r="1822" spans="1:8" x14ac:dyDescent="0.35">
      <c r="A1822" s="51"/>
      <c r="B1822" s="51"/>
      <c r="C1822" s="51" t="str">
        <f>IFERROR(VLOOKUP(B1822,منتجات!$A$3:$C$350,2,0),"")</f>
        <v/>
      </c>
      <c r="D1822" s="51" t="str">
        <f>IFERROR(VLOOKUP(B1822,منتجات!$A$3:$C$350,3,0),"")</f>
        <v/>
      </c>
      <c r="E1822" s="51"/>
      <c r="F1822" s="51" t="str">
        <f>IFERROR(INDEX(منتجات!$G$3:$G$114,MATCH(B1822,منتجات!$A$3:$A$115,0)),"")</f>
        <v/>
      </c>
      <c r="G1822" s="51" t="str">
        <f t="shared" si="30"/>
        <v/>
      </c>
      <c r="H1822" s="53"/>
    </row>
    <row r="1823" spans="1:8" x14ac:dyDescent="0.35">
      <c r="A1823" s="49"/>
      <c r="B1823" s="49"/>
      <c r="C1823" s="51" t="str">
        <f>IFERROR(VLOOKUP(B1823,منتجات!$A$3:$C$350,2,0),"")</f>
        <v/>
      </c>
      <c r="D1823" s="49" t="str">
        <f>IFERROR(VLOOKUP(B1823,منتجات!$A$3:$C$350,3,0),"")</f>
        <v/>
      </c>
      <c r="E1823" s="49"/>
      <c r="F1823" s="49" t="str">
        <f>IFERROR(INDEX(منتجات!$G$3:$G$114,MATCH(B1823,منتجات!$A$3:$A$115,0)),"")</f>
        <v/>
      </c>
      <c r="G1823" s="51" t="str">
        <f t="shared" si="30"/>
        <v/>
      </c>
      <c r="H1823" s="54"/>
    </row>
    <row r="1824" spans="1:8" x14ac:dyDescent="0.35">
      <c r="A1824" s="51"/>
      <c r="B1824" s="51"/>
      <c r="C1824" s="51" t="str">
        <f>IFERROR(VLOOKUP(B1824,منتجات!$A$3:$C$350,2,0),"")</f>
        <v/>
      </c>
      <c r="D1824" s="51" t="str">
        <f>IFERROR(VLOOKUP(B1824,منتجات!$A$3:$C$350,3,0),"")</f>
        <v/>
      </c>
      <c r="E1824" s="51"/>
      <c r="F1824" s="51" t="str">
        <f>IFERROR(INDEX(منتجات!$G$3:$G$114,MATCH(B1824,منتجات!$A$3:$A$115,0)),"")</f>
        <v/>
      </c>
      <c r="G1824" s="51" t="str">
        <f t="shared" si="30"/>
        <v/>
      </c>
      <c r="H1824" s="53"/>
    </row>
    <row r="1825" spans="1:8" x14ac:dyDescent="0.35">
      <c r="A1825" s="49"/>
      <c r="B1825" s="49"/>
      <c r="C1825" s="51" t="str">
        <f>IFERROR(VLOOKUP(B1825,منتجات!$A$3:$C$350,2,0),"")</f>
        <v/>
      </c>
      <c r="D1825" s="49" t="str">
        <f>IFERROR(VLOOKUP(B1825,منتجات!$A$3:$C$350,3,0),"")</f>
        <v/>
      </c>
      <c r="E1825" s="49"/>
      <c r="F1825" s="49" t="str">
        <f>IFERROR(INDEX(منتجات!$G$3:$G$114,MATCH(B1825,منتجات!$A$3:$A$115,0)),"")</f>
        <v/>
      </c>
      <c r="G1825" s="51" t="str">
        <f t="shared" si="30"/>
        <v/>
      </c>
      <c r="H1825" s="54"/>
    </row>
    <row r="1826" spans="1:8" x14ac:dyDescent="0.35">
      <c r="A1826" s="51"/>
      <c r="B1826" s="51"/>
      <c r="C1826" s="51" t="str">
        <f>IFERROR(VLOOKUP(B1826,منتجات!$A$3:$C$350,2,0),"")</f>
        <v/>
      </c>
      <c r="D1826" s="51" t="str">
        <f>IFERROR(VLOOKUP(B1826,منتجات!$A$3:$C$350,3,0),"")</f>
        <v/>
      </c>
      <c r="E1826" s="51"/>
      <c r="F1826" s="51" t="str">
        <f>IFERROR(INDEX(منتجات!$G$3:$G$114,MATCH(B1826,منتجات!$A$3:$A$115,0)),"")</f>
        <v/>
      </c>
      <c r="G1826" s="51" t="str">
        <f t="shared" si="30"/>
        <v/>
      </c>
      <c r="H1826" s="53"/>
    </row>
    <row r="1827" spans="1:8" x14ac:dyDescent="0.35">
      <c r="A1827" s="49"/>
      <c r="B1827" s="49"/>
      <c r="C1827" s="51" t="str">
        <f>IFERROR(VLOOKUP(B1827,منتجات!$A$3:$C$350,2,0),"")</f>
        <v/>
      </c>
      <c r="D1827" s="49" t="str">
        <f>IFERROR(VLOOKUP(B1827,منتجات!$A$3:$C$350,3,0),"")</f>
        <v/>
      </c>
      <c r="E1827" s="49"/>
      <c r="F1827" s="49" t="str">
        <f>IFERROR(INDEX(منتجات!$G$3:$G$114,MATCH(B1827,منتجات!$A$3:$A$115,0)),"")</f>
        <v/>
      </c>
      <c r="G1827" s="51" t="str">
        <f t="shared" si="30"/>
        <v/>
      </c>
      <c r="H1827" s="54"/>
    </row>
    <row r="1828" spans="1:8" x14ac:dyDescent="0.35">
      <c r="A1828" s="51"/>
      <c r="B1828" s="51"/>
      <c r="C1828" s="51" t="str">
        <f>IFERROR(VLOOKUP(B1828,منتجات!$A$3:$C$350,2,0),"")</f>
        <v/>
      </c>
      <c r="D1828" s="51" t="str">
        <f>IFERROR(VLOOKUP(B1828,منتجات!$A$3:$C$350,3,0),"")</f>
        <v/>
      </c>
      <c r="E1828" s="51"/>
      <c r="F1828" s="51" t="str">
        <f>IFERROR(INDEX(منتجات!$G$3:$G$114,MATCH(B1828,منتجات!$A$3:$A$115,0)),"")</f>
        <v/>
      </c>
      <c r="G1828" s="51" t="str">
        <f t="shared" si="30"/>
        <v/>
      </c>
      <c r="H1828" s="53"/>
    </row>
    <row r="1829" spans="1:8" x14ac:dyDescent="0.35">
      <c r="A1829" s="49"/>
      <c r="B1829" s="49"/>
      <c r="C1829" s="51" t="str">
        <f>IFERROR(VLOOKUP(B1829,منتجات!$A$3:$C$350,2,0),"")</f>
        <v/>
      </c>
      <c r="D1829" s="49" t="str">
        <f>IFERROR(VLOOKUP(B1829,منتجات!$A$3:$C$350,3,0),"")</f>
        <v/>
      </c>
      <c r="E1829" s="49"/>
      <c r="F1829" s="49" t="str">
        <f>IFERROR(INDEX(منتجات!$G$3:$G$114,MATCH(B1829,منتجات!$A$3:$A$115,0)),"")</f>
        <v/>
      </c>
      <c r="G1829" s="51" t="str">
        <f t="shared" si="30"/>
        <v/>
      </c>
      <c r="H1829" s="54"/>
    </row>
    <row r="1830" spans="1:8" x14ac:dyDescent="0.35">
      <c r="A1830" s="51"/>
      <c r="B1830" s="51"/>
      <c r="C1830" s="51" t="str">
        <f>IFERROR(VLOOKUP(B1830,منتجات!$A$3:$C$350,2,0),"")</f>
        <v/>
      </c>
      <c r="D1830" s="51" t="str">
        <f>IFERROR(VLOOKUP(B1830,منتجات!$A$3:$C$350,3,0),"")</f>
        <v/>
      </c>
      <c r="E1830" s="51"/>
      <c r="F1830" s="51" t="str">
        <f>IFERROR(INDEX(منتجات!$G$3:$G$114,MATCH(B1830,منتجات!$A$3:$A$115,0)),"")</f>
        <v/>
      </c>
      <c r="G1830" s="51" t="str">
        <f t="shared" si="30"/>
        <v/>
      </c>
      <c r="H1830" s="53"/>
    </row>
    <row r="1831" spans="1:8" x14ac:dyDescent="0.35">
      <c r="A1831" s="49"/>
      <c r="B1831" s="49"/>
      <c r="C1831" s="51" t="str">
        <f>IFERROR(VLOOKUP(B1831,منتجات!$A$3:$C$350,2,0),"")</f>
        <v/>
      </c>
      <c r="D1831" s="49" t="str">
        <f>IFERROR(VLOOKUP(B1831,منتجات!$A$3:$C$350,3,0),"")</f>
        <v/>
      </c>
      <c r="E1831" s="49"/>
      <c r="F1831" s="49" t="str">
        <f>IFERROR(INDEX(منتجات!$G$3:$G$114,MATCH(B1831,منتجات!$A$3:$A$115,0)),"")</f>
        <v/>
      </c>
      <c r="G1831" s="51" t="str">
        <f t="shared" si="30"/>
        <v/>
      </c>
      <c r="H1831" s="54"/>
    </row>
    <row r="1832" spans="1:8" x14ac:dyDescent="0.35">
      <c r="A1832" s="51"/>
      <c r="B1832" s="51"/>
      <c r="C1832" s="51" t="str">
        <f>IFERROR(VLOOKUP(B1832,منتجات!$A$3:$C$350,2,0),"")</f>
        <v/>
      </c>
      <c r="D1832" s="51" t="str">
        <f>IFERROR(VLOOKUP(B1832,منتجات!$A$3:$C$350,3,0),"")</f>
        <v/>
      </c>
      <c r="E1832" s="51"/>
      <c r="F1832" s="51" t="str">
        <f>IFERROR(INDEX(منتجات!$G$3:$G$114,MATCH(B1832,منتجات!$A$3:$A$115,0)),"")</f>
        <v/>
      </c>
      <c r="G1832" s="51" t="str">
        <f t="shared" si="30"/>
        <v/>
      </c>
      <c r="H1832" s="53"/>
    </row>
    <row r="1833" spans="1:8" x14ac:dyDescent="0.35">
      <c r="A1833" s="49"/>
      <c r="B1833" s="49"/>
      <c r="C1833" s="51" t="str">
        <f>IFERROR(VLOOKUP(B1833,منتجات!$A$3:$C$350,2,0),"")</f>
        <v/>
      </c>
      <c r="D1833" s="49" t="str">
        <f>IFERROR(VLOOKUP(B1833,منتجات!$A$3:$C$350,3,0),"")</f>
        <v/>
      </c>
      <c r="E1833" s="49"/>
      <c r="F1833" s="49" t="str">
        <f>IFERROR(INDEX(منتجات!$G$3:$G$114,MATCH(B1833,منتجات!$A$3:$A$115,0)),"")</f>
        <v/>
      </c>
      <c r="G1833" s="51" t="str">
        <f t="shared" si="30"/>
        <v/>
      </c>
      <c r="H1833" s="54"/>
    </row>
    <row r="1834" spans="1:8" x14ac:dyDescent="0.35">
      <c r="A1834" s="51"/>
      <c r="B1834" s="51"/>
      <c r="C1834" s="51" t="str">
        <f>IFERROR(VLOOKUP(B1834,منتجات!$A$3:$C$350,2,0),"")</f>
        <v/>
      </c>
      <c r="D1834" s="51" t="str">
        <f>IFERROR(VLOOKUP(B1834,منتجات!$A$3:$C$350,3,0),"")</f>
        <v/>
      </c>
      <c r="E1834" s="51"/>
      <c r="F1834" s="51" t="str">
        <f>IFERROR(INDEX(منتجات!$G$3:$G$114,MATCH(B1834,منتجات!$A$3:$A$115,0)),"")</f>
        <v/>
      </c>
      <c r="G1834" s="51" t="str">
        <f t="shared" si="30"/>
        <v/>
      </c>
      <c r="H1834" s="53"/>
    </row>
    <row r="1835" spans="1:8" x14ac:dyDescent="0.35">
      <c r="A1835" s="49"/>
      <c r="B1835" s="49"/>
      <c r="C1835" s="51" t="str">
        <f>IFERROR(VLOOKUP(B1835,منتجات!$A$3:$C$350,2,0),"")</f>
        <v/>
      </c>
      <c r="D1835" s="49" t="str">
        <f>IFERROR(VLOOKUP(B1835,منتجات!$A$3:$C$350,3,0),"")</f>
        <v/>
      </c>
      <c r="E1835" s="49"/>
      <c r="F1835" s="49" t="str">
        <f>IFERROR(INDEX(منتجات!$G$3:$G$114,MATCH(B1835,منتجات!$A$3:$A$115,0)),"")</f>
        <v/>
      </c>
      <c r="G1835" s="51" t="str">
        <f t="shared" si="30"/>
        <v/>
      </c>
      <c r="H1835" s="54"/>
    </row>
    <row r="1836" spans="1:8" x14ac:dyDescent="0.35">
      <c r="A1836" s="51"/>
      <c r="B1836" s="51"/>
      <c r="C1836" s="51" t="str">
        <f>IFERROR(VLOOKUP(B1836,منتجات!$A$3:$C$350,2,0),"")</f>
        <v/>
      </c>
      <c r="D1836" s="51" t="str">
        <f>IFERROR(VLOOKUP(B1836,منتجات!$A$3:$C$350,3,0),"")</f>
        <v/>
      </c>
      <c r="E1836" s="51"/>
      <c r="F1836" s="51" t="str">
        <f>IFERROR(INDEX(منتجات!$G$3:$G$114,MATCH(B1836,منتجات!$A$3:$A$115,0)),"")</f>
        <v/>
      </c>
      <c r="G1836" s="51" t="str">
        <f t="shared" si="30"/>
        <v/>
      </c>
      <c r="H1836" s="53"/>
    </row>
    <row r="1837" spans="1:8" x14ac:dyDescent="0.35">
      <c r="A1837" s="49"/>
      <c r="B1837" s="49"/>
      <c r="C1837" s="51" t="str">
        <f>IFERROR(VLOOKUP(B1837,منتجات!$A$3:$C$350,2,0),"")</f>
        <v/>
      </c>
      <c r="D1837" s="49" t="str">
        <f>IFERROR(VLOOKUP(B1837,منتجات!$A$3:$C$350,3,0),"")</f>
        <v/>
      </c>
      <c r="E1837" s="49"/>
      <c r="F1837" s="49" t="str">
        <f>IFERROR(INDEX(منتجات!$G$3:$G$114,MATCH(B1837,منتجات!$A$3:$A$115,0)),"")</f>
        <v/>
      </c>
      <c r="G1837" s="51" t="str">
        <f t="shared" si="30"/>
        <v/>
      </c>
      <c r="H1837" s="54"/>
    </row>
    <row r="1838" spans="1:8" x14ac:dyDescent="0.35">
      <c r="A1838" s="51"/>
      <c r="B1838" s="51"/>
      <c r="C1838" s="51" t="str">
        <f>IFERROR(VLOOKUP(B1838,منتجات!$A$3:$C$350,2,0),"")</f>
        <v/>
      </c>
      <c r="D1838" s="51" t="str">
        <f>IFERROR(VLOOKUP(B1838,منتجات!$A$3:$C$350,3,0),"")</f>
        <v/>
      </c>
      <c r="E1838" s="51"/>
      <c r="F1838" s="51" t="str">
        <f>IFERROR(INDEX(منتجات!$G$3:$G$114,MATCH(B1838,منتجات!$A$3:$A$115,0)),"")</f>
        <v/>
      </c>
      <c r="G1838" s="51" t="str">
        <f t="shared" si="30"/>
        <v/>
      </c>
      <c r="H1838" s="53"/>
    </row>
    <row r="1839" spans="1:8" x14ac:dyDescent="0.35">
      <c r="A1839" s="49"/>
      <c r="B1839" s="49"/>
      <c r="C1839" s="51" t="str">
        <f>IFERROR(VLOOKUP(B1839,منتجات!$A$3:$C$350,2,0),"")</f>
        <v/>
      </c>
      <c r="D1839" s="49" t="str">
        <f>IFERROR(VLOOKUP(B1839,منتجات!$A$3:$C$350,3,0),"")</f>
        <v/>
      </c>
      <c r="E1839" s="49"/>
      <c r="F1839" s="49" t="str">
        <f>IFERROR(INDEX(منتجات!$G$3:$G$114,MATCH(B1839,منتجات!$A$3:$A$115,0)),"")</f>
        <v/>
      </c>
      <c r="G1839" s="51" t="str">
        <f t="shared" si="30"/>
        <v/>
      </c>
      <c r="H1839" s="54"/>
    </row>
    <row r="1840" spans="1:8" x14ac:dyDescent="0.35">
      <c r="A1840" s="51"/>
      <c r="B1840" s="51"/>
      <c r="C1840" s="51" t="str">
        <f>IFERROR(VLOOKUP(B1840,منتجات!$A$3:$C$350,2,0),"")</f>
        <v/>
      </c>
      <c r="D1840" s="51" t="str">
        <f>IFERROR(VLOOKUP(B1840,منتجات!$A$3:$C$350,3,0),"")</f>
        <v/>
      </c>
      <c r="E1840" s="51"/>
      <c r="F1840" s="51" t="str">
        <f>IFERROR(INDEX(منتجات!$G$3:$G$114,MATCH(B1840,منتجات!$A$3:$A$115,0)),"")</f>
        <v/>
      </c>
      <c r="G1840" s="51" t="str">
        <f t="shared" si="30"/>
        <v/>
      </c>
      <c r="H1840" s="53"/>
    </row>
    <row r="1841" spans="1:8" x14ac:dyDescent="0.35">
      <c r="A1841" s="49"/>
      <c r="B1841" s="49"/>
      <c r="C1841" s="51" t="str">
        <f>IFERROR(VLOOKUP(B1841,منتجات!$A$3:$C$350,2,0),"")</f>
        <v/>
      </c>
      <c r="D1841" s="49" t="str">
        <f>IFERROR(VLOOKUP(B1841,منتجات!$A$3:$C$350,3,0),"")</f>
        <v/>
      </c>
      <c r="E1841" s="49"/>
      <c r="F1841" s="49" t="str">
        <f>IFERROR(INDEX(منتجات!$G$3:$G$114,MATCH(B1841,منتجات!$A$3:$A$115,0)),"")</f>
        <v/>
      </c>
      <c r="G1841" s="51" t="str">
        <f t="shared" si="30"/>
        <v/>
      </c>
      <c r="H1841" s="54"/>
    </row>
    <row r="1842" spans="1:8" x14ac:dyDescent="0.35">
      <c r="A1842" s="51"/>
      <c r="B1842" s="51"/>
      <c r="C1842" s="51" t="str">
        <f>IFERROR(VLOOKUP(B1842,منتجات!$A$3:$C$350,2,0),"")</f>
        <v/>
      </c>
      <c r="D1842" s="51" t="str">
        <f>IFERROR(VLOOKUP(B1842,منتجات!$A$3:$C$350,3,0),"")</f>
        <v/>
      </c>
      <c r="E1842" s="51"/>
      <c r="F1842" s="51" t="str">
        <f>IFERROR(INDEX(منتجات!$G$3:$G$114,MATCH(B1842,منتجات!$A$3:$A$115,0)),"")</f>
        <v/>
      </c>
      <c r="G1842" s="51" t="str">
        <f t="shared" si="30"/>
        <v/>
      </c>
      <c r="H1842" s="53"/>
    </row>
    <row r="1843" spans="1:8" x14ac:dyDescent="0.35">
      <c r="A1843" s="49"/>
      <c r="B1843" s="49"/>
      <c r="C1843" s="51" t="str">
        <f>IFERROR(VLOOKUP(B1843,منتجات!$A$3:$C$350,2,0),"")</f>
        <v/>
      </c>
      <c r="D1843" s="49" t="str">
        <f>IFERROR(VLOOKUP(B1843,منتجات!$A$3:$C$350,3,0),"")</f>
        <v/>
      </c>
      <c r="E1843" s="49"/>
      <c r="F1843" s="49" t="str">
        <f>IFERROR(INDEX(منتجات!$G$3:$G$114,MATCH(B1843,منتجات!$A$3:$A$115,0)),"")</f>
        <v/>
      </c>
      <c r="G1843" s="51" t="str">
        <f t="shared" si="30"/>
        <v/>
      </c>
      <c r="H1843" s="54"/>
    </row>
    <row r="1844" spans="1:8" x14ac:dyDescent="0.35">
      <c r="A1844" s="51"/>
      <c r="B1844" s="51"/>
      <c r="C1844" s="51" t="str">
        <f>IFERROR(VLOOKUP(B1844,منتجات!$A$3:$C$350,2,0),"")</f>
        <v/>
      </c>
      <c r="D1844" s="51" t="str">
        <f>IFERROR(VLOOKUP(B1844,منتجات!$A$3:$C$350,3,0),"")</f>
        <v/>
      </c>
      <c r="E1844" s="51"/>
      <c r="F1844" s="51" t="str">
        <f>IFERROR(INDEX(منتجات!$G$3:$G$114,MATCH(B1844,منتجات!$A$3:$A$115,0)),"")</f>
        <v/>
      </c>
      <c r="G1844" s="51" t="str">
        <f t="shared" si="30"/>
        <v/>
      </c>
      <c r="H1844" s="53"/>
    </row>
    <row r="1845" spans="1:8" x14ac:dyDescent="0.35">
      <c r="A1845" s="49"/>
      <c r="B1845" s="49"/>
      <c r="C1845" s="51" t="str">
        <f>IFERROR(VLOOKUP(B1845,منتجات!$A$3:$C$350,2,0),"")</f>
        <v/>
      </c>
      <c r="D1845" s="49" t="str">
        <f>IFERROR(VLOOKUP(B1845,منتجات!$A$3:$C$350,3,0),"")</f>
        <v/>
      </c>
      <c r="E1845" s="49"/>
      <c r="F1845" s="49" t="str">
        <f>IFERROR(INDEX(منتجات!$G$3:$G$114,MATCH(B1845,منتجات!$A$3:$A$115,0)),"")</f>
        <v/>
      </c>
      <c r="G1845" s="51" t="str">
        <f t="shared" si="30"/>
        <v/>
      </c>
      <c r="H1845" s="54"/>
    </row>
    <row r="1846" spans="1:8" x14ac:dyDescent="0.35">
      <c r="A1846" s="51"/>
      <c r="B1846" s="51"/>
      <c r="C1846" s="51" t="str">
        <f>IFERROR(VLOOKUP(B1846,منتجات!$A$3:$C$350,2,0),"")</f>
        <v/>
      </c>
      <c r="D1846" s="51" t="str">
        <f>IFERROR(VLOOKUP(B1846,منتجات!$A$3:$C$350,3,0),"")</f>
        <v/>
      </c>
      <c r="E1846" s="51"/>
      <c r="F1846" s="51" t="str">
        <f>IFERROR(INDEX(منتجات!$G$3:$G$114,MATCH(B1846,منتجات!$A$3:$A$115,0)),"")</f>
        <v/>
      </c>
      <c r="G1846" s="51" t="str">
        <f t="shared" si="30"/>
        <v/>
      </c>
      <c r="H1846" s="53"/>
    </row>
    <row r="1847" spans="1:8" x14ac:dyDescent="0.35">
      <c r="A1847" s="49"/>
      <c r="B1847" s="49"/>
      <c r="C1847" s="51" t="str">
        <f>IFERROR(VLOOKUP(B1847,منتجات!$A$3:$C$350,2,0),"")</f>
        <v/>
      </c>
      <c r="D1847" s="49" t="str">
        <f>IFERROR(VLOOKUP(B1847,منتجات!$A$3:$C$350,3,0),"")</f>
        <v/>
      </c>
      <c r="E1847" s="49"/>
      <c r="F1847" s="49" t="str">
        <f>IFERROR(INDEX(منتجات!$G$3:$G$114,MATCH(B1847,منتجات!$A$3:$A$115,0)),"")</f>
        <v/>
      </c>
      <c r="G1847" s="51" t="str">
        <f t="shared" si="30"/>
        <v/>
      </c>
      <c r="H1847" s="54"/>
    </row>
    <row r="1848" spans="1:8" x14ac:dyDescent="0.35">
      <c r="A1848" s="51"/>
      <c r="B1848" s="51"/>
      <c r="C1848" s="51" t="str">
        <f>IFERROR(VLOOKUP(B1848,منتجات!$A$3:$C$350,2,0),"")</f>
        <v/>
      </c>
      <c r="D1848" s="51" t="str">
        <f>IFERROR(VLOOKUP(B1848,منتجات!$A$3:$C$350,3,0),"")</f>
        <v/>
      </c>
      <c r="E1848" s="51"/>
      <c r="F1848" s="51" t="str">
        <f>IFERROR(INDEX(منتجات!$G$3:$G$114,MATCH(B1848,منتجات!$A$3:$A$115,0)),"")</f>
        <v/>
      </c>
      <c r="G1848" s="51" t="str">
        <f t="shared" si="30"/>
        <v/>
      </c>
      <c r="H1848" s="53"/>
    </row>
    <row r="1849" spans="1:8" x14ac:dyDescent="0.35">
      <c r="A1849" s="49"/>
      <c r="B1849" s="49"/>
      <c r="C1849" s="51" t="str">
        <f>IFERROR(VLOOKUP(B1849,منتجات!$A$3:$C$350,2,0),"")</f>
        <v/>
      </c>
      <c r="D1849" s="49" t="str">
        <f>IFERROR(VLOOKUP(B1849,منتجات!$A$3:$C$350,3,0),"")</f>
        <v/>
      </c>
      <c r="E1849" s="49"/>
      <c r="F1849" s="49" t="str">
        <f>IFERROR(INDEX(منتجات!$G$3:$G$114,MATCH(B1849,منتجات!$A$3:$A$115,0)),"")</f>
        <v/>
      </c>
      <c r="G1849" s="51" t="str">
        <f t="shared" si="30"/>
        <v/>
      </c>
      <c r="H1849" s="54"/>
    </row>
    <row r="1850" spans="1:8" x14ac:dyDescent="0.35">
      <c r="A1850" s="51"/>
      <c r="B1850" s="51"/>
      <c r="C1850" s="51" t="str">
        <f>IFERROR(VLOOKUP(B1850,منتجات!$A$3:$C$350,2,0),"")</f>
        <v/>
      </c>
      <c r="D1850" s="51" t="str">
        <f>IFERROR(VLOOKUP(B1850,منتجات!$A$3:$C$350,3,0),"")</f>
        <v/>
      </c>
      <c r="E1850" s="51"/>
      <c r="F1850" s="51" t="str">
        <f>IFERROR(INDEX(منتجات!$G$3:$G$114,MATCH(B1850,منتجات!$A$3:$A$115,0)),"")</f>
        <v/>
      </c>
      <c r="G1850" s="51" t="str">
        <f t="shared" si="30"/>
        <v/>
      </c>
      <c r="H1850" s="53"/>
    </row>
    <row r="1851" spans="1:8" x14ac:dyDescent="0.35">
      <c r="A1851" s="49"/>
      <c r="B1851" s="49"/>
      <c r="C1851" s="51" t="str">
        <f>IFERROR(VLOOKUP(B1851,منتجات!$A$3:$C$350,2,0),"")</f>
        <v/>
      </c>
      <c r="D1851" s="49" t="str">
        <f>IFERROR(VLOOKUP(B1851,منتجات!$A$3:$C$350,3,0),"")</f>
        <v/>
      </c>
      <c r="E1851" s="49"/>
      <c r="F1851" s="49" t="str">
        <f>IFERROR(INDEX(منتجات!$G$3:$G$114,MATCH(B1851,منتجات!$A$3:$A$115,0)),"")</f>
        <v/>
      </c>
      <c r="G1851" s="51" t="str">
        <f t="shared" si="30"/>
        <v/>
      </c>
      <c r="H1851" s="54"/>
    </row>
    <row r="1852" spans="1:8" x14ac:dyDescent="0.35">
      <c r="A1852" s="51"/>
      <c r="B1852" s="51"/>
      <c r="C1852" s="51" t="str">
        <f>IFERROR(VLOOKUP(B1852,منتجات!$A$3:$C$350,2,0),"")</f>
        <v/>
      </c>
      <c r="D1852" s="51" t="str">
        <f>IFERROR(VLOOKUP(B1852,منتجات!$A$3:$C$350,3,0),"")</f>
        <v/>
      </c>
      <c r="E1852" s="51"/>
      <c r="F1852" s="51" t="str">
        <f>IFERROR(INDEX(منتجات!$G$3:$G$114,MATCH(B1852,منتجات!$A$3:$A$115,0)),"")</f>
        <v/>
      </c>
      <c r="G1852" s="51" t="str">
        <f t="shared" si="30"/>
        <v/>
      </c>
      <c r="H1852" s="53"/>
    </row>
    <row r="1853" spans="1:8" x14ac:dyDescent="0.35">
      <c r="A1853" s="49"/>
      <c r="B1853" s="49"/>
      <c r="C1853" s="51" t="str">
        <f>IFERROR(VLOOKUP(B1853,منتجات!$A$3:$C$350,2,0),"")</f>
        <v/>
      </c>
      <c r="D1853" s="49" t="str">
        <f>IFERROR(VLOOKUP(B1853,منتجات!$A$3:$C$350,3,0),"")</f>
        <v/>
      </c>
      <c r="E1853" s="49"/>
      <c r="F1853" s="49" t="str">
        <f>IFERROR(INDEX(منتجات!$G$3:$G$114,MATCH(B1853,منتجات!$A$3:$A$115,0)),"")</f>
        <v/>
      </c>
      <c r="G1853" s="51" t="str">
        <f t="shared" si="30"/>
        <v/>
      </c>
      <c r="H1853" s="54"/>
    </row>
    <row r="1854" spans="1:8" x14ac:dyDescent="0.35">
      <c r="A1854" s="51"/>
      <c r="B1854" s="51"/>
      <c r="C1854" s="51" t="str">
        <f>IFERROR(VLOOKUP(B1854,منتجات!$A$3:$C$350,2,0),"")</f>
        <v/>
      </c>
      <c r="D1854" s="51" t="str">
        <f>IFERROR(VLOOKUP(B1854,منتجات!$A$3:$C$350,3,0),"")</f>
        <v/>
      </c>
      <c r="E1854" s="51"/>
      <c r="F1854" s="51" t="str">
        <f>IFERROR(INDEX(منتجات!$G$3:$G$114,MATCH(B1854,منتجات!$A$3:$A$115,0)),"")</f>
        <v/>
      </c>
      <c r="G1854" s="51" t="str">
        <f t="shared" si="30"/>
        <v/>
      </c>
      <c r="H1854" s="53"/>
    </row>
    <row r="1855" spans="1:8" x14ac:dyDescent="0.35">
      <c r="A1855" s="49"/>
      <c r="B1855" s="49"/>
      <c r="C1855" s="51" t="str">
        <f>IFERROR(VLOOKUP(B1855,منتجات!$A$3:$C$350,2,0),"")</f>
        <v/>
      </c>
      <c r="D1855" s="49" t="str">
        <f>IFERROR(VLOOKUP(B1855,منتجات!$A$3:$C$350,3,0),"")</f>
        <v/>
      </c>
      <c r="E1855" s="49"/>
      <c r="F1855" s="49" t="str">
        <f>IFERROR(INDEX(منتجات!$G$3:$G$114,MATCH(B1855,منتجات!$A$3:$A$115,0)),"")</f>
        <v/>
      </c>
      <c r="G1855" s="51" t="str">
        <f t="shared" si="30"/>
        <v/>
      </c>
      <c r="H1855" s="54"/>
    </row>
    <row r="1856" spans="1:8" x14ac:dyDescent="0.35">
      <c r="A1856" s="51"/>
      <c r="B1856" s="51"/>
      <c r="C1856" s="51" t="str">
        <f>IFERROR(VLOOKUP(B1856,منتجات!$A$3:$C$350,2,0),"")</f>
        <v/>
      </c>
      <c r="D1856" s="51" t="str">
        <f>IFERROR(VLOOKUP(B1856,منتجات!$A$3:$C$350,3,0),"")</f>
        <v/>
      </c>
      <c r="E1856" s="51"/>
      <c r="F1856" s="51" t="str">
        <f>IFERROR(INDEX(منتجات!$G$3:$G$114,MATCH(B1856,منتجات!$A$3:$A$115,0)),"")</f>
        <v/>
      </c>
      <c r="G1856" s="51" t="str">
        <f t="shared" si="30"/>
        <v/>
      </c>
      <c r="H1856" s="53"/>
    </row>
    <row r="1857" spans="1:8" x14ac:dyDescent="0.35">
      <c r="A1857" s="49"/>
      <c r="B1857" s="49"/>
      <c r="C1857" s="51" t="str">
        <f>IFERROR(VLOOKUP(B1857,منتجات!$A$3:$C$350,2,0),"")</f>
        <v/>
      </c>
      <c r="D1857" s="49" t="str">
        <f>IFERROR(VLOOKUP(B1857,منتجات!$A$3:$C$350,3,0),"")</f>
        <v/>
      </c>
      <c r="E1857" s="49"/>
      <c r="F1857" s="49" t="str">
        <f>IFERROR(INDEX(منتجات!$G$3:$G$114,MATCH(B1857,منتجات!$A$3:$A$115,0)),"")</f>
        <v/>
      </c>
      <c r="G1857" s="51" t="str">
        <f t="shared" si="30"/>
        <v/>
      </c>
      <c r="H1857" s="54"/>
    </row>
    <row r="1858" spans="1:8" x14ac:dyDescent="0.35">
      <c r="A1858" s="51"/>
      <c r="B1858" s="51"/>
      <c r="C1858" s="51" t="str">
        <f>IFERROR(VLOOKUP(B1858,منتجات!$A$3:$C$350,2,0),"")</f>
        <v/>
      </c>
      <c r="D1858" s="51" t="str">
        <f>IFERROR(VLOOKUP(B1858,منتجات!$A$3:$C$350,3,0),"")</f>
        <v/>
      </c>
      <c r="E1858" s="51"/>
      <c r="F1858" s="51" t="str">
        <f>IFERROR(INDEX(منتجات!$G$3:$G$114,MATCH(B1858,منتجات!$A$3:$A$115,0)),"")</f>
        <v/>
      </c>
      <c r="G1858" s="51" t="str">
        <f t="shared" si="30"/>
        <v/>
      </c>
      <c r="H1858" s="53"/>
    </row>
    <row r="1859" spans="1:8" x14ac:dyDescent="0.35">
      <c r="A1859" s="49"/>
      <c r="B1859" s="49"/>
      <c r="C1859" s="51" t="str">
        <f>IFERROR(VLOOKUP(B1859,منتجات!$A$3:$C$350,2,0),"")</f>
        <v/>
      </c>
      <c r="D1859" s="49" t="str">
        <f>IFERROR(VLOOKUP(B1859,منتجات!$A$3:$C$350,3,0),"")</f>
        <v/>
      </c>
      <c r="E1859" s="49"/>
      <c r="F1859" s="49" t="str">
        <f>IFERROR(INDEX(منتجات!$G$3:$G$114,MATCH(B1859,منتجات!$A$3:$A$115,0)),"")</f>
        <v/>
      </c>
      <c r="G1859" s="51" t="str">
        <f t="shared" si="30"/>
        <v/>
      </c>
      <c r="H1859" s="54"/>
    </row>
    <row r="1860" spans="1:8" x14ac:dyDescent="0.35">
      <c r="A1860" s="51"/>
      <c r="B1860" s="51"/>
      <c r="C1860" s="51" t="str">
        <f>IFERROR(VLOOKUP(B1860,منتجات!$A$3:$C$350,2,0),"")</f>
        <v/>
      </c>
      <c r="D1860" s="51" t="str">
        <f>IFERROR(VLOOKUP(B1860,منتجات!$A$3:$C$350,3,0),"")</f>
        <v/>
      </c>
      <c r="E1860" s="51"/>
      <c r="F1860" s="51" t="str">
        <f>IFERROR(INDEX(منتجات!$G$3:$G$114,MATCH(B1860,منتجات!$A$3:$A$115,0)),"")</f>
        <v/>
      </c>
      <c r="G1860" s="51" t="str">
        <f t="shared" si="30"/>
        <v/>
      </c>
      <c r="H1860" s="53"/>
    </row>
    <row r="1861" spans="1:8" x14ac:dyDescent="0.35">
      <c r="A1861" s="49"/>
      <c r="B1861" s="49"/>
      <c r="C1861" s="51" t="str">
        <f>IFERROR(VLOOKUP(B1861,منتجات!$A$3:$C$350,2,0),"")</f>
        <v/>
      </c>
      <c r="D1861" s="49" t="str">
        <f>IFERROR(VLOOKUP(B1861,منتجات!$A$3:$C$350,3,0),"")</f>
        <v/>
      </c>
      <c r="E1861" s="49"/>
      <c r="F1861" s="49" t="str">
        <f>IFERROR(INDEX(منتجات!$G$3:$G$114,MATCH(B1861,منتجات!$A$3:$A$115,0)),"")</f>
        <v/>
      </c>
      <c r="G1861" s="51" t="str">
        <f t="shared" si="30"/>
        <v/>
      </c>
      <c r="H1861" s="54"/>
    </row>
    <row r="1862" spans="1:8" x14ac:dyDescent="0.35">
      <c r="A1862" s="51"/>
      <c r="B1862" s="51"/>
      <c r="C1862" s="51" t="str">
        <f>IFERROR(VLOOKUP(B1862,منتجات!$A$3:$C$350,2,0),"")</f>
        <v/>
      </c>
      <c r="D1862" s="51" t="str">
        <f>IFERROR(VLOOKUP(B1862,منتجات!$A$3:$C$350,3,0),"")</f>
        <v/>
      </c>
      <c r="E1862" s="51"/>
      <c r="F1862" s="51" t="str">
        <f>IFERROR(INDEX(منتجات!$G$3:$G$114,MATCH(B1862,منتجات!$A$3:$A$115,0)),"")</f>
        <v/>
      </c>
      <c r="G1862" s="51" t="str">
        <f t="shared" si="30"/>
        <v/>
      </c>
      <c r="H1862" s="53"/>
    </row>
    <row r="1863" spans="1:8" x14ac:dyDescent="0.35">
      <c r="A1863" s="49"/>
      <c r="B1863" s="49"/>
      <c r="C1863" s="51" t="str">
        <f>IFERROR(VLOOKUP(B1863,منتجات!$A$3:$C$350,2,0),"")</f>
        <v/>
      </c>
      <c r="D1863" s="49" t="str">
        <f>IFERROR(VLOOKUP(B1863,منتجات!$A$3:$C$350,3,0),"")</f>
        <v/>
      </c>
      <c r="E1863" s="49"/>
      <c r="F1863" s="49" t="str">
        <f>IFERROR(INDEX(منتجات!$G$3:$G$114,MATCH(B1863,منتجات!$A$3:$A$115,0)),"")</f>
        <v/>
      </c>
      <c r="G1863" s="51" t="str">
        <f t="shared" si="30"/>
        <v/>
      </c>
      <c r="H1863" s="54"/>
    </row>
    <row r="1864" spans="1:8" x14ac:dyDescent="0.35">
      <c r="A1864" s="51"/>
      <c r="B1864" s="51"/>
      <c r="C1864" s="51" t="str">
        <f>IFERROR(VLOOKUP(B1864,منتجات!$A$3:$C$350,2,0),"")</f>
        <v/>
      </c>
      <c r="D1864" s="51" t="str">
        <f>IFERROR(VLOOKUP(B1864,منتجات!$A$3:$C$350,3,0),"")</f>
        <v/>
      </c>
      <c r="E1864" s="51"/>
      <c r="F1864" s="51" t="str">
        <f>IFERROR(INDEX(منتجات!$G$3:$G$114,MATCH(B1864,منتجات!$A$3:$A$115,0)),"")</f>
        <v/>
      </c>
      <c r="G1864" s="51" t="str">
        <f t="shared" si="30"/>
        <v/>
      </c>
      <c r="H1864" s="53"/>
    </row>
    <row r="1865" spans="1:8" x14ac:dyDescent="0.35">
      <c r="A1865" s="49"/>
      <c r="B1865" s="49"/>
      <c r="C1865" s="51" t="str">
        <f>IFERROR(VLOOKUP(B1865,منتجات!$A$3:$C$350,2,0),"")</f>
        <v/>
      </c>
      <c r="D1865" s="49" t="str">
        <f>IFERROR(VLOOKUP(B1865,منتجات!$A$3:$C$350,3,0),"")</f>
        <v/>
      </c>
      <c r="E1865" s="49"/>
      <c r="F1865" s="49" t="str">
        <f>IFERROR(INDEX(منتجات!$G$3:$G$114,MATCH(B1865,منتجات!$A$3:$A$115,0)),"")</f>
        <v/>
      </c>
      <c r="G1865" s="51" t="str">
        <f t="shared" si="30"/>
        <v/>
      </c>
      <c r="H1865" s="54"/>
    </row>
    <row r="1866" spans="1:8" x14ac:dyDescent="0.35">
      <c r="A1866" s="51"/>
      <c r="B1866" s="51"/>
      <c r="C1866" s="51" t="str">
        <f>IFERROR(VLOOKUP(B1866,منتجات!$A$3:$C$350,2,0),"")</f>
        <v/>
      </c>
      <c r="D1866" s="51" t="str">
        <f>IFERROR(VLOOKUP(B1866,منتجات!$A$3:$C$350,3,0),"")</f>
        <v/>
      </c>
      <c r="E1866" s="51"/>
      <c r="F1866" s="51" t="str">
        <f>IFERROR(INDEX(منتجات!$G$3:$G$114,MATCH(B1866,منتجات!$A$3:$A$115,0)),"")</f>
        <v/>
      </c>
      <c r="G1866" s="51" t="str">
        <f t="shared" si="30"/>
        <v/>
      </c>
      <c r="H1866" s="53"/>
    </row>
    <row r="1867" spans="1:8" x14ac:dyDescent="0.35">
      <c r="A1867" s="49"/>
      <c r="B1867" s="49"/>
      <c r="C1867" s="51" t="str">
        <f>IFERROR(VLOOKUP(B1867,منتجات!$A$3:$C$350,2,0),"")</f>
        <v/>
      </c>
      <c r="D1867" s="49" t="str">
        <f>IFERROR(VLOOKUP(B1867,منتجات!$A$3:$C$350,3,0),"")</f>
        <v/>
      </c>
      <c r="E1867" s="49"/>
      <c r="F1867" s="49" t="str">
        <f>IFERROR(INDEX(منتجات!$G$3:$G$114,MATCH(B1867,منتجات!$A$3:$A$115,0)),"")</f>
        <v/>
      </c>
      <c r="G1867" s="51" t="str">
        <f t="shared" si="30"/>
        <v/>
      </c>
      <c r="H1867" s="54"/>
    </row>
    <row r="1868" spans="1:8" x14ac:dyDescent="0.35">
      <c r="A1868" s="51"/>
      <c r="B1868" s="51"/>
      <c r="C1868" s="51" t="str">
        <f>IFERROR(VLOOKUP(B1868,منتجات!$A$3:$C$350,2,0),"")</f>
        <v/>
      </c>
      <c r="D1868" s="51" t="str">
        <f>IFERROR(VLOOKUP(B1868,منتجات!$A$3:$C$350,3,0),"")</f>
        <v/>
      </c>
      <c r="E1868" s="51"/>
      <c r="F1868" s="51" t="str">
        <f>IFERROR(INDEX(منتجات!$G$3:$G$114,MATCH(B1868,منتجات!$A$3:$A$115,0)),"")</f>
        <v/>
      </c>
      <c r="G1868" s="51" t="str">
        <f t="shared" si="30"/>
        <v/>
      </c>
      <c r="H1868" s="53"/>
    </row>
    <row r="1869" spans="1:8" x14ac:dyDescent="0.35">
      <c r="A1869" s="49"/>
      <c r="B1869" s="49"/>
      <c r="C1869" s="51" t="str">
        <f>IFERROR(VLOOKUP(B1869,منتجات!$A$3:$C$350,2,0),"")</f>
        <v/>
      </c>
      <c r="D1869" s="49" t="str">
        <f>IFERROR(VLOOKUP(B1869,منتجات!$A$3:$C$350,3,0),"")</f>
        <v/>
      </c>
      <c r="E1869" s="49"/>
      <c r="F1869" s="49" t="str">
        <f>IFERROR(INDEX(منتجات!$G$3:$G$114,MATCH(B1869,منتجات!$A$3:$A$115,0)),"")</f>
        <v/>
      </c>
      <c r="G1869" s="51" t="str">
        <f t="shared" si="30"/>
        <v/>
      </c>
      <c r="H1869" s="54"/>
    </row>
    <row r="1870" spans="1:8" x14ac:dyDescent="0.35">
      <c r="A1870" s="51"/>
      <c r="B1870" s="51"/>
      <c r="C1870" s="51" t="str">
        <f>IFERROR(VLOOKUP(B1870,منتجات!$A$3:$C$350,2,0),"")</f>
        <v/>
      </c>
      <c r="D1870" s="51" t="str">
        <f>IFERROR(VLOOKUP(B1870,منتجات!$A$3:$C$350,3,0),"")</f>
        <v/>
      </c>
      <c r="E1870" s="51"/>
      <c r="F1870" s="51" t="str">
        <f>IFERROR(INDEX(منتجات!$G$3:$G$114,MATCH(B1870,منتجات!$A$3:$A$115,0)),"")</f>
        <v/>
      </c>
      <c r="G1870" s="51" t="str">
        <f t="shared" ref="G1870:G1933" si="31">IFERROR(E1870*F1870*D1870,"")</f>
        <v/>
      </c>
      <c r="H1870" s="53"/>
    </row>
    <row r="1871" spans="1:8" x14ac:dyDescent="0.35">
      <c r="A1871" s="49"/>
      <c r="B1871" s="49"/>
      <c r="C1871" s="51" t="str">
        <f>IFERROR(VLOOKUP(B1871,منتجات!$A$3:$C$350,2,0),"")</f>
        <v/>
      </c>
      <c r="D1871" s="49" t="str">
        <f>IFERROR(VLOOKUP(B1871,منتجات!$A$3:$C$350,3,0),"")</f>
        <v/>
      </c>
      <c r="E1871" s="49"/>
      <c r="F1871" s="49" t="str">
        <f>IFERROR(INDEX(منتجات!$G$3:$G$114,MATCH(B1871,منتجات!$A$3:$A$115,0)),"")</f>
        <v/>
      </c>
      <c r="G1871" s="51" t="str">
        <f t="shared" si="31"/>
        <v/>
      </c>
      <c r="H1871" s="54"/>
    </row>
    <row r="1872" spans="1:8" x14ac:dyDescent="0.35">
      <c r="A1872" s="51"/>
      <c r="B1872" s="51"/>
      <c r="C1872" s="51" t="str">
        <f>IFERROR(VLOOKUP(B1872,منتجات!$A$3:$C$350,2,0),"")</f>
        <v/>
      </c>
      <c r="D1872" s="51" t="str">
        <f>IFERROR(VLOOKUP(B1872,منتجات!$A$3:$C$350,3,0),"")</f>
        <v/>
      </c>
      <c r="E1872" s="51"/>
      <c r="F1872" s="51" t="str">
        <f>IFERROR(INDEX(منتجات!$G$3:$G$114,MATCH(B1872,منتجات!$A$3:$A$115,0)),"")</f>
        <v/>
      </c>
      <c r="G1872" s="51" t="str">
        <f t="shared" si="31"/>
        <v/>
      </c>
      <c r="H1872" s="53"/>
    </row>
    <row r="1873" spans="1:8" x14ac:dyDescent="0.35">
      <c r="A1873" s="49"/>
      <c r="B1873" s="49"/>
      <c r="C1873" s="51" t="str">
        <f>IFERROR(VLOOKUP(B1873,منتجات!$A$3:$C$350,2,0),"")</f>
        <v/>
      </c>
      <c r="D1873" s="49" t="str">
        <f>IFERROR(VLOOKUP(B1873,منتجات!$A$3:$C$350,3,0),"")</f>
        <v/>
      </c>
      <c r="E1873" s="49"/>
      <c r="F1873" s="49" t="str">
        <f>IFERROR(INDEX(منتجات!$G$3:$G$114,MATCH(B1873,منتجات!$A$3:$A$115,0)),"")</f>
        <v/>
      </c>
      <c r="G1873" s="51" t="str">
        <f t="shared" si="31"/>
        <v/>
      </c>
      <c r="H1873" s="54"/>
    </row>
    <row r="1874" spans="1:8" x14ac:dyDescent="0.35">
      <c r="A1874" s="51"/>
      <c r="B1874" s="51"/>
      <c r="C1874" s="51" t="str">
        <f>IFERROR(VLOOKUP(B1874,منتجات!$A$3:$C$350,2,0),"")</f>
        <v/>
      </c>
      <c r="D1874" s="51" t="str">
        <f>IFERROR(VLOOKUP(B1874,منتجات!$A$3:$C$350,3,0),"")</f>
        <v/>
      </c>
      <c r="E1874" s="51"/>
      <c r="F1874" s="51" t="str">
        <f>IFERROR(INDEX(منتجات!$G$3:$G$114,MATCH(B1874,منتجات!$A$3:$A$115,0)),"")</f>
        <v/>
      </c>
      <c r="G1874" s="51" t="str">
        <f t="shared" si="31"/>
        <v/>
      </c>
      <c r="H1874" s="53"/>
    </row>
    <row r="1875" spans="1:8" x14ac:dyDescent="0.35">
      <c r="A1875" s="49"/>
      <c r="B1875" s="49"/>
      <c r="C1875" s="51" t="str">
        <f>IFERROR(VLOOKUP(B1875,منتجات!$A$3:$C$350,2,0),"")</f>
        <v/>
      </c>
      <c r="D1875" s="49" t="str">
        <f>IFERROR(VLOOKUP(B1875,منتجات!$A$3:$C$350,3,0),"")</f>
        <v/>
      </c>
      <c r="E1875" s="49"/>
      <c r="F1875" s="49" t="str">
        <f>IFERROR(INDEX(منتجات!$G$3:$G$114,MATCH(B1875,منتجات!$A$3:$A$115,0)),"")</f>
        <v/>
      </c>
      <c r="G1875" s="51" t="str">
        <f t="shared" si="31"/>
        <v/>
      </c>
      <c r="H1875" s="54"/>
    </row>
    <row r="1876" spans="1:8" x14ac:dyDescent="0.35">
      <c r="A1876" s="51"/>
      <c r="B1876" s="51"/>
      <c r="C1876" s="51" t="str">
        <f>IFERROR(VLOOKUP(B1876,منتجات!$A$3:$C$350,2,0),"")</f>
        <v/>
      </c>
      <c r="D1876" s="51" t="str">
        <f>IFERROR(VLOOKUP(B1876,منتجات!$A$3:$C$350,3,0),"")</f>
        <v/>
      </c>
      <c r="E1876" s="51"/>
      <c r="F1876" s="51" t="str">
        <f>IFERROR(INDEX(منتجات!$G$3:$G$114,MATCH(B1876,منتجات!$A$3:$A$115,0)),"")</f>
        <v/>
      </c>
      <c r="G1876" s="51" t="str">
        <f t="shared" si="31"/>
        <v/>
      </c>
      <c r="H1876" s="53"/>
    </row>
    <row r="1877" spans="1:8" x14ac:dyDescent="0.35">
      <c r="A1877" s="49"/>
      <c r="B1877" s="49"/>
      <c r="C1877" s="51" t="str">
        <f>IFERROR(VLOOKUP(B1877,منتجات!$A$3:$C$350,2,0),"")</f>
        <v/>
      </c>
      <c r="D1877" s="49" t="str">
        <f>IFERROR(VLOOKUP(B1877,منتجات!$A$3:$C$350,3,0),"")</f>
        <v/>
      </c>
      <c r="E1877" s="49"/>
      <c r="F1877" s="49" t="str">
        <f>IFERROR(INDEX(منتجات!$G$3:$G$114,MATCH(B1877,منتجات!$A$3:$A$115,0)),"")</f>
        <v/>
      </c>
      <c r="G1877" s="51" t="str">
        <f t="shared" si="31"/>
        <v/>
      </c>
      <c r="H1877" s="54"/>
    </row>
    <row r="1878" spans="1:8" x14ac:dyDescent="0.35">
      <c r="A1878" s="51"/>
      <c r="B1878" s="51"/>
      <c r="C1878" s="51" t="str">
        <f>IFERROR(VLOOKUP(B1878,منتجات!$A$3:$C$350,2,0),"")</f>
        <v/>
      </c>
      <c r="D1878" s="51" t="str">
        <f>IFERROR(VLOOKUP(B1878,منتجات!$A$3:$C$350,3,0),"")</f>
        <v/>
      </c>
      <c r="E1878" s="51"/>
      <c r="F1878" s="51" t="str">
        <f>IFERROR(INDEX(منتجات!$G$3:$G$114,MATCH(B1878,منتجات!$A$3:$A$115,0)),"")</f>
        <v/>
      </c>
      <c r="G1878" s="51" t="str">
        <f t="shared" si="31"/>
        <v/>
      </c>
      <c r="H1878" s="53"/>
    </row>
    <row r="1879" spans="1:8" x14ac:dyDescent="0.35">
      <c r="A1879" s="49"/>
      <c r="B1879" s="49"/>
      <c r="C1879" s="51" t="str">
        <f>IFERROR(VLOOKUP(B1879,منتجات!$A$3:$C$350,2,0),"")</f>
        <v/>
      </c>
      <c r="D1879" s="49" t="str">
        <f>IFERROR(VLOOKUP(B1879,منتجات!$A$3:$C$350,3,0),"")</f>
        <v/>
      </c>
      <c r="E1879" s="49"/>
      <c r="F1879" s="49" t="str">
        <f>IFERROR(INDEX(منتجات!$G$3:$G$114,MATCH(B1879,منتجات!$A$3:$A$115,0)),"")</f>
        <v/>
      </c>
      <c r="G1879" s="51" t="str">
        <f t="shared" si="31"/>
        <v/>
      </c>
      <c r="H1879" s="54"/>
    </row>
    <row r="1880" spans="1:8" x14ac:dyDescent="0.35">
      <c r="A1880" s="51"/>
      <c r="B1880" s="51"/>
      <c r="C1880" s="51" t="str">
        <f>IFERROR(VLOOKUP(B1880,منتجات!$A$3:$C$350,2,0),"")</f>
        <v/>
      </c>
      <c r="D1880" s="51" t="str">
        <f>IFERROR(VLOOKUP(B1880,منتجات!$A$3:$C$350,3,0),"")</f>
        <v/>
      </c>
      <c r="E1880" s="51"/>
      <c r="F1880" s="51" t="str">
        <f>IFERROR(INDEX(منتجات!$G$3:$G$114,MATCH(B1880,منتجات!$A$3:$A$115,0)),"")</f>
        <v/>
      </c>
      <c r="G1880" s="51" t="str">
        <f t="shared" si="31"/>
        <v/>
      </c>
      <c r="H1880" s="53"/>
    </row>
    <row r="1881" spans="1:8" x14ac:dyDescent="0.35">
      <c r="A1881" s="49"/>
      <c r="B1881" s="49"/>
      <c r="C1881" s="51" t="str">
        <f>IFERROR(VLOOKUP(B1881,منتجات!$A$3:$C$350,2,0),"")</f>
        <v/>
      </c>
      <c r="D1881" s="49" t="str">
        <f>IFERROR(VLOOKUP(B1881,منتجات!$A$3:$C$350,3,0),"")</f>
        <v/>
      </c>
      <c r="E1881" s="49"/>
      <c r="F1881" s="49" t="str">
        <f>IFERROR(INDEX(منتجات!$G$3:$G$114,MATCH(B1881,منتجات!$A$3:$A$115,0)),"")</f>
        <v/>
      </c>
      <c r="G1881" s="51" t="str">
        <f t="shared" si="31"/>
        <v/>
      </c>
      <c r="H1881" s="54"/>
    </row>
    <row r="1882" spans="1:8" x14ac:dyDescent="0.35">
      <c r="A1882" s="51"/>
      <c r="B1882" s="51"/>
      <c r="C1882" s="51" t="str">
        <f>IFERROR(VLOOKUP(B1882,منتجات!$A$3:$C$350,2,0),"")</f>
        <v/>
      </c>
      <c r="D1882" s="51" t="str">
        <f>IFERROR(VLOOKUP(B1882,منتجات!$A$3:$C$350,3,0),"")</f>
        <v/>
      </c>
      <c r="E1882" s="51"/>
      <c r="F1882" s="51" t="str">
        <f>IFERROR(INDEX(منتجات!$G$3:$G$114,MATCH(B1882,منتجات!$A$3:$A$115,0)),"")</f>
        <v/>
      </c>
      <c r="G1882" s="51" t="str">
        <f t="shared" si="31"/>
        <v/>
      </c>
      <c r="H1882" s="53"/>
    </row>
    <row r="1883" spans="1:8" x14ac:dyDescent="0.35">
      <c r="A1883" s="49"/>
      <c r="B1883" s="49"/>
      <c r="C1883" s="51" t="str">
        <f>IFERROR(VLOOKUP(B1883,منتجات!$A$3:$C$350,2,0),"")</f>
        <v/>
      </c>
      <c r="D1883" s="49" t="str">
        <f>IFERROR(VLOOKUP(B1883,منتجات!$A$3:$C$350,3,0),"")</f>
        <v/>
      </c>
      <c r="E1883" s="49"/>
      <c r="F1883" s="49" t="str">
        <f>IFERROR(INDEX(منتجات!$G$3:$G$114,MATCH(B1883,منتجات!$A$3:$A$115,0)),"")</f>
        <v/>
      </c>
      <c r="G1883" s="51" t="str">
        <f t="shared" si="31"/>
        <v/>
      </c>
      <c r="H1883" s="54"/>
    </row>
    <row r="1884" spans="1:8" x14ac:dyDescent="0.35">
      <c r="A1884" s="51"/>
      <c r="B1884" s="51"/>
      <c r="C1884" s="51" t="str">
        <f>IFERROR(VLOOKUP(B1884,منتجات!$A$3:$C$350,2,0),"")</f>
        <v/>
      </c>
      <c r="D1884" s="51" t="str">
        <f>IFERROR(VLOOKUP(B1884,منتجات!$A$3:$C$350,3,0),"")</f>
        <v/>
      </c>
      <c r="E1884" s="51"/>
      <c r="F1884" s="51" t="str">
        <f>IFERROR(INDEX(منتجات!$G$3:$G$114,MATCH(B1884,منتجات!$A$3:$A$115,0)),"")</f>
        <v/>
      </c>
      <c r="G1884" s="51" t="str">
        <f t="shared" si="31"/>
        <v/>
      </c>
      <c r="H1884" s="53"/>
    </row>
    <row r="1885" spans="1:8" x14ac:dyDescent="0.35">
      <c r="A1885" s="49"/>
      <c r="B1885" s="49"/>
      <c r="C1885" s="51" t="str">
        <f>IFERROR(VLOOKUP(B1885,منتجات!$A$3:$C$350,2,0),"")</f>
        <v/>
      </c>
      <c r="D1885" s="49" t="str">
        <f>IFERROR(VLOOKUP(B1885,منتجات!$A$3:$C$350,3,0),"")</f>
        <v/>
      </c>
      <c r="E1885" s="49"/>
      <c r="F1885" s="49" t="str">
        <f>IFERROR(INDEX(منتجات!$G$3:$G$114,MATCH(B1885,منتجات!$A$3:$A$115,0)),"")</f>
        <v/>
      </c>
      <c r="G1885" s="51" t="str">
        <f t="shared" si="31"/>
        <v/>
      </c>
      <c r="H1885" s="54"/>
    </row>
    <row r="1886" spans="1:8" x14ac:dyDescent="0.35">
      <c r="A1886" s="51"/>
      <c r="B1886" s="51"/>
      <c r="C1886" s="51" t="str">
        <f>IFERROR(VLOOKUP(B1886,منتجات!$A$3:$C$350,2,0),"")</f>
        <v/>
      </c>
      <c r="D1886" s="51" t="str">
        <f>IFERROR(VLOOKUP(B1886,منتجات!$A$3:$C$350,3,0),"")</f>
        <v/>
      </c>
      <c r="E1886" s="51"/>
      <c r="F1886" s="51" t="str">
        <f>IFERROR(INDEX(منتجات!$G$3:$G$114,MATCH(B1886,منتجات!$A$3:$A$115,0)),"")</f>
        <v/>
      </c>
      <c r="G1886" s="51" t="str">
        <f t="shared" si="31"/>
        <v/>
      </c>
      <c r="H1886" s="53"/>
    </row>
    <row r="1887" spans="1:8" x14ac:dyDescent="0.35">
      <c r="A1887" s="49"/>
      <c r="B1887" s="49"/>
      <c r="C1887" s="51" t="str">
        <f>IFERROR(VLOOKUP(B1887,منتجات!$A$3:$C$350,2,0),"")</f>
        <v/>
      </c>
      <c r="D1887" s="49" t="str">
        <f>IFERROR(VLOOKUP(B1887,منتجات!$A$3:$C$350,3,0),"")</f>
        <v/>
      </c>
      <c r="E1887" s="49"/>
      <c r="F1887" s="49" t="str">
        <f>IFERROR(INDEX(منتجات!$G$3:$G$114,MATCH(B1887,منتجات!$A$3:$A$115,0)),"")</f>
        <v/>
      </c>
      <c r="G1887" s="51" t="str">
        <f t="shared" si="31"/>
        <v/>
      </c>
      <c r="H1887" s="54"/>
    </row>
    <row r="1888" spans="1:8" x14ac:dyDescent="0.35">
      <c r="A1888" s="51"/>
      <c r="B1888" s="51"/>
      <c r="C1888" s="51" t="str">
        <f>IFERROR(VLOOKUP(B1888,منتجات!$A$3:$C$350,2,0),"")</f>
        <v/>
      </c>
      <c r="D1888" s="51" t="str">
        <f>IFERROR(VLOOKUP(B1888,منتجات!$A$3:$C$350,3,0),"")</f>
        <v/>
      </c>
      <c r="E1888" s="51"/>
      <c r="F1888" s="51" t="str">
        <f>IFERROR(INDEX(منتجات!$G$3:$G$114,MATCH(B1888,منتجات!$A$3:$A$115,0)),"")</f>
        <v/>
      </c>
      <c r="G1888" s="51" t="str">
        <f t="shared" si="31"/>
        <v/>
      </c>
      <c r="H1888" s="53"/>
    </row>
    <row r="1889" spans="1:8" x14ac:dyDescent="0.35">
      <c r="A1889" s="49"/>
      <c r="B1889" s="49"/>
      <c r="C1889" s="51" t="str">
        <f>IFERROR(VLOOKUP(B1889,منتجات!$A$3:$C$350,2,0),"")</f>
        <v/>
      </c>
      <c r="D1889" s="49" t="str">
        <f>IFERROR(VLOOKUP(B1889,منتجات!$A$3:$C$350,3,0),"")</f>
        <v/>
      </c>
      <c r="E1889" s="49"/>
      <c r="F1889" s="49" t="str">
        <f>IFERROR(INDEX(منتجات!$G$3:$G$114,MATCH(B1889,منتجات!$A$3:$A$115,0)),"")</f>
        <v/>
      </c>
      <c r="G1889" s="51" t="str">
        <f t="shared" si="31"/>
        <v/>
      </c>
      <c r="H1889" s="54"/>
    </row>
    <row r="1890" spans="1:8" x14ac:dyDescent="0.35">
      <c r="A1890" s="51"/>
      <c r="B1890" s="51"/>
      <c r="C1890" s="51" t="str">
        <f>IFERROR(VLOOKUP(B1890,منتجات!$A$3:$C$350,2,0),"")</f>
        <v/>
      </c>
      <c r="D1890" s="51" t="str">
        <f>IFERROR(VLOOKUP(B1890,منتجات!$A$3:$C$350,3,0),"")</f>
        <v/>
      </c>
      <c r="E1890" s="51"/>
      <c r="F1890" s="51" t="str">
        <f>IFERROR(INDEX(منتجات!$G$3:$G$114,MATCH(B1890,منتجات!$A$3:$A$115,0)),"")</f>
        <v/>
      </c>
      <c r="G1890" s="51" t="str">
        <f t="shared" si="31"/>
        <v/>
      </c>
      <c r="H1890" s="53"/>
    </row>
    <row r="1891" spans="1:8" x14ac:dyDescent="0.35">
      <c r="A1891" s="49"/>
      <c r="B1891" s="49"/>
      <c r="C1891" s="51" t="str">
        <f>IFERROR(VLOOKUP(B1891,منتجات!$A$3:$C$350,2,0),"")</f>
        <v/>
      </c>
      <c r="D1891" s="49" t="str">
        <f>IFERROR(VLOOKUP(B1891,منتجات!$A$3:$C$350,3,0),"")</f>
        <v/>
      </c>
      <c r="E1891" s="49"/>
      <c r="F1891" s="49" t="str">
        <f>IFERROR(INDEX(منتجات!$G$3:$G$114,MATCH(B1891,منتجات!$A$3:$A$115,0)),"")</f>
        <v/>
      </c>
      <c r="G1891" s="51" t="str">
        <f t="shared" si="31"/>
        <v/>
      </c>
      <c r="H1891" s="54"/>
    </row>
    <row r="1892" spans="1:8" x14ac:dyDescent="0.35">
      <c r="A1892" s="51"/>
      <c r="B1892" s="51"/>
      <c r="C1892" s="51" t="str">
        <f>IFERROR(VLOOKUP(B1892,منتجات!$A$3:$C$350,2,0),"")</f>
        <v/>
      </c>
      <c r="D1892" s="51" t="str">
        <f>IFERROR(VLOOKUP(B1892,منتجات!$A$3:$C$350,3,0),"")</f>
        <v/>
      </c>
      <c r="E1892" s="51"/>
      <c r="F1892" s="51" t="str">
        <f>IFERROR(INDEX(منتجات!$G$3:$G$114,MATCH(B1892,منتجات!$A$3:$A$115,0)),"")</f>
        <v/>
      </c>
      <c r="G1892" s="51" t="str">
        <f t="shared" si="31"/>
        <v/>
      </c>
      <c r="H1892" s="53"/>
    </row>
    <row r="1893" spans="1:8" x14ac:dyDescent="0.35">
      <c r="A1893" s="49"/>
      <c r="B1893" s="49"/>
      <c r="C1893" s="51" t="str">
        <f>IFERROR(VLOOKUP(B1893,منتجات!$A$3:$C$350,2,0),"")</f>
        <v/>
      </c>
      <c r="D1893" s="49" t="str">
        <f>IFERROR(VLOOKUP(B1893,منتجات!$A$3:$C$350,3,0),"")</f>
        <v/>
      </c>
      <c r="E1893" s="49"/>
      <c r="F1893" s="49" t="str">
        <f>IFERROR(INDEX(منتجات!$G$3:$G$114,MATCH(B1893,منتجات!$A$3:$A$115,0)),"")</f>
        <v/>
      </c>
      <c r="G1893" s="51" t="str">
        <f t="shared" si="31"/>
        <v/>
      </c>
      <c r="H1893" s="54"/>
    </row>
    <row r="1894" spans="1:8" x14ac:dyDescent="0.35">
      <c r="A1894" s="51"/>
      <c r="B1894" s="51"/>
      <c r="C1894" s="51" t="str">
        <f>IFERROR(VLOOKUP(B1894,منتجات!$A$3:$C$350,2,0),"")</f>
        <v/>
      </c>
      <c r="D1894" s="51" t="str">
        <f>IFERROR(VLOOKUP(B1894,منتجات!$A$3:$C$350,3,0),"")</f>
        <v/>
      </c>
      <c r="E1894" s="51"/>
      <c r="F1894" s="51" t="str">
        <f>IFERROR(INDEX(منتجات!$G$3:$G$114,MATCH(B1894,منتجات!$A$3:$A$115,0)),"")</f>
        <v/>
      </c>
      <c r="G1894" s="51" t="str">
        <f t="shared" si="31"/>
        <v/>
      </c>
      <c r="H1894" s="53"/>
    </row>
    <row r="1895" spans="1:8" x14ac:dyDescent="0.35">
      <c r="A1895" s="49"/>
      <c r="B1895" s="49"/>
      <c r="C1895" s="51" t="str">
        <f>IFERROR(VLOOKUP(B1895,منتجات!$A$3:$C$350,2,0),"")</f>
        <v/>
      </c>
      <c r="D1895" s="49" t="str">
        <f>IFERROR(VLOOKUP(B1895,منتجات!$A$3:$C$350,3,0),"")</f>
        <v/>
      </c>
      <c r="E1895" s="49"/>
      <c r="F1895" s="49" t="str">
        <f>IFERROR(INDEX(منتجات!$G$3:$G$114,MATCH(B1895,منتجات!$A$3:$A$115,0)),"")</f>
        <v/>
      </c>
      <c r="G1895" s="51" t="str">
        <f t="shared" si="31"/>
        <v/>
      </c>
      <c r="H1895" s="54"/>
    </row>
    <row r="1896" spans="1:8" x14ac:dyDescent="0.35">
      <c r="A1896" s="51"/>
      <c r="B1896" s="51"/>
      <c r="C1896" s="51" t="str">
        <f>IFERROR(VLOOKUP(B1896,منتجات!$A$3:$C$350,2,0),"")</f>
        <v/>
      </c>
      <c r="D1896" s="51" t="str">
        <f>IFERROR(VLOOKUP(B1896,منتجات!$A$3:$C$350,3,0),"")</f>
        <v/>
      </c>
      <c r="E1896" s="51"/>
      <c r="F1896" s="51" t="str">
        <f>IFERROR(INDEX(منتجات!$G$3:$G$114,MATCH(B1896,منتجات!$A$3:$A$115,0)),"")</f>
        <v/>
      </c>
      <c r="G1896" s="51" t="str">
        <f t="shared" si="31"/>
        <v/>
      </c>
      <c r="H1896" s="53"/>
    </row>
    <row r="1897" spans="1:8" x14ac:dyDescent="0.35">
      <c r="A1897" s="49"/>
      <c r="B1897" s="49"/>
      <c r="C1897" s="51" t="str">
        <f>IFERROR(VLOOKUP(B1897,منتجات!$A$3:$C$350,2,0),"")</f>
        <v/>
      </c>
      <c r="D1897" s="49" t="str">
        <f>IFERROR(VLOOKUP(B1897,منتجات!$A$3:$C$350,3,0),"")</f>
        <v/>
      </c>
      <c r="E1897" s="49"/>
      <c r="F1897" s="49" t="str">
        <f>IFERROR(INDEX(منتجات!$G$3:$G$114,MATCH(B1897,منتجات!$A$3:$A$115,0)),"")</f>
        <v/>
      </c>
      <c r="G1897" s="51" t="str">
        <f t="shared" si="31"/>
        <v/>
      </c>
      <c r="H1897" s="54"/>
    </row>
    <row r="1898" spans="1:8" x14ac:dyDescent="0.35">
      <c r="A1898" s="51"/>
      <c r="B1898" s="51"/>
      <c r="C1898" s="51" t="str">
        <f>IFERROR(VLOOKUP(B1898,منتجات!$A$3:$C$350,2,0),"")</f>
        <v/>
      </c>
      <c r="D1898" s="51" t="str">
        <f>IFERROR(VLOOKUP(B1898,منتجات!$A$3:$C$350,3,0),"")</f>
        <v/>
      </c>
      <c r="E1898" s="51"/>
      <c r="F1898" s="51" t="str">
        <f>IFERROR(INDEX(منتجات!$G$3:$G$114,MATCH(B1898,منتجات!$A$3:$A$115,0)),"")</f>
        <v/>
      </c>
      <c r="G1898" s="51" t="str">
        <f t="shared" si="31"/>
        <v/>
      </c>
      <c r="H1898" s="53"/>
    </row>
    <row r="1899" spans="1:8" x14ac:dyDescent="0.35">
      <c r="A1899" s="49"/>
      <c r="B1899" s="49"/>
      <c r="C1899" s="51" t="str">
        <f>IFERROR(VLOOKUP(B1899,منتجات!$A$3:$C$350,2,0),"")</f>
        <v/>
      </c>
      <c r="D1899" s="49" t="str">
        <f>IFERROR(VLOOKUP(B1899,منتجات!$A$3:$C$350,3,0),"")</f>
        <v/>
      </c>
      <c r="E1899" s="49"/>
      <c r="F1899" s="49" t="str">
        <f>IFERROR(INDEX(منتجات!$G$3:$G$114,MATCH(B1899,منتجات!$A$3:$A$115,0)),"")</f>
        <v/>
      </c>
      <c r="G1899" s="51" t="str">
        <f t="shared" si="31"/>
        <v/>
      </c>
      <c r="H1899" s="54"/>
    </row>
    <row r="1900" spans="1:8" x14ac:dyDescent="0.35">
      <c r="A1900" s="51"/>
      <c r="B1900" s="51"/>
      <c r="C1900" s="51" t="str">
        <f>IFERROR(VLOOKUP(B1900,منتجات!$A$3:$C$350,2,0),"")</f>
        <v/>
      </c>
      <c r="D1900" s="51" t="str">
        <f>IFERROR(VLOOKUP(B1900,منتجات!$A$3:$C$350,3,0),"")</f>
        <v/>
      </c>
      <c r="E1900" s="51"/>
      <c r="F1900" s="51" t="str">
        <f>IFERROR(INDEX(منتجات!$G$3:$G$114,MATCH(B1900,منتجات!$A$3:$A$115,0)),"")</f>
        <v/>
      </c>
      <c r="G1900" s="51" t="str">
        <f t="shared" si="31"/>
        <v/>
      </c>
      <c r="H1900" s="53"/>
    </row>
    <row r="1901" spans="1:8" x14ac:dyDescent="0.35">
      <c r="A1901" s="49"/>
      <c r="B1901" s="49"/>
      <c r="C1901" s="51" t="str">
        <f>IFERROR(VLOOKUP(B1901,منتجات!$A$3:$C$350,2,0),"")</f>
        <v/>
      </c>
      <c r="D1901" s="49" t="str">
        <f>IFERROR(VLOOKUP(B1901,منتجات!$A$3:$C$350,3,0),"")</f>
        <v/>
      </c>
      <c r="E1901" s="49"/>
      <c r="F1901" s="49" t="str">
        <f>IFERROR(INDEX(منتجات!$G$3:$G$114,MATCH(B1901,منتجات!$A$3:$A$115,0)),"")</f>
        <v/>
      </c>
      <c r="G1901" s="51" t="str">
        <f t="shared" si="31"/>
        <v/>
      </c>
      <c r="H1901" s="54"/>
    </row>
    <row r="1902" spans="1:8" x14ac:dyDescent="0.35">
      <c r="A1902" s="51"/>
      <c r="B1902" s="51"/>
      <c r="C1902" s="51" t="str">
        <f>IFERROR(VLOOKUP(B1902,منتجات!$A$3:$C$350,2,0),"")</f>
        <v/>
      </c>
      <c r="D1902" s="51" t="str">
        <f>IFERROR(VLOOKUP(B1902,منتجات!$A$3:$C$350,3,0),"")</f>
        <v/>
      </c>
      <c r="E1902" s="51"/>
      <c r="F1902" s="51" t="str">
        <f>IFERROR(INDEX(منتجات!$G$3:$G$114,MATCH(B1902,منتجات!$A$3:$A$115,0)),"")</f>
        <v/>
      </c>
      <c r="G1902" s="51" t="str">
        <f t="shared" si="31"/>
        <v/>
      </c>
      <c r="H1902" s="53"/>
    </row>
    <row r="1903" spans="1:8" x14ac:dyDescent="0.35">
      <c r="A1903" s="49"/>
      <c r="B1903" s="49"/>
      <c r="C1903" s="51" t="str">
        <f>IFERROR(VLOOKUP(B1903,منتجات!$A$3:$C$350,2,0),"")</f>
        <v/>
      </c>
      <c r="D1903" s="49" t="str">
        <f>IFERROR(VLOOKUP(B1903,منتجات!$A$3:$C$350,3,0),"")</f>
        <v/>
      </c>
      <c r="E1903" s="49"/>
      <c r="F1903" s="49" t="str">
        <f>IFERROR(INDEX(منتجات!$G$3:$G$114,MATCH(B1903,منتجات!$A$3:$A$115,0)),"")</f>
        <v/>
      </c>
      <c r="G1903" s="51" t="str">
        <f t="shared" si="31"/>
        <v/>
      </c>
      <c r="H1903" s="54"/>
    </row>
    <row r="1904" spans="1:8" x14ac:dyDescent="0.35">
      <c r="A1904" s="51"/>
      <c r="B1904" s="51"/>
      <c r="C1904" s="51" t="str">
        <f>IFERROR(VLOOKUP(B1904,منتجات!$A$3:$C$350,2,0),"")</f>
        <v/>
      </c>
      <c r="D1904" s="51" t="str">
        <f>IFERROR(VLOOKUP(B1904,منتجات!$A$3:$C$350,3,0),"")</f>
        <v/>
      </c>
      <c r="E1904" s="51"/>
      <c r="F1904" s="51" t="str">
        <f>IFERROR(INDEX(منتجات!$G$3:$G$114,MATCH(B1904,منتجات!$A$3:$A$115,0)),"")</f>
        <v/>
      </c>
      <c r="G1904" s="51" t="str">
        <f t="shared" si="31"/>
        <v/>
      </c>
      <c r="H1904" s="53"/>
    </row>
    <row r="1905" spans="1:8" x14ac:dyDescent="0.35">
      <c r="A1905" s="49"/>
      <c r="B1905" s="49"/>
      <c r="C1905" s="51" t="str">
        <f>IFERROR(VLOOKUP(B1905,منتجات!$A$3:$C$350,2,0),"")</f>
        <v/>
      </c>
      <c r="D1905" s="49" t="str">
        <f>IFERROR(VLOOKUP(B1905,منتجات!$A$3:$C$350,3,0),"")</f>
        <v/>
      </c>
      <c r="E1905" s="49"/>
      <c r="F1905" s="49" t="str">
        <f>IFERROR(INDEX(منتجات!$G$3:$G$114,MATCH(B1905,منتجات!$A$3:$A$115,0)),"")</f>
        <v/>
      </c>
      <c r="G1905" s="51" t="str">
        <f t="shared" si="31"/>
        <v/>
      </c>
      <c r="H1905" s="54"/>
    </row>
    <row r="1906" spans="1:8" x14ac:dyDescent="0.35">
      <c r="A1906" s="51"/>
      <c r="B1906" s="51"/>
      <c r="C1906" s="51" t="str">
        <f>IFERROR(VLOOKUP(B1906,منتجات!$A$3:$C$350,2,0),"")</f>
        <v/>
      </c>
      <c r="D1906" s="51" t="str">
        <f>IFERROR(VLOOKUP(B1906,منتجات!$A$3:$C$350,3,0),"")</f>
        <v/>
      </c>
      <c r="E1906" s="51"/>
      <c r="F1906" s="51" t="str">
        <f>IFERROR(INDEX(منتجات!$G$3:$G$114,MATCH(B1906,منتجات!$A$3:$A$115,0)),"")</f>
        <v/>
      </c>
      <c r="G1906" s="51" t="str">
        <f t="shared" si="31"/>
        <v/>
      </c>
      <c r="H1906" s="53"/>
    </row>
    <row r="1907" spans="1:8" x14ac:dyDescent="0.35">
      <c r="A1907" s="49"/>
      <c r="B1907" s="49"/>
      <c r="C1907" s="51" t="str">
        <f>IFERROR(VLOOKUP(B1907,منتجات!$A$3:$C$350,2,0),"")</f>
        <v/>
      </c>
      <c r="D1907" s="49" t="str">
        <f>IFERROR(VLOOKUP(B1907,منتجات!$A$3:$C$350,3,0),"")</f>
        <v/>
      </c>
      <c r="E1907" s="49"/>
      <c r="F1907" s="49" t="str">
        <f>IFERROR(INDEX(منتجات!$G$3:$G$114,MATCH(B1907,منتجات!$A$3:$A$115,0)),"")</f>
        <v/>
      </c>
      <c r="G1907" s="51" t="str">
        <f t="shared" si="31"/>
        <v/>
      </c>
      <c r="H1907" s="54"/>
    </row>
    <row r="1908" spans="1:8" x14ac:dyDescent="0.35">
      <c r="A1908" s="51"/>
      <c r="B1908" s="51"/>
      <c r="C1908" s="51" t="str">
        <f>IFERROR(VLOOKUP(B1908,منتجات!$A$3:$C$350,2,0),"")</f>
        <v/>
      </c>
      <c r="D1908" s="51" t="str">
        <f>IFERROR(VLOOKUP(B1908,منتجات!$A$3:$C$350,3,0),"")</f>
        <v/>
      </c>
      <c r="E1908" s="51"/>
      <c r="F1908" s="51" t="str">
        <f>IFERROR(INDEX(منتجات!$G$3:$G$114,MATCH(B1908,منتجات!$A$3:$A$115,0)),"")</f>
        <v/>
      </c>
      <c r="G1908" s="51" t="str">
        <f t="shared" si="31"/>
        <v/>
      </c>
      <c r="H1908" s="53"/>
    </row>
    <row r="1909" spans="1:8" x14ac:dyDescent="0.35">
      <c r="A1909" s="49"/>
      <c r="B1909" s="49"/>
      <c r="C1909" s="51" t="str">
        <f>IFERROR(VLOOKUP(B1909,منتجات!$A$3:$C$350,2,0),"")</f>
        <v/>
      </c>
      <c r="D1909" s="49" t="str">
        <f>IFERROR(VLOOKUP(B1909,منتجات!$A$3:$C$350,3,0),"")</f>
        <v/>
      </c>
      <c r="E1909" s="49"/>
      <c r="F1909" s="49" t="str">
        <f>IFERROR(INDEX(منتجات!$G$3:$G$114,MATCH(B1909,منتجات!$A$3:$A$115,0)),"")</f>
        <v/>
      </c>
      <c r="G1909" s="51" t="str">
        <f t="shared" si="31"/>
        <v/>
      </c>
      <c r="H1909" s="54"/>
    </row>
    <row r="1910" spans="1:8" x14ac:dyDescent="0.35">
      <c r="A1910" s="51"/>
      <c r="B1910" s="51"/>
      <c r="C1910" s="51" t="str">
        <f>IFERROR(VLOOKUP(B1910,منتجات!$A$3:$C$350,2,0),"")</f>
        <v/>
      </c>
      <c r="D1910" s="51" t="str">
        <f>IFERROR(VLOOKUP(B1910,منتجات!$A$3:$C$350,3,0),"")</f>
        <v/>
      </c>
      <c r="E1910" s="51"/>
      <c r="F1910" s="51" t="str">
        <f>IFERROR(INDEX(منتجات!$G$3:$G$114,MATCH(B1910,منتجات!$A$3:$A$115,0)),"")</f>
        <v/>
      </c>
      <c r="G1910" s="51" t="str">
        <f t="shared" si="31"/>
        <v/>
      </c>
      <c r="H1910" s="53"/>
    </row>
    <row r="1911" spans="1:8" x14ac:dyDescent="0.35">
      <c r="A1911" s="49"/>
      <c r="B1911" s="49"/>
      <c r="C1911" s="51" t="str">
        <f>IFERROR(VLOOKUP(B1911,منتجات!$A$3:$C$350,2,0),"")</f>
        <v/>
      </c>
      <c r="D1911" s="49" t="str">
        <f>IFERROR(VLOOKUP(B1911,منتجات!$A$3:$C$350,3,0),"")</f>
        <v/>
      </c>
      <c r="E1911" s="49"/>
      <c r="F1911" s="49" t="str">
        <f>IFERROR(INDEX(منتجات!$G$3:$G$114,MATCH(B1911,منتجات!$A$3:$A$115,0)),"")</f>
        <v/>
      </c>
      <c r="G1911" s="51" t="str">
        <f t="shared" si="31"/>
        <v/>
      </c>
      <c r="H1911" s="54"/>
    </row>
    <row r="1912" spans="1:8" x14ac:dyDescent="0.35">
      <c r="A1912" s="51"/>
      <c r="B1912" s="51"/>
      <c r="C1912" s="51" t="str">
        <f>IFERROR(VLOOKUP(B1912,منتجات!$A$3:$C$350,2,0),"")</f>
        <v/>
      </c>
      <c r="D1912" s="51" t="str">
        <f>IFERROR(VLOOKUP(B1912,منتجات!$A$3:$C$350,3,0),"")</f>
        <v/>
      </c>
      <c r="E1912" s="51"/>
      <c r="F1912" s="51" t="str">
        <f>IFERROR(INDEX(منتجات!$G$3:$G$114,MATCH(B1912,منتجات!$A$3:$A$115,0)),"")</f>
        <v/>
      </c>
      <c r="G1912" s="51" t="str">
        <f t="shared" si="31"/>
        <v/>
      </c>
      <c r="H1912" s="53"/>
    </row>
    <row r="1913" spans="1:8" x14ac:dyDescent="0.35">
      <c r="A1913" s="49"/>
      <c r="B1913" s="49"/>
      <c r="C1913" s="51" t="str">
        <f>IFERROR(VLOOKUP(B1913,منتجات!$A$3:$C$350,2,0),"")</f>
        <v/>
      </c>
      <c r="D1913" s="49" t="str">
        <f>IFERROR(VLOOKUP(B1913,منتجات!$A$3:$C$350,3,0),"")</f>
        <v/>
      </c>
      <c r="E1913" s="49"/>
      <c r="F1913" s="49" t="str">
        <f>IFERROR(INDEX(منتجات!$G$3:$G$114,MATCH(B1913,منتجات!$A$3:$A$115,0)),"")</f>
        <v/>
      </c>
      <c r="G1913" s="51" t="str">
        <f t="shared" si="31"/>
        <v/>
      </c>
      <c r="H1913" s="54"/>
    </row>
    <row r="1914" spans="1:8" x14ac:dyDescent="0.35">
      <c r="A1914" s="51"/>
      <c r="B1914" s="51"/>
      <c r="C1914" s="51" t="str">
        <f>IFERROR(VLOOKUP(B1914,منتجات!$A$3:$C$350,2,0),"")</f>
        <v/>
      </c>
      <c r="D1914" s="51" t="str">
        <f>IFERROR(VLOOKUP(B1914,منتجات!$A$3:$C$350,3,0),"")</f>
        <v/>
      </c>
      <c r="E1914" s="51"/>
      <c r="F1914" s="51" t="str">
        <f>IFERROR(INDEX(منتجات!$G$3:$G$114,MATCH(B1914,منتجات!$A$3:$A$115,0)),"")</f>
        <v/>
      </c>
      <c r="G1914" s="51" t="str">
        <f t="shared" si="31"/>
        <v/>
      </c>
      <c r="H1914" s="53"/>
    </row>
    <row r="1915" spans="1:8" x14ac:dyDescent="0.35">
      <c r="A1915" s="49"/>
      <c r="B1915" s="49"/>
      <c r="C1915" s="51" t="str">
        <f>IFERROR(VLOOKUP(B1915,منتجات!$A$3:$C$350,2,0),"")</f>
        <v/>
      </c>
      <c r="D1915" s="49" t="str">
        <f>IFERROR(VLOOKUP(B1915,منتجات!$A$3:$C$350,3,0),"")</f>
        <v/>
      </c>
      <c r="E1915" s="49"/>
      <c r="F1915" s="49" t="str">
        <f>IFERROR(INDEX(منتجات!$G$3:$G$114,MATCH(B1915,منتجات!$A$3:$A$115,0)),"")</f>
        <v/>
      </c>
      <c r="G1915" s="51" t="str">
        <f t="shared" si="31"/>
        <v/>
      </c>
      <c r="H1915" s="54"/>
    </row>
    <row r="1916" spans="1:8" x14ac:dyDescent="0.35">
      <c r="A1916" s="51"/>
      <c r="B1916" s="51"/>
      <c r="C1916" s="51" t="str">
        <f>IFERROR(VLOOKUP(B1916,منتجات!$A$3:$C$350,2,0),"")</f>
        <v/>
      </c>
      <c r="D1916" s="51" t="str">
        <f>IFERROR(VLOOKUP(B1916,منتجات!$A$3:$C$350,3,0),"")</f>
        <v/>
      </c>
      <c r="E1916" s="51"/>
      <c r="F1916" s="51" t="str">
        <f>IFERROR(INDEX(منتجات!$G$3:$G$114,MATCH(B1916,منتجات!$A$3:$A$115,0)),"")</f>
        <v/>
      </c>
      <c r="G1916" s="51" t="str">
        <f t="shared" si="31"/>
        <v/>
      </c>
      <c r="H1916" s="53"/>
    </row>
    <row r="1917" spans="1:8" x14ac:dyDescent="0.35">
      <c r="A1917" s="49"/>
      <c r="B1917" s="49"/>
      <c r="C1917" s="51" t="str">
        <f>IFERROR(VLOOKUP(B1917,منتجات!$A$3:$C$350,2,0),"")</f>
        <v/>
      </c>
      <c r="D1917" s="49" t="str">
        <f>IFERROR(VLOOKUP(B1917,منتجات!$A$3:$C$350,3,0),"")</f>
        <v/>
      </c>
      <c r="E1917" s="49"/>
      <c r="F1917" s="49" t="str">
        <f>IFERROR(INDEX(منتجات!$G$3:$G$114,MATCH(B1917,منتجات!$A$3:$A$115,0)),"")</f>
        <v/>
      </c>
      <c r="G1917" s="51" t="str">
        <f t="shared" si="31"/>
        <v/>
      </c>
      <c r="H1917" s="54"/>
    </row>
    <row r="1918" spans="1:8" x14ac:dyDescent="0.35">
      <c r="A1918" s="51"/>
      <c r="B1918" s="51"/>
      <c r="C1918" s="51" t="str">
        <f>IFERROR(VLOOKUP(B1918,منتجات!$A$3:$C$350,2,0),"")</f>
        <v/>
      </c>
      <c r="D1918" s="51" t="str">
        <f>IFERROR(VLOOKUP(B1918,منتجات!$A$3:$C$350,3,0),"")</f>
        <v/>
      </c>
      <c r="E1918" s="51"/>
      <c r="F1918" s="51" t="str">
        <f>IFERROR(INDEX(منتجات!$G$3:$G$114,MATCH(B1918,منتجات!$A$3:$A$115,0)),"")</f>
        <v/>
      </c>
      <c r="G1918" s="51" t="str">
        <f t="shared" si="31"/>
        <v/>
      </c>
      <c r="H1918" s="53"/>
    </row>
    <row r="1919" spans="1:8" x14ac:dyDescent="0.35">
      <c r="A1919" s="49"/>
      <c r="B1919" s="49"/>
      <c r="C1919" s="51" t="str">
        <f>IFERROR(VLOOKUP(B1919,منتجات!$A$3:$C$350,2,0),"")</f>
        <v/>
      </c>
      <c r="D1919" s="49" t="str">
        <f>IFERROR(VLOOKUP(B1919,منتجات!$A$3:$C$350,3,0),"")</f>
        <v/>
      </c>
      <c r="E1919" s="49"/>
      <c r="F1919" s="49" t="str">
        <f>IFERROR(INDEX(منتجات!$G$3:$G$114,MATCH(B1919,منتجات!$A$3:$A$115,0)),"")</f>
        <v/>
      </c>
      <c r="G1919" s="51" t="str">
        <f t="shared" si="31"/>
        <v/>
      </c>
      <c r="H1919" s="54"/>
    </row>
    <row r="1920" spans="1:8" x14ac:dyDescent="0.35">
      <c r="A1920" s="51"/>
      <c r="B1920" s="51"/>
      <c r="C1920" s="51" t="str">
        <f>IFERROR(VLOOKUP(B1920,منتجات!$A$3:$C$350,2,0),"")</f>
        <v/>
      </c>
      <c r="D1920" s="51" t="str">
        <f>IFERROR(VLOOKUP(B1920,منتجات!$A$3:$C$350,3,0),"")</f>
        <v/>
      </c>
      <c r="E1920" s="51"/>
      <c r="F1920" s="51" t="str">
        <f>IFERROR(INDEX(منتجات!$G$3:$G$114,MATCH(B1920,منتجات!$A$3:$A$115,0)),"")</f>
        <v/>
      </c>
      <c r="G1920" s="51" t="str">
        <f t="shared" si="31"/>
        <v/>
      </c>
      <c r="H1920" s="53"/>
    </row>
    <row r="1921" spans="1:8" x14ac:dyDescent="0.35">
      <c r="A1921" s="49"/>
      <c r="B1921" s="49"/>
      <c r="C1921" s="51" t="str">
        <f>IFERROR(VLOOKUP(B1921,منتجات!$A$3:$C$350,2,0),"")</f>
        <v/>
      </c>
      <c r="D1921" s="49" t="str">
        <f>IFERROR(VLOOKUP(B1921,منتجات!$A$3:$C$350,3,0),"")</f>
        <v/>
      </c>
      <c r="E1921" s="49"/>
      <c r="F1921" s="49" t="str">
        <f>IFERROR(INDEX(منتجات!$G$3:$G$114,MATCH(B1921,منتجات!$A$3:$A$115,0)),"")</f>
        <v/>
      </c>
      <c r="G1921" s="51" t="str">
        <f t="shared" si="31"/>
        <v/>
      </c>
      <c r="H1921" s="54"/>
    </row>
    <row r="1922" spans="1:8" x14ac:dyDescent="0.35">
      <c r="A1922" s="51"/>
      <c r="B1922" s="51"/>
      <c r="C1922" s="51" t="str">
        <f>IFERROR(VLOOKUP(B1922,منتجات!$A$3:$C$350,2,0),"")</f>
        <v/>
      </c>
      <c r="D1922" s="51" t="str">
        <f>IFERROR(VLOOKUP(B1922,منتجات!$A$3:$C$350,3,0),"")</f>
        <v/>
      </c>
      <c r="E1922" s="51"/>
      <c r="F1922" s="51" t="str">
        <f>IFERROR(INDEX(منتجات!$G$3:$G$114,MATCH(B1922,منتجات!$A$3:$A$115,0)),"")</f>
        <v/>
      </c>
      <c r="G1922" s="51" t="str">
        <f t="shared" si="31"/>
        <v/>
      </c>
      <c r="H1922" s="53"/>
    </row>
    <row r="1923" spans="1:8" x14ac:dyDescent="0.35">
      <c r="A1923" s="49"/>
      <c r="B1923" s="49"/>
      <c r="C1923" s="51" t="str">
        <f>IFERROR(VLOOKUP(B1923,منتجات!$A$3:$C$350,2,0),"")</f>
        <v/>
      </c>
      <c r="D1923" s="49" t="str">
        <f>IFERROR(VLOOKUP(B1923,منتجات!$A$3:$C$350,3,0),"")</f>
        <v/>
      </c>
      <c r="E1923" s="49"/>
      <c r="F1923" s="49" t="str">
        <f>IFERROR(INDEX(منتجات!$G$3:$G$114,MATCH(B1923,منتجات!$A$3:$A$115,0)),"")</f>
        <v/>
      </c>
      <c r="G1923" s="51" t="str">
        <f t="shared" si="31"/>
        <v/>
      </c>
      <c r="H1923" s="54"/>
    </row>
    <row r="1924" spans="1:8" x14ac:dyDescent="0.35">
      <c r="A1924" s="51"/>
      <c r="B1924" s="51"/>
      <c r="C1924" s="51" t="str">
        <f>IFERROR(VLOOKUP(B1924,منتجات!$A$3:$C$350,2,0),"")</f>
        <v/>
      </c>
      <c r="D1924" s="51" t="str">
        <f>IFERROR(VLOOKUP(B1924,منتجات!$A$3:$C$350,3,0),"")</f>
        <v/>
      </c>
      <c r="E1924" s="51"/>
      <c r="F1924" s="51" t="str">
        <f>IFERROR(INDEX(منتجات!$G$3:$G$114,MATCH(B1924,منتجات!$A$3:$A$115,0)),"")</f>
        <v/>
      </c>
      <c r="G1924" s="51" t="str">
        <f t="shared" si="31"/>
        <v/>
      </c>
      <c r="H1924" s="53"/>
    </row>
    <row r="1925" spans="1:8" x14ac:dyDescent="0.35">
      <c r="A1925" s="49"/>
      <c r="B1925" s="49"/>
      <c r="C1925" s="51" t="str">
        <f>IFERROR(VLOOKUP(B1925,منتجات!$A$3:$C$350,2,0),"")</f>
        <v/>
      </c>
      <c r="D1925" s="49" t="str">
        <f>IFERROR(VLOOKUP(B1925,منتجات!$A$3:$C$350,3,0),"")</f>
        <v/>
      </c>
      <c r="E1925" s="49"/>
      <c r="F1925" s="49" t="str">
        <f>IFERROR(INDEX(منتجات!$G$3:$G$114,MATCH(B1925,منتجات!$A$3:$A$115,0)),"")</f>
        <v/>
      </c>
      <c r="G1925" s="51" t="str">
        <f t="shared" si="31"/>
        <v/>
      </c>
      <c r="H1925" s="54"/>
    </row>
    <row r="1926" spans="1:8" x14ac:dyDescent="0.35">
      <c r="A1926" s="51"/>
      <c r="B1926" s="51"/>
      <c r="C1926" s="51" t="str">
        <f>IFERROR(VLOOKUP(B1926,منتجات!$A$3:$C$350,2,0),"")</f>
        <v/>
      </c>
      <c r="D1926" s="51" t="str">
        <f>IFERROR(VLOOKUP(B1926,منتجات!$A$3:$C$350,3,0),"")</f>
        <v/>
      </c>
      <c r="E1926" s="51"/>
      <c r="F1926" s="51" t="str">
        <f>IFERROR(INDEX(منتجات!$G$3:$G$114,MATCH(B1926,منتجات!$A$3:$A$115,0)),"")</f>
        <v/>
      </c>
      <c r="G1926" s="51" t="str">
        <f t="shared" si="31"/>
        <v/>
      </c>
      <c r="H1926" s="53"/>
    </row>
    <row r="1927" spans="1:8" x14ac:dyDescent="0.35">
      <c r="A1927" s="49"/>
      <c r="B1927" s="49"/>
      <c r="C1927" s="51" t="str">
        <f>IFERROR(VLOOKUP(B1927,منتجات!$A$3:$C$350,2,0),"")</f>
        <v/>
      </c>
      <c r="D1927" s="49" t="str">
        <f>IFERROR(VLOOKUP(B1927,منتجات!$A$3:$C$350,3,0),"")</f>
        <v/>
      </c>
      <c r="E1927" s="49"/>
      <c r="F1927" s="49" t="str">
        <f>IFERROR(INDEX(منتجات!$G$3:$G$114,MATCH(B1927,منتجات!$A$3:$A$115,0)),"")</f>
        <v/>
      </c>
      <c r="G1927" s="51" t="str">
        <f t="shared" si="31"/>
        <v/>
      </c>
      <c r="H1927" s="54"/>
    </row>
    <row r="1928" spans="1:8" x14ac:dyDescent="0.35">
      <c r="A1928" s="51"/>
      <c r="B1928" s="51"/>
      <c r="C1928" s="51" t="str">
        <f>IFERROR(VLOOKUP(B1928,منتجات!$A$3:$C$350,2,0),"")</f>
        <v/>
      </c>
      <c r="D1928" s="51" t="str">
        <f>IFERROR(VLOOKUP(B1928,منتجات!$A$3:$C$350,3,0),"")</f>
        <v/>
      </c>
      <c r="E1928" s="51"/>
      <c r="F1928" s="51" t="str">
        <f>IFERROR(INDEX(منتجات!$G$3:$G$114,MATCH(B1928,منتجات!$A$3:$A$115,0)),"")</f>
        <v/>
      </c>
      <c r="G1928" s="51" t="str">
        <f t="shared" si="31"/>
        <v/>
      </c>
      <c r="H1928" s="53"/>
    </row>
    <row r="1929" spans="1:8" x14ac:dyDescent="0.35">
      <c r="A1929" s="49"/>
      <c r="B1929" s="49"/>
      <c r="C1929" s="51" t="str">
        <f>IFERROR(VLOOKUP(B1929,منتجات!$A$3:$C$350,2,0),"")</f>
        <v/>
      </c>
      <c r="D1929" s="49" t="str">
        <f>IFERROR(VLOOKUP(B1929,منتجات!$A$3:$C$350,3,0),"")</f>
        <v/>
      </c>
      <c r="E1929" s="49"/>
      <c r="F1929" s="49" t="str">
        <f>IFERROR(INDEX(منتجات!$G$3:$G$114,MATCH(B1929,منتجات!$A$3:$A$115,0)),"")</f>
        <v/>
      </c>
      <c r="G1929" s="51" t="str">
        <f t="shared" si="31"/>
        <v/>
      </c>
      <c r="H1929" s="54"/>
    </row>
    <row r="1930" spans="1:8" x14ac:dyDescent="0.35">
      <c r="A1930" s="51"/>
      <c r="B1930" s="51"/>
      <c r="C1930" s="51" t="str">
        <f>IFERROR(VLOOKUP(B1930,منتجات!$A$3:$C$350,2,0),"")</f>
        <v/>
      </c>
      <c r="D1930" s="51" t="str">
        <f>IFERROR(VLOOKUP(B1930,منتجات!$A$3:$C$350,3,0),"")</f>
        <v/>
      </c>
      <c r="E1930" s="51"/>
      <c r="F1930" s="51" t="str">
        <f>IFERROR(INDEX(منتجات!$G$3:$G$114,MATCH(B1930,منتجات!$A$3:$A$115,0)),"")</f>
        <v/>
      </c>
      <c r="G1930" s="51" t="str">
        <f t="shared" si="31"/>
        <v/>
      </c>
      <c r="H1930" s="53"/>
    </row>
    <row r="1931" spans="1:8" x14ac:dyDescent="0.35">
      <c r="A1931" s="49"/>
      <c r="B1931" s="49"/>
      <c r="C1931" s="51" t="str">
        <f>IFERROR(VLOOKUP(B1931,منتجات!$A$3:$C$350,2,0),"")</f>
        <v/>
      </c>
      <c r="D1931" s="49" t="str">
        <f>IFERROR(VLOOKUP(B1931,منتجات!$A$3:$C$350,3,0),"")</f>
        <v/>
      </c>
      <c r="E1931" s="49"/>
      <c r="F1931" s="49" t="str">
        <f>IFERROR(INDEX(منتجات!$G$3:$G$114,MATCH(B1931,منتجات!$A$3:$A$115,0)),"")</f>
        <v/>
      </c>
      <c r="G1931" s="51" t="str">
        <f t="shared" si="31"/>
        <v/>
      </c>
      <c r="H1931" s="54"/>
    </row>
    <row r="1932" spans="1:8" x14ac:dyDescent="0.35">
      <c r="A1932" s="51"/>
      <c r="B1932" s="51"/>
      <c r="C1932" s="51" t="str">
        <f>IFERROR(VLOOKUP(B1932,منتجات!$A$3:$C$350,2,0),"")</f>
        <v/>
      </c>
      <c r="D1932" s="51" t="str">
        <f>IFERROR(VLOOKUP(B1932,منتجات!$A$3:$C$350,3,0),"")</f>
        <v/>
      </c>
      <c r="E1932" s="51"/>
      <c r="F1932" s="51" t="str">
        <f>IFERROR(INDEX(منتجات!$G$3:$G$114,MATCH(B1932,منتجات!$A$3:$A$115,0)),"")</f>
        <v/>
      </c>
      <c r="G1932" s="51" t="str">
        <f t="shared" si="31"/>
        <v/>
      </c>
      <c r="H1932" s="53"/>
    </row>
    <row r="1933" spans="1:8" x14ac:dyDescent="0.35">
      <c r="A1933" s="49"/>
      <c r="B1933" s="49"/>
      <c r="C1933" s="51" t="str">
        <f>IFERROR(VLOOKUP(B1933,منتجات!$A$3:$C$350,2,0),"")</f>
        <v/>
      </c>
      <c r="D1933" s="49" t="str">
        <f>IFERROR(VLOOKUP(B1933,منتجات!$A$3:$C$350,3,0),"")</f>
        <v/>
      </c>
      <c r="E1933" s="49"/>
      <c r="F1933" s="49" t="str">
        <f>IFERROR(INDEX(منتجات!$G$3:$G$114,MATCH(B1933,منتجات!$A$3:$A$115,0)),"")</f>
        <v/>
      </c>
      <c r="G1933" s="51" t="str">
        <f t="shared" si="31"/>
        <v/>
      </c>
      <c r="H1933" s="54"/>
    </row>
    <row r="1934" spans="1:8" x14ac:dyDescent="0.35">
      <c r="A1934" s="51"/>
      <c r="B1934" s="51"/>
      <c r="C1934" s="51" t="str">
        <f>IFERROR(VLOOKUP(B1934,منتجات!$A$3:$C$350,2,0),"")</f>
        <v/>
      </c>
      <c r="D1934" s="51" t="str">
        <f>IFERROR(VLOOKUP(B1934,منتجات!$A$3:$C$350,3,0),"")</f>
        <v/>
      </c>
      <c r="E1934" s="51"/>
      <c r="F1934" s="51" t="str">
        <f>IFERROR(INDEX(منتجات!$G$3:$G$114,MATCH(B1934,منتجات!$A$3:$A$115,0)),"")</f>
        <v/>
      </c>
      <c r="G1934" s="51" t="str">
        <f t="shared" ref="G1934:G1997" si="32">IFERROR(E1934*F1934*D1934,"")</f>
        <v/>
      </c>
      <c r="H1934" s="53"/>
    </row>
    <row r="1935" spans="1:8" x14ac:dyDescent="0.35">
      <c r="A1935" s="49"/>
      <c r="B1935" s="49"/>
      <c r="C1935" s="51" t="str">
        <f>IFERROR(VLOOKUP(B1935,منتجات!$A$3:$C$350,2,0),"")</f>
        <v/>
      </c>
      <c r="D1935" s="49" t="str">
        <f>IFERROR(VLOOKUP(B1935,منتجات!$A$3:$C$350,3,0),"")</f>
        <v/>
      </c>
      <c r="E1935" s="49"/>
      <c r="F1935" s="49" t="str">
        <f>IFERROR(INDEX(منتجات!$G$3:$G$114,MATCH(B1935,منتجات!$A$3:$A$115,0)),"")</f>
        <v/>
      </c>
      <c r="G1935" s="51" t="str">
        <f t="shared" si="32"/>
        <v/>
      </c>
      <c r="H1935" s="54"/>
    </row>
    <row r="1936" spans="1:8" x14ac:dyDescent="0.35">
      <c r="A1936" s="51"/>
      <c r="B1936" s="51"/>
      <c r="C1936" s="51" t="str">
        <f>IFERROR(VLOOKUP(B1936,منتجات!$A$3:$C$350,2,0),"")</f>
        <v/>
      </c>
      <c r="D1936" s="51" t="str">
        <f>IFERROR(VLOOKUP(B1936,منتجات!$A$3:$C$350,3,0),"")</f>
        <v/>
      </c>
      <c r="E1936" s="51"/>
      <c r="F1936" s="51" t="str">
        <f>IFERROR(INDEX(منتجات!$G$3:$G$114,MATCH(B1936,منتجات!$A$3:$A$115,0)),"")</f>
        <v/>
      </c>
      <c r="G1936" s="51" t="str">
        <f t="shared" si="32"/>
        <v/>
      </c>
      <c r="H1936" s="53"/>
    </row>
    <row r="1937" spans="1:8" x14ac:dyDescent="0.35">
      <c r="A1937" s="49"/>
      <c r="B1937" s="49"/>
      <c r="C1937" s="51" t="str">
        <f>IFERROR(VLOOKUP(B1937,منتجات!$A$3:$C$350,2,0),"")</f>
        <v/>
      </c>
      <c r="D1937" s="49" t="str">
        <f>IFERROR(VLOOKUP(B1937,منتجات!$A$3:$C$350,3,0),"")</f>
        <v/>
      </c>
      <c r="E1937" s="49"/>
      <c r="F1937" s="49" t="str">
        <f>IFERROR(INDEX(منتجات!$G$3:$G$114,MATCH(B1937,منتجات!$A$3:$A$115,0)),"")</f>
        <v/>
      </c>
      <c r="G1937" s="51" t="str">
        <f t="shared" si="32"/>
        <v/>
      </c>
      <c r="H1937" s="54"/>
    </row>
    <row r="1938" spans="1:8" x14ac:dyDescent="0.35">
      <c r="A1938" s="51"/>
      <c r="B1938" s="51"/>
      <c r="C1938" s="51" t="str">
        <f>IFERROR(VLOOKUP(B1938,منتجات!$A$3:$C$350,2,0),"")</f>
        <v/>
      </c>
      <c r="D1938" s="51" t="str">
        <f>IFERROR(VLOOKUP(B1938,منتجات!$A$3:$C$350,3,0),"")</f>
        <v/>
      </c>
      <c r="E1938" s="51"/>
      <c r="F1938" s="51" t="str">
        <f>IFERROR(INDEX(منتجات!$G$3:$G$114,MATCH(B1938,منتجات!$A$3:$A$115,0)),"")</f>
        <v/>
      </c>
      <c r="G1938" s="51" t="str">
        <f t="shared" si="32"/>
        <v/>
      </c>
      <c r="H1938" s="53"/>
    </row>
    <row r="1939" spans="1:8" x14ac:dyDescent="0.35">
      <c r="A1939" s="49"/>
      <c r="B1939" s="49"/>
      <c r="C1939" s="51" t="str">
        <f>IFERROR(VLOOKUP(B1939,منتجات!$A$3:$C$350,2,0),"")</f>
        <v/>
      </c>
      <c r="D1939" s="49" t="str">
        <f>IFERROR(VLOOKUP(B1939,منتجات!$A$3:$C$350,3,0),"")</f>
        <v/>
      </c>
      <c r="E1939" s="49"/>
      <c r="F1939" s="49" t="str">
        <f>IFERROR(INDEX(منتجات!$G$3:$G$114,MATCH(B1939,منتجات!$A$3:$A$115,0)),"")</f>
        <v/>
      </c>
      <c r="G1939" s="51" t="str">
        <f t="shared" si="32"/>
        <v/>
      </c>
      <c r="H1939" s="54"/>
    </row>
    <row r="1940" spans="1:8" x14ac:dyDescent="0.35">
      <c r="A1940" s="51"/>
      <c r="B1940" s="51"/>
      <c r="C1940" s="51" t="str">
        <f>IFERROR(VLOOKUP(B1940,منتجات!$A$3:$C$350,2,0),"")</f>
        <v/>
      </c>
      <c r="D1940" s="51" t="str">
        <f>IFERROR(VLOOKUP(B1940,منتجات!$A$3:$C$350,3,0),"")</f>
        <v/>
      </c>
      <c r="E1940" s="51"/>
      <c r="F1940" s="51" t="str">
        <f>IFERROR(INDEX(منتجات!$G$3:$G$114,MATCH(B1940,منتجات!$A$3:$A$115,0)),"")</f>
        <v/>
      </c>
      <c r="G1940" s="51" t="str">
        <f t="shared" si="32"/>
        <v/>
      </c>
      <c r="H1940" s="53"/>
    </row>
    <row r="1941" spans="1:8" x14ac:dyDescent="0.35">
      <c r="A1941" s="49"/>
      <c r="B1941" s="49"/>
      <c r="C1941" s="51" t="str">
        <f>IFERROR(VLOOKUP(B1941,منتجات!$A$3:$C$350,2,0),"")</f>
        <v/>
      </c>
      <c r="D1941" s="49" t="str">
        <f>IFERROR(VLOOKUP(B1941,منتجات!$A$3:$C$350,3,0),"")</f>
        <v/>
      </c>
      <c r="E1941" s="49"/>
      <c r="F1941" s="49" t="str">
        <f>IFERROR(INDEX(منتجات!$G$3:$G$114,MATCH(B1941,منتجات!$A$3:$A$115,0)),"")</f>
        <v/>
      </c>
      <c r="G1941" s="51" t="str">
        <f t="shared" si="32"/>
        <v/>
      </c>
      <c r="H1941" s="54"/>
    </row>
    <row r="1942" spans="1:8" x14ac:dyDescent="0.35">
      <c r="A1942" s="51"/>
      <c r="B1942" s="51"/>
      <c r="C1942" s="51" t="str">
        <f>IFERROR(VLOOKUP(B1942,منتجات!$A$3:$C$350,2,0),"")</f>
        <v/>
      </c>
      <c r="D1942" s="51" t="str">
        <f>IFERROR(VLOOKUP(B1942,منتجات!$A$3:$C$350,3,0),"")</f>
        <v/>
      </c>
      <c r="E1942" s="51"/>
      <c r="F1942" s="51" t="str">
        <f>IFERROR(INDEX(منتجات!$G$3:$G$114,MATCH(B1942,منتجات!$A$3:$A$115,0)),"")</f>
        <v/>
      </c>
      <c r="G1942" s="51" t="str">
        <f t="shared" si="32"/>
        <v/>
      </c>
      <c r="H1942" s="53"/>
    </row>
    <row r="1943" spans="1:8" x14ac:dyDescent="0.35">
      <c r="A1943" s="49"/>
      <c r="B1943" s="49"/>
      <c r="C1943" s="51" t="str">
        <f>IFERROR(VLOOKUP(B1943,منتجات!$A$3:$C$350,2,0),"")</f>
        <v/>
      </c>
      <c r="D1943" s="49" t="str">
        <f>IFERROR(VLOOKUP(B1943,منتجات!$A$3:$C$350,3,0),"")</f>
        <v/>
      </c>
      <c r="E1943" s="49"/>
      <c r="F1943" s="49" t="str">
        <f>IFERROR(INDEX(منتجات!$G$3:$G$114,MATCH(B1943,منتجات!$A$3:$A$115,0)),"")</f>
        <v/>
      </c>
      <c r="G1943" s="51" t="str">
        <f t="shared" si="32"/>
        <v/>
      </c>
      <c r="H1943" s="54"/>
    </row>
    <row r="1944" spans="1:8" x14ac:dyDescent="0.35">
      <c r="A1944" s="51"/>
      <c r="B1944" s="51"/>
      <c r="C1944" s="51" t="str">
        <f>IFERROR(VLOOKUP(B1944,منتجات!$A$3:$C$350,2,0),"")</f>
        <v/>
      </c>
      <c r="D1944" s="51" t="str">
        <f>IFERROR(VLOOKUP(B1944,منتجات!$A$3:$C$350,3,0),"")</f>
        <v/>
      </c>
      <c r="E1944" s="51"/>
      <c r="F1944" s="51" t="str">
        <f>IFERROR(INDEX(منتجات!$G$3:$G$114,MATCH(B1944,منتجات!$A$3:$A$115,0)),"")</f>
        <v/>
      </c>
      <c r="G1944" s="51" t="str">
        <f t="shared" si="32"/>
        <v/>
      </c>
      <c r="H1944" s="53"/>
    </row>
    <row r="1945" spans="1:8" x14ac:dyDescent="0.35">
      <c r="A1945" s="49"/>
      <c r="B1945" s="49"/>
      <c r="C1945" s="51" t="str">
        <f>IFERROR(VLOOKUP(B1945,منتجات!$A$3:$C$350,2,0),"")</f>
        <v/>
      </c>
      <c r="D1945" s="49" t="str">
        <f>IFERROR(VLOOKUP(B1945,منتجات!$A$3:$C$350,3,0),"")</f>
        <v/>
      </c>
      <c r="E1945" s="49"/>
      <c r="F1945" s="49" t="str">
        <f>IFERROR(INDEX(منتجات!$G$3:$G$114,MATCH(B1945,منتجات!$A$3:$A$115,0)),"")</f>
        <v/>
      </c>
      <c r="G1945" s="51" t="str">
        <f t="shared" si="32"/>
        <v/>
      </c>
      <c r="H1945" s="54"/>
    </row>
    <row r="1946" spans="1:8" x14ac:dyDescent="0.35">
      <c r="A1946" s="51"/>
      <c r="B1946" s="51"/>
      <c r="C1946" s="51" t="str">
        <f>IFERROR(VLOOKUP(B1946,منتجات!$A$3:$C$350,2,0),"")</f>
        <v/>
      </c>
      <c r="D1946" s="51" t="str">
        <f>IFERROR(VLOOKUP(B1946,منتجات!$A$3:$C$350,3,0),"")</f>
        <v/>
      </c>
      <c r="E1946" s="51"/>
      <c r="F1946" s="51" t="str">
        <f>IFERROR(INDEX(منتجات!$G$3:$G$114,MATCH(B1946,منتجات!$A$3:$A$115,0)),"")</f>
        <v/>
      </c>
      <c r="G1946" s="51" t="str">
        <f t="shared" si="32"/>
        <v/>
      </c>
      <c r="H1946" s="53"/>
    </row>
    <row r="1947" spans="1:8" x14ac:dyDescent="0.35">
      <c r="A1947" s="49"/>
      <c r="B1947" s="49"/>
      <c r="C1947" s="51" t="str">
        <f>IFERROR(VLOOKUP(B1947,منتجات!$A$3:$C$350,2,0),"")</f>
        <v/>
      </c>
      <c r="D1947" s="49" t="str">
        <f>IFERROR(VLOOKUP(B1947,منتجات!$A$3:$C$350,3,0),"")</f>
        <v/>
      </c>
      <c r="E1947" s="49"/>
      <c r="F1947" s="49" t="str">
        <f>IFERROR(INDEX(منتجات!$G$3:$G$114,MATCH(B1947,منتجات!$A$3:$A$115,0)),"")</f>
        <v/>
      </c>
      <c r="G1947" s="51" t="str">
        <f t="shared" si="32"/>
        <v/>
      </c>
      <c r="H1947" s="54"/>
    </row>
    <row r="1948" spans="1:8" x14ac:dyDescent="0.35">
      <c r="A1948" s="51"/>
      <c r="B1948" s="51"/>
      <c r="C1948" s="51" t="str">
        <f>IFERROR(VLOOKUP(B1948,منتجات!$A$3:$C$350,2,0),"")</f>
        <v/>
      </c>
      <c r="D1948" s="51" t="str">
        <f>IFERROR(VLOOKUP(B1948,منتجات!$A$3:$C$350,3,0),"")</f>
        <v/>
      </c>
      <c r="E1948" s="51"/>
      <c r="F1948" s="51" t="str">
        <f>IFERROR(INDEX(منتجات!$G$3:$G$114,MATCH(B1948,منتجات!$A$3:$A$115,0)),"")</f>
        <v/>
      </c>
      <c r="G1948" s="51" t="str">
        <f t="shared" si="32"/>
        <v/>
      </c>
      <c r="H1948" s="53"/>
    </row>
    <row r="1949" spans="1:8" x14ac:dyDescent="0.35">
      <c r="A1949" s="49"/>
      <c r="B1949" s="49"/>
      <c r="C1949" s="51" t="str">
        <f>IFERROR(VLOOKUP(B1949,منتجات!$A$3:$C$350,2,0),"")</f>
        <v/>
      </c>
      <c r="D1949" s="49" t="str">
        <f>IFERROR(VLOOKUP(B1949,منتجات!$A$3:$C$350,3,0),"")</f>
        <v/>
      </c>
      <c r="E1949" s="49"/>
      <c r="F1949" s="49" t="str">
        <f>IFERROR(INDEX(منتجات!$G$3:$G$114,MATCH(B1949,منتجات!$A$3:$A$115,0)),"")</f>
        <v/>
      </c>
      <c r="G1949" s="51" t="str">
        <f t="shared" si="32"/>
        <v/>
      </c>
      <c r="H1949" s="54"/>
    </row>
    <row r="1950" spans="1:8" x14ac:dyDescent="0.35">
      <c r="A1950" s="51"/>
      <c r="B1950" s="51"/>
      <c r="C1950" s="51" t="str">
        <f>IFERROR(VLOOKUP(B1950,منتجات!$A$3:$C$350,2,0),"")</f>
        <v/>
      </c>
      <c r="D1950" s="51" t="str">
        <f>IFERROR(VLOOKUP(B1950,منتجات!$A$3:$C$350,3,0),"")</f>
        <v/>
      </c>
      <c r="E1950" s="51"/>
      <c r="F1950" s="51" t="str">
        <f>IFERROR(INDEX(منتجات!$G$3:$G$114,MATCH(B1950,منتجات!$A$3:$A$115,0)),"")</f>
        <v/>
      </c>
      <c r="G1950" s="51" t="str">
        <f t="shared" si="32"/>
        <v/>
      </c>
      <c r="H1950" s="53"/>
    </row>
    <row r="1951" spans="1:8" x14ac:dyDescent="0.35">
      <c r="A1951" s="49"/>
      <c r="B1951" s="49"/>
      <c r="C1951" s="51" t="str">
        <f>IFERROR(VLOOKUP(B1951,منتجات!$A$3:$C$350,2,0),"")</f>
        <v/>
      </c>
      <c r="D1951" s="49" t="str">
        <f>IFERROR(VLOOKUP(B1951,منتجات!$A$3:$C$350,3,0),"")</f>
        <v/>
      </c>
      <c r="E1951" s="49"/>
      <c r="F1951" s="49" t="str">
        <f>IFERROR(INDEX(منتجات!$G$3:$G$114,MATCH(B1951,منتجات!$A$3:$A$115,0)),"")</f>
        <v/>
      </c>
      <c r="G1951" s="51" t="str">
        <f t="shared" si="32"/>
        <v/>
      </c>
      <c r="H1951" s="54"/>
    </row>
    <row r="1952" spans="1:8" x14ac:dyDescent="0.35">
      <c r="A1952" s="51"/>
      <c r="B1952" s="51"/>
      <c r="C1952" s="51" t="str">
        <f>IFERROR(VLOOKUP(B1952,منتجات!$A$3:$C$350,2,0),"")</f>
        <v/>
      </c>
      <c r="D1952" s="51" t="str">
        <f>IFERROR(VLOOKUP(B1952,منتجات!$A$3:$C$350,3,0),"")</f>
        <v/>
      </c>
      <c r="E1952" s="51"/>
      <c r="F1952" s="51" t="str">
        <f>IFERROR(INDEX(منتجات!$G$3:$G$114,MATCH(B1952,منتجات!$A$3:$A$115,0)),"")</f>
        <v/>
      </c>
      <c r="G1952" s="51" t="str">
        <f t="shared" si="32"/>
        <v/>
      </c>
      <c r="H1952" s="53"/>
    </row>
    <row r="1953" spans="1:8" x14ac:dyDescent="0.35">
      <c r="A1953" s="49"/>
      <c r="B1953" s="49"/>
      <c r="C1953" s="51" t="str">
        <f>IFERROR(VLOOKUP(B1953,منتجات!$A$3:$C$350,2,0),"")</f>
        <v/>
      </c>
      <c r="D1953" s="49" t="str">
        <f>IFERROR(VLOOKUP(B1953,منتجات!$A$3:$C$350,3,0),"")</f>
        <v/>
      </c>
      <c r="E1953" s="49"/>
      <c r="F1953" s="49" t="str">
        <f>IFERROR(INDEX(منتجات!$G$3:$G$114,MATCH(B1953,منتجات!$A$3:$A$115,0)),"")</f>
        <v/>
      </c>
      <c r="G1953" s="51" t="str">
        <f t="shared" si="32"/>
        <v/>
      </c>
      <c r="H1953" s="54"/>
    </row>
    <row r="1954" spans="1:8" x14ac:dyDescent="0.35">
      <c r="A1954" s="51"/>
      <c r="B1954" s="51"/>
      <c r="C1954" s="51" t="str">
        <f>IFERROR(VLOOKUP(B1954,منتجات!$A$3:$C$350,2,0),"")</f>
        <v/>
      </c>
      <c r="D1954" s="51" t="str">
        <f>IFERROR(VLOOKUP(B1954,منتجات!$A$3:$C$350,3,0),"")</f>
        <v/>
      </c>
      <c r="E1954" s="51"/>
      <c r="F1954" s="51" t="str">
        <f>IFERROR(INDEX(منتجات!$G$3:$G$114,MATCH(B1954,منتجات!$A$3:$A$115,0)),"")</f>
        <v/>
      </c>
      <c r="G1954" s="51" t="str">
        <f t="shared" si="32"/>
        <v/>
      </c>
      <c r="H1954" s="53"/>
    </row>
    <row r="1955" spans="1:8" x14ac:dyDescent="0.35">
      <c r="A1955" s="49"/>
      <c r="B1955" s="49"/>
      <c r="C1955" s="51" t="str">
        <f>IFERROR(VLOOKUP(B1955,منتجات!$A$3:$C$350,2,0),"")</f>
        <v/>
      </c>
      <c r="D1955" s="49" t="str">
        <f>IFERROR(VLOOKUP(B1955,منتجات!$A$3:$C$350,3,0),"")</f>
        <v/>
      </c>
      <c r="E1955" s="49"/>
      <c r="F1955" s="49" t="str">
        <f>IFERROR(INDEX(منتجات!$G$3:$G$114,MATCH(B1955,منتجات!$A$3:$A$115,0)),"")</f>
        <v/>
      </c>
      <c r="G1955" s="51" t="str">
        <f t="shared" si="32"/>
        <v/>
      </c>
      <c r="H1955" s="54"/>
    </row>
    <row r="1956" spans="1:8" x14ac:dyDescent="0.35">
      <c r="A1956" s="51"/>
      <c r="B1956" s="51"/>
      <c r="C1956" s="51" t="str">
        <f>IFERROR(VLOOKUP(B1956,منتجات!$A$3:$C$350,2,0),"")</f>
        <v/>
      </c>
      <c r="D1956" s="51" t="str">
        <f>IFERROR(VLOOKUP(B1956,منتجات!$A$3:$C$350,3,0),"")</f>
        <v/>
      </c>
      <c r="E1956" s="51"/>
      <c r="F1956" s="51" t="str">
        <f>IFERROR(INDEX(منتجات!$G$3:$G$114,MATCH(B1956,منتجات!$A$3:$A$115,0)),"")</f>
        <v/>
      </c>
      <c r="G1956" s="51" t="str">
        <f t="shared" si="32"/>
        <v/>
      </c>
      <c r="H1956" s="53"/>
    </row>
    <row r="1957" spans="1:8" x14ac:dyDescent="0.35">
      <c r="A1957" s="49"/>
      <c r="B1957" s="49"/>
      <c r="C1957" s="51" t="str">
        <f>IFERROR(VLOOKUP(B1957,منتجات!$A$3:$C$350,2,0),"")</f>
        <v/>
      </c>
      <c r="D1957" s="49" t="str">
        <f>IFERROR(VLOOKUP(B1957,منتجات!$A$3:$C$350,3,0),"")</f>
        <v/>
      </c>
      <c r="E1957" s="49"/>
      <c r="F1957" s="49" t="str">
        <f>IFERROR(INDEX(منتجات!$G$3:$G$114,MATCH(B1957,منتجات!$A$3:$A$115,0)),"")</f>
        <v/>
      </c>
      <c r="G1957" s="51" t="str">
        <f t="shared" si="32"/>
        <v/>
      </c>
      <c r="H1957" s="54"/>
    </row>
    <row r="1958" spans="1:8" x14ac:dyDescent="0.35">
      <c r="A1958" s="51"/>
      <c r="B1958" s="51"/>
      <c r="C1958" s="51" t="str">
        <f>IFERROR(VLOOKUP(B1958,منتجات!$A$3:$C$350,2,0),"")</f>
        <v/>
      </c>
      <c r="D1958" s="51" t="str">
        <f>IFERROR(VLOOKUP(B1958,منتجات!$A$3:$C$350,3,0),"")</f>
        <v/>
      </c>
      <c r="E1958" s="51"/>
      <c r="F1958" s="51" t="str">
        <f>IFERROR(INDEX(منتجات!$G$3:$G$114,MATCH(B1958,منتجات!$A$3:$A$115,0)),"")</f>
        <v/>
      </c>
      <c r="G1958" s="51" t="str">
        <f t="shared" si="32"/>
        <v/>
      </c>
      <c r="H1958" s="53"/>
    </row>
    <row r="1959" spans="1:8" x14ac:dyDescent="0.35">
      <c r="A1959" s="49"/>
      <c r="B1959" s="49"/>
      <c r="C1959" s="51" t="str">
        <f>IFERROR(VLOOKUP(B1959,منتجات!$A$3:$C$350,2,0),"")</f>
        <v/>
      </c>
      <c r="D1959" s="49" t="str">
        <f>IFERROR(VLOOKUP(B1959,منتجات!$A$3:$C$350,3,0),"")</f>
        <v/>
      </c>
      <c r="E1959" s="49"/>
      <c r="F1959" s="49" t="str">
        <f>IFERROR(INDEX(منتجات!$G$3:$G$114,MATCH(B1959,منتجات!$A$3:$A$115,0)),"")</f>
        <v/>
      </c>
      <c r="G1959" s="51" t="str">
        <f t="shared" si="32"/>
        <v/>
      </c>
      <c r="H1959" s="54"/>
    </row>
    <row r="1960" spans="1:8" x14ac:dyDescent="0.35">
      <c r="A1960" s="51"/>
      <c r="B1960" s="51"/>
      <c r="C1960" s="51" t="str">
        <f>IFERROR(VLOOKUP(B1960,منتجات!$A$3:$C$350,2,0),"")</f>
        <v/>
      </c>
      <c r="D1960" s="51" t="str">
        <f>IFERROR(VLOOKUP(B1960,منتجات!$A$3:$C$350,3,0),"")</f>
        <v/>
      </c>
      <c r="E1960" s="51"/>
      <c r="F1960" s="51" t="str">
        <f>IFERROR(INDEX(منتجات!$G$3:$G$114,MATCH(B1960,منتجات!$A$3:$A$115,0)),"")</f>
        <v/>
      </c>
      <c r="G1960" s="51" t="str">
        <f t="shared" si="32"/>
        <v/>
      </c>
      <c r="H1960" s="53"/>
    </row>
    <row r="1961" spans="1:8" x14ac:dyDescent="0.35">
      <c r="A1961" s="49"/>
      <c r="B1961" s="49"/>
      <c r="C1961" s="51" t="str">
        <f>IFERROR(VLOOKUP(B1961,منتجات!$A$3:$C$350,2,0),"")</f>
        <v/>
      </c>
      <c r="D1961" s="49" t="str">
        <f>IFERROR(VLOOKUP(B1961,منتجات!$A$3:$C$350,3,0),"")</f>
        <v/>
      </c>
      <c r="E1961" s="49"/>
      <c r="F1961" s="49" t="str">
        <f>IFERROR(INDEX(منتجات!$G$3:$G$114,MATCH(B1961,منتجات!$A$3:$A$115,0)),"")</f>
        <v/>
      </c>
      <c r="G1961" s="51" t="str">
        <f t="shared" si="32"/>
        <v/>
      </c>
      <c r="H1961" s="54"/>
    </row>
    <row r="1962" spans="1:8" x14ac:dyDescent="0.35">
      <c r="A1962" s="51"/>
      <c r="B1962" s="51"/>
      <c r="C1962" s="51" t="str">
        <f>IFERROR(VLOOKUP(B1962,منتجات!$A$3:$C$350,2,0),"")</f>
        <v/>
      </c>
      <c r="D1962" s="51" t="str">
        <f>IFERROR(VLOOKUP(B1962,منتجات!$A$3:$C$350,3,0),"")</f>
        <v/>
      </c>
      <c r="E1962" s="51"/>
      <c r="F1962" s="51" t="str">
        <f>IFERROR(INDEX(منتجات!$G$3:$G$114,MATCH(B1962,منتجات!$A$3:$A$115,0)),"")</f>
        <v/>
      </c>
      <c r="G1962" s="51" t="str">
        <f t="shared" si="32"/>
        <v/>
      </c>
      <c r="H1962" s="53"/>
    </row>
    <row r="1963" spans="1:8" x14ac:dyDescent="0.35">
      <c r="A1963" s="49"/>
      <c r="B1963" s="49"/>
      <c r="C1963" s="51" t="str">
        <f>IFERROR(VLOOKUP(B1963,منتجات!$A$3:$C$350,2,0),"")</f>
        <v/>
      </c>
      <c r="D1963" s="49" t="str">
        <f>IFERROR(VLOOKUP(B1963,منتجات!$A$3:$C$350,3,0),"")</f>
        <v/>
      </c>
      <c r="E1963" s="49"/>
      <c r="F1963" s="49" t="str">
        <f>IFERROR(INDEX(منتجات!$G$3:$G$114,MATCH(B1963,منتجات!$A$3:$A$115,0)),"")</f>
        <v/>
      </c>
      <c r="G1963" s="51" t="str">
        <f t="shared" si="32"/>
        <v/>
      </c>
      <c r="H1963" s="54"/>
    </row>
    <row r="1964" spans="1:8" x14ac:dyDescent="0.35">
      <c r="A1964" s="51"/>
      <c r="B1964" s="51"/>
      <c r="C1964" s="51" t="str">
        <f>IFERROR(VLOOKUP(B1964,منتجات!$A$3:$C$350,2,0),"")</f>
        <v/>
      </c>
      <c r="D1964" s="51" t="str">
        <f>IFERROR(VLOOKUP(B1964,منتجات!$A$3:$C$350,3,0),"")</f>
        <v/>
      </c>
      <c r="E1964" s="51"/>
      <c r="F1964" s="51" t="str">
        <f>IFERROR(INDEX(منتجات!$G$3:$G$114,MATCH(B1964,منتجات!$A$3:$A$115,0)),"")</f>
        <v/>
      </c>
      <c r="G1964" s="51" t="str">
        <f t="shared" si="32"/>
        <v/>
      </c>
      <c r="H1964" s="53"/>
    </row>
    <row r="1965" spans="1:8" x14ac:dyDescent="0.35">
      <c r="A1965" s="49"/>
      <c r="B1965" s="49"/>
      <c r="C1965" s="51" t="str">
        <f>IFERROR(VLOOKUP(B1965,منتجات!$A$3:$C$350,2,0),"")</f>
        <v/>
      </c>
      <c r="D1965" s="49" t="str">
        <f>IFERROR(VLOOKUP(B1965,منتجات!$A$3:$C$350,3,0),"")</f>
        <v/>
      </c>
      <c r="E1965" s="49"/>
      <c r="F1965" s="49" t="str">
        <f>IFERROR(INDEX(منتجات!$G$3:$G$114,MATCH(B1965,منتجات!$A$3:$A$115,0)),"")</f>
        <v/>
      </c>
      <c r="G1965" s="51" t="str">
        <f t="shared" si="32"/>
        <v/>
      </c>
      <c r="H1965" s="54"/>
    </row>
    <row r="1966" spans="1:8" x14ac:dyDescent="0.35">
      <c r="A1966" s="51"/>
      <c r="B1966" s="51"/>
      <c r="C1966" s="51" t="str">
        <f>IFERROR(VLOOKUP(B1966,منتجات!$A$3:$C$350,2,0),"")</f>
        <v/>
      </c>
      <c r="D1966" s="51" t="str">
        <f>IFERROR(VLOOKUP(B1966,منتجات!$A$3:$C$350,3,0),"")</f>
        <v/>
      </c>
      <c r="E1966" s="51"/>
      <c r="F1966" s="51" t="str">
        <f>IFERROR(INDEX(منتجات!$G$3:$G$114,MATCH(B1966,منتجات!$A$3:$A$115,0)),"")</f>
        <v/>
      </c>
      <c r="G1966" s="51" t="str">
        <f t="shared" si="32"/>
        <v/>
      </c>
      <c r="H1966" s="53"/>
    </row>
    <row r="1967" spans="1:8" x14ac:dyDescent="0.35">
      <c r="A1967" s="49"/>
      <c r="B1967" s="49"/>
      <c r="C1967" s="51" t="str">
        <f>IFERROR(VLOOKUP(B1967,منتجات!$A$3:$C$350,2,0),"")</f>
        <v/>
      </c>
      <c r="D1967" s="49" t="str">
        <f>IFERROR(VLOOKUP(B1967,منتجات!$A$3:$C$350,3,0),"")</f>
        <v/>
      </c>
      <c r="E1967" s="49"/>
      <c r="F1967" s="49" t="str">
        <f>IFERROR(INDEX(منتجات!$G$3:$G$114,MATCH(B1967,منتجات!$A$3:$A$115,0)),"")</f>
        <v/>
      </c>
      <c r="G1967" s="51" t="str">
        <f t="shared" si="32"/>
        <v/>
      </c>
      <c r="H1967" s="54"/>
    </row>
    <row r="1968" spans="1:8" x14ac:dyDescent="0.35">
      <c r="A1968" s="51"/>
      <c r="B1968" s="51"/>
      <c r="C1968" s="51" t="str">
        <f>IFERROR(VLOOKUP(B1968,منتجات!$A$3:$C$350,2,0),"")</f>
        <v/>
      </c>
      <c r="D1968" s="51" t="str">
        <f>IFERROR(VLOOKUP(B1968,منتجات!$A$3:$C$350,3,0),"")</f>
        <v/>
      </c>
      <c r="E1968" s="51"/>
      <c r="F1968" s="51" t="str">
        <f>IFERROR(INDEX(منتجات!$G$3:$G$114,MATCH(B1968,منتجات!$A$3:$A$115,0)),"")</f>
        <v/>
      </c>
      <c r="G1968" s="51" t="str">
        <f t="shared" si="32"/>
        <v/>
      </c>
      <c r="H1968" s="53"/>
    </row>
    <row r="1969" spans="1:8" x14ac:dyDescent="0.35">
      <c r="A1969" s="49"/>
      <c r="B1969" s="49"/>
      <c r="C1969" s="51" t="str">
        <f>IFERROR(VLOOKUP(B1969,منتجات!$A$3:$C$350,2,0),"")</f>
        <v/>
      </c>
      <c r="D1969" s="49" t="str">
        <f>IFERROR(VLOOKUP(B1969,منتجات!$A$3:$C$350,3,0),"")</f>
        <v/>
      </c>
      <c r="E1969" s="49"/>
      <c r="F1969" s="49" t="str">
        <f>IFERROR(INDEX(منتجات!$G$3:$G$114,MATCH(B1969,منتجات!$A$3:$A$115,0)),"")</f>
        <v/>
      </c>
      <c r="G1969" s="51" t="str">
        <f t="shared" si="32"/>
        <v/>
      </c>
      <c r="H1969" s="54"/>
    </row>
    <row r="1970" spans="1:8" x14ac:dyDescent="0.35">
      <c r="A1970" s="51"/>
      <c r="B1970" s="51"/>
      <c r="C1970" s="51" t="str">
        <f>IFERROR(VLOOKUP(B1970,منتجات!$A$3:$C$350,2,0),"")</f>
        <v/>
      </c>
      <c r="D1970" s="51" t="str">
        <f>IFERROR(VLOOKUP(B1970,منتجات!$A$3:$C$350,3,0),"")</f>
        <v/>
      </c>
      <c r="E1970" s="51"/>
      <c r="F1970" s="51" t="str">
        <f>IFERROR(INDEX(منتجات!$G$3:$G$114,MATCH(B1970,منتجات!$A$3:$A$115,0)),"")</f>
        <v/>
      </c>
      <c r="G1970" s="51" t="str">
        <f t="shared" si="32"/>
        <v/>
      </c>
      <c r="H1970" s="53"/>
    </row>
    <row r="1971" spans="1:8" x14ac:dyDescent="0.35">
      <c r="A1971" s="49"/>
      <c r="B1971" s="49"/>
      <c r="C1971" s="51" t="str">
        <f>IFERROR(VLOOKUP(B1971,منتجات!$A$3:$C$350,2,0),"")</f>
        <v/>
      </c>
      <c r="D1971" s="49" t="str">
        <f>IFERROR(VLOOKUP(B1971,منتجات!$A$3:$C$350,3,0),"")</f>
        <v/>
      </c>
      <c r="E1971" s="49"/>
      <c r="F1971" s="49" t="str">
        <f>IFERROR(INDEX(منتجات!$G$3:$G$114,MATCH(B1971,منتجات!$A$3:$A$115,0)),"")</f>
        <v/>
      </c>
      <c r="G1971" s="51" t="str">
        <f t="shared" si="32"/>
        <v/>
      </c>
      <c r="H1971" s="54"/>
    </row>
    <row r="1972" spans="1:8" x14ac:dyDescent="0.35">
      <c r="A1972" s="51"/>
      <c r="B1972" s="51"/>
      <c r="C1972" s="51" t="str">
        <f>IFERROR(VLOOKUP(B1972,منتجات!$A$3:$C$350,2,0),"")</f>
        <v/>
      </c>
      <c r="D1972" s="51" t="str">
        <f>IFERROR(VLOOKUP(B1972,منتجات!$A$3:$C$350,3,0),"")</f>
        <v/>
      </c>
      <c r="E1972" s="51"/>
      <c r="F1972" s="51" t="str">
        <f>IFERROR(INDEX(منتجات!$G$3:$G$114,MATCH(B1972,منتجات!$A$3:$A$115,0)),"")</f>
        <v/>
      </c>
      <c r="G1972" s="51" t="str">
        <f t="shared" si="32"/>
        <v/>
      </c>
      <c r="H1972" s="53"/>
    </row>
    <row r="1973" spans="1:8" x14ac:dyDescent="0.35">
      <c r="A1973" s="49"/>
      <c r="B1973" s="49"/>
      <c r="C1973" s="51" t="str">
        <f>IFERROR(VLOOKUP(B1973,منتجات!$A$3:$C$350,2,0),"")</f>
        <v/>
      </c>
      <c r="D1973" s="49" t="str">
        <f>IFERROR(VLOOKUP(B1973,منتجات!$A$3:$C$350,3,0),"")</f>
        <v/>
      </c>
      <c r="E1973" s="49"/>
      <c r="F1973" s="49" t="str">
        <f>IFERROR(INDEX(منتجات!$G$3:$G$114,MATCH(B1973,منتجات!$A$3:$A$115,0)),"")</f>
        <v/>
      </c>
      <c r="G1973" s="51" t="str">
        <f t="shared" si="32"/>
        <v/>
      </c>
      <c r="H1973" s="54"/>
    </row>
    <row r="1974" spans="1:8" x14ac:dyDescent="0.35">
      <c r="A1974" s="51"/>
      <c r="B1974" s="51"/>
      <c r="C1974" s="51" t="str">
        <f>IFERROR(VLOOKUP(B1974,منتجات!$A$3:$C$350,2,0),"")</f>
        <v/>
      </c>
      <c r="D1974" s="51" t="str">
        <f>IFERROR(VLOOKUP(B1974,منتجات!$A$3:$C$350,3,0),"")</f>
        <v/>
      </c>
      <c r="E1974" s="51"/>
      <c r="F1974" s="51" t="str">
        <f>IFERROR(INDEX(منتجات!$G$3:$G$114,MATCH(B1974,منتجات!$A$3:$A$115,0)),"")</f>
        <v/>
      </c>
      <c r="G1974" s="51" t="str">
        <f t="shared" si="32"/>
        <v/>
      </c>
      <c r="H1974" s="53"/>
    </row>
    <row r="1975" spans="1:8" x14ac:dyDescent="0.35">
      <c r="A1975" s="49"/>
      <c r="B1975" s="49"/>
      <c r="C1975" s="51" t="str">
        <f>IFERROR(VLOOKUP(B1975,منتجات!$A$3:$C$350,2,0),"")</f>
        <v/>
      </c>
      <c r="D1975" s="49" t="str">
        <f>IFERROR(VLOOKUP(B1975,منتجات!$A$3:$C$350,3,0),"")</f>
        <v/>
      </c>
      <c r="E1975" s="49"/>
      <c r="F1975" s="49" t="str">
        <f>IFERROR(INDEX(منتجات!$G$3:$G$114,MATCH(B1975,منتجات!$A$3:$A$115,0)),"")</f>
        <v/>
      </c>
      <c r="G1975" s="51" t="str">
        <f t="shared" si="32"/>
        <v/>
      </c>
      <c r="H1975" s="54"/>
    </row>
    <row r="1976" spans="1:8" x14ac:dyDescent="0.35">
      <c r="A1976" s="51"/>
      <c r="B1976" s="51"/>
      <c r="C1976" s="51" t="str">
        <f>IFERROR(VLOOKUP(B1976,منتجات!$A$3:$C$350,2,0),"")</f>
        <v/>
      </c>
      <c r="D1976" s="51" t="str">
        <f>IFERROR(VLOOKUP(B1976,منتجات!$A$3:$C$350,3,0),"")</f>
        <v/>
      </c>
      <c r="E1976" s="51"/>
      <c r="F1976" s="51" t="str">
        <f>IFERROR(INDEX(منتجات!$G$3:$G$114,MATCH(B1976,منتجات!$A$3:$A$115,0)),"")</f>
        <v/>
      </c>
      <c r="G1976" s="51" t="str">
        <f t="shared" si="32"/>
        <v/>
      </c>
      <c r="H1976" s="53"/>
    </row>
    <row r="1977" spans="1:8" x14ac:dyDescent="0.35">
      <c r="A1977" s="49"/>
      <c r="B1977" s="49"/>
      <c r="C1977" s="51" t="str">
        <f>IFERROR(VLOOKUP(B1977,منتجات!$A$3:$C$350,2,0),"")</f>
        <v/>
      </c>
      <c r="D1977" s="49" t="str">
        <f>IFERROR(VLOOKUP(B1977,منتجات!$A$3:$C$350,3,0),"")</f>
        <v/>
      </c>
      <c r="E1977" s="49"/>
      <c r="F1977" s="49" t="str">
        <f>IFERROR(INDEX(منتجات!$G$3:$G$114,MATCH(B1977,منتجات!$A$3:$A$115,0)),"")</f>
        <v/>
      </c>
      <c r="G1977" s="51" t="str">
        <f t="shared" si="32"/>
        <v/>
      </c>
      <c r="H1977" s="54"/>
    </row>
    <row r="1978" spans="1:8" x14ac:dyDescent="0.35">
      <c r="A1978" s="51"/>
      <c r="B1978" s="51"/>
      <c r="C1978" s="51" t="str">
        <f>IFERROR(VLOOKUP(B1978,منتجات!$A$3:$C$350,2,0),"")</f>
        <v/>
      </c>
      <c r="D1978" s="51" t="str">
        <f>IFERROR(VLOOKUP(B1978,منتجات!$A$3:$C$350,3,0),"")</f>
        <v/>
      </c>
      <c r="E1978" s="51"/>
      <c r="F1978" s="51" t="str">
        <f>IFERROR(INDEX(منتجات!$G$3:$G$114,MATCH(B1978,منتجات!$A$3:$A$115,0)),"")</f>
        <v/>
      </c>
      <c r="G1978" s="51" t="str">
        <f t="shared" si="32"/>
        <v/>
      </c>
      <c r="H1978" s="53"/>
    </row>
    <row r="1979" spans="1:8" x14ac:dyDescent="0.35">
      <c r="A1979" s="49"/>
      <c r="B1979" s="49"/>
      <c r="C1979" s="51" t="str">
        <f>IFERROR(VLOOKUP(B1979,منتجات!$A$3:$C$350,2,0),"")</f>
        <v/>
      </c>
      <c r="D1979" s="49" t="str">
        <f>IFERROR(VLOOKUP(B1979,منتجات!$A$3:$C$350,3,0),"")</f>
        <v/>
      </c>
      <c r="E1979" s="49"/>
      <c r="F1979" s="49" t="str">
        <f>IFERROR(INDEX(منتجات!$G$3:$G$114,MATCH(B1979,منتجات!$A$3:$A$115,0)),"")</f>
        <v/>
      </c>
      <c r="G1979" s="51" t="str">
        <f t="shared" si="32"/>
        <v/>
      </c>
      <c r="H1979" s="54"/>
    </row>
    <row r="1980" spans="1:8" x14ac:dyDescent="0.35">
      <c r="A1980" s="51"/>
      <c r="B1980" s="51"/>
      <c r="C1980" s="51" t="str">
        <f>IFERROR(VLOOKUP(B1980,منتجات!$A$3:$C$350,2,0),"")</f>
        <v/>
      </c>
      <c r="D1980" s="51" t="str">
        <f>IFERROR(VLOOKUP(B1980,منتجات!$A$3:$C$350,3,0),"")</f>
        <v/>
      </c>
      <c r="E1980" s="51"/>
      <c r="F1980" s="51" t="str">
        <f>IFERROR(INDEX(منتجات!$G$3:$G$114,MATCH(B1980,منتجات!$A$3:$A$115,0)),"")</f>
        <v/>
      </c>
      <c r="G1980" s="51" t="str">
        <f t="shared" si="32"/>
        <v/>
      </c>
      <c r="H1980" s="53"/>
    </row>
    <row r="1981" spans="1:8" x14ac:dyDescent="0.35">
      <c r="A1981" s="49"/>
      <c r="B1981" s="49"/>
      <c r="C1981" s="51" t="str">
        <f>IFERROR(VLOOKUP(B1981,منتجات!$A$3:$C$350,2,0),"")</f>
        <v/>
      </c>
      <c r="D1981" s="49" t="str">
        <f>IFERROR(VLOOKUP(B1981,منتجات!$A$3:$C$350,3,0),"")</f>
        <v/>
      </c>
      <c r="E1981" s="49"/>
      <c r="F1981" s="49" t="str">
        <f>IFERROR(INDEX(منتجات!$G$3:$G$114,MATCH(B1981,منتجات!$A$3:$A$115,0)),"")</f>
        <v/>
      </c>
      <c r="G1981" s="51" t="str">
        <f t="shared" si="32"/>
        <v/>
      </c>
      <c r="H1981" s="54"/>
    </row>
    <row r="1982" spans="1:8" x14ac:dyDescent="0.35">
      <c r="A1982" s="51"/>
      <c r="B1982" s="51"/>
      <c r="C1982" s="51" t="str">
        <f>IFERROR(VLOOKUP(B1982,منتجات!$A$3:$C$350,2,0),"")</f>
        <v/>
      </c>
      <c r="D1982" s="51" t="str">
        <f>IFERROR(VLOOKUP(B1982,منتجات!$A$3:$C$350,3,0),"")</f>
        <v/>
      </c>
      <c r="E1982" s="51"/>
      <c r="F1982" s="51" t="str">
        <f>IFERROR(INDEX(منتجات!$G$3:$G$114,MATCH(B1982,منتجات!$A$3:$A$115,0)),"")</f>
        <v/>
      </c>
      <c r="G1982" s="51" t="str">
        <f t="shared" si="32"/>
        <v/>
      </c>
      <c r="H1982" s="53"/>
    </row>
    <row r="1983" spans="1:8" x14ac:dyDescent="0.35">
      <c r="A1983" s="49"/>
      <c r="B1983" s="49"/>
      <c r="C1983" s="51" t="str">
        <f>IFERROR(VLOOKUP(B1983,منتجات!$A$3:$C$350,2,0),"")</f>
        <v/>
      </c>
      <c r="D1983" s="49" t="str">
        <f>IFERROR(VLOOKUP(B1983,منتجات!$A$3:$C$350,3,0),"")</f>
        <v/>
      </c>
      <c r="E1983" s="49"/>
      <c r="F1983" s="49" t="str">
        <f>IFERROR(INDEX(منتجات!$G$3:$G$114,MATCH(B1983,منتجات!$A$3:$A$115,0)),"")</f>
        <v/>
      </c>
      <c r="G1983" s="51" t="str">
        <f t="shared" si="32"/>
        <v/>
      </c>
      <c r="H1983" s="54"/>
    </row>
    <row r="1984" spans="1:8" x14ac:dyDescent="0.35">
      <c r="A1984" s="51"/>
      <c r="B1984" s="51"/>
      <c r="C1984" s="51" t="str">
        <f>IFERROR(VLOOKUP(B1984,منتجات!$A$3:$C$350,2,0),"")</f>
        <v/>
      </c>
      <c r="D1984" s="51" t="str">
        <f>IFERROR(VLOOKUP(B1984,منتجات!$A$3:$C$350,3,0),"")</f>
        <v/>
      </c>
      <c r="E1984" s="51"/>
      <c r="F1984" s="51" t="str">
        <f>IFERROR(INDEX(منتجات!$G$3:$G$114,MATCH(B1984,منتجات!$A$3:$A$115,0)),"")</f>
        <v/>
      </c>
      <c r="G1984" s="51" t="str">
        <f t="shared" si="32"/>
        <v/>
      </c>
      <c r="H1984" s="53"/>
    </row>
    <row r="1985" spans="1:8" x14ac:dyDescent="0.35">
      <c r="A1985" s="49"/>
      <c r="B1985" s="49"/>
      <c r="C1985" s="51" t="str">
        <f>IFERROR(VLOOKUP(B1985,منتجات!$A$3:$C$350,2,0),"")</f>
        <v/>
      </c>
      <c r="D1985" s="49" t="str">
        <f>IFERROR(VLOOKUP(B1985,منتجات!$A$3:$C$350,3,0),"")</f>
        <v/>
      </c>
      <c r="E1985" s="49"/>
      <c r="F1985" s="49" t="str">
        <f>IFERROR(INDEX(منتجات!$G$3:$G$114,MATCH(B1985,منتجات!$A$3:$A$115,0)),"")</f>
        <v/>
      </c>
      <c r="G1985" s="51" t="str">
        <f t="shared" si="32"/>
        <v/>
      </c>
      <c r="H1985" s="54"/>
    </row>
    <row r="1986" spans="1:8" x14ac:dyDescent="0.35">
      <c r="A1986" s="51"/>
      <c r="B1986" s="51"/>
      <c r="C1986" s="51" t="str">
        <f>IFERROR(VLOOKUP(B1986,منتجات!$A$3:$C$350,2,0),"")</f>
        <v/>
      </c>
      <c r="D1986" s="51" t="str">
        <f>IFERROR(VLOOKUP(B1986,منتجات!$A$3:$C$350,3,0),"")</f>
        <v/>
      </c>
      <c r="E1986" s="51"/>
      <c r="F1986" s="51" t="str">
        <f>IFERROR(INDEX(منتجات!$G$3:$G$114,MATCH(B1986,منتجات!$A$3:$A$115,0)),"")</f>
        <v/>
      </c>
      <c r="G1986" s="51" t="str">
        <f t="shared" si="32"/>
        <v/>
      </c>
      <c r="H1986" s="53"/>
    </row>
    <row r="1987" spans="1:8" x14ac:dyDescent="0.35">
      <c r="A1987" s="49"/>
      <c r="B1987" s="49"/>
      <c r="C1987" s="51" t="str">
        <f>IFERROR(VLOOKUP(B1987,منتجات!$A$3:$C$350,2,0),"")</f>
        <v/>
      </c>
      <c r="D1987" s="49" t="str">
        <f>IFERROR(VLOOKUP(B1987,منتجات!$A$3:$C$350,3,0),"")</f>
        <v/>
      </c>
      <c r="E1987" s="49"/>
      <c r="F1987" s="49" t="str">
        <f>IFERROR(INDEX(منتجات!$G$3:$G$114,MATCH(B1987,منتجات!$A$3:$A$115,0)),"")</f>
        <v/>
      </c>
      <c r="G1987" s="51" t="str">
        <f t="shared" si="32"/>
        <v/>
      </c>
      <c r="H1987" s="54"/>
    </row>
    <row r="1988" spans="1:8" x14ac:dyDescent="0.35">
      <c r="A1988" s="51"/>
      <c r="B1988" s="51"/>
      <c r="C1988" s="51" t="str">
        <f>IFERROR(VLOOKUP(B1988,منتجات!$A$3:$C$350,2,0),"")</f>
        <v/>
      </c>
      <c r="D1988" s="51" t="str">
        <f>IFERROR(VLOOKUP(B1988,منتجات!$A$3:$C$350,3,0),"")</f>
        <v/>
      </c>
      <c r="E1988" s="51"/>
      <c r="F1988" s="51" t="str">
        <f>IFERROR(INDEX(منتجات!$G$3:$G$114,MATCH(B1988,منتجات!$A$3:$A$115,0)),"")</f>
        <v/>
      </c>
      <c r="G1988" s="51" t="str">
        <f t="shared" si="32"/>
        <v/>
      </c>
      <c r="H1988" s="53"/>
    </row>
    <row r="1989" spans="1:8" x14ac:dyDescent="0.35">
      <c r="A1989" s="49"/>
      <c r="B1989" s="49"/>
      <c r="C1989" s="51" t="str">
        <f>IFERROR(VLOOKUP(B1989,منتجات!$A$3:$C$350,2,0),"")</f>
        <v/>
      </c>
      <c r="D1989" s="49" t="str">
        <f>IFERROR(VLOOKUP(B1989,منتجات!$A$3:$C$350,3,0),"")</f>
        <v/>
      </c>
      <c r="E1989" s="49"/>
      <c r="F1989" s="49" t="str">
        <f>IFERROR(INDEX(منتجات!$G$3:$G$114,MATCH(B1989,منتجات!$A$3:$A$115,0)),"")</f>
        <v/>
      </c>
      <c r="G1989" s="51" t="str">
        <f t="shared" si="32"/>
        <v/>
      </c>
      <c r="H1989" s="54"/>
    </row>
    <row r="1990" spans="1:8" x14ac:dyDescent="0.35">
      <c r="A1990" s="51"/>
      <c r="B1990" s="51"/>
      <c r="C1990" s="51" t="str">
        <f>IFERROR(VLOOKUP(B1990,منتجات!$A$3:$C$350,2,0),"")</f>
        <v/>
      </c>
      <c r="D1990" s="51" t="str">
        <f>IFERROR(VLOOKUP(B1990,منتجات!$A$3:$C$350,3,0),"")</f>
        <v/>
      </c>
      <c r="E1990" s="51"/>
      <c r="F1990" s="51" t="str">
        <f>IFERROR(INDEX(منتجات!$G$3:$G$114,MATCH(B1990,منتجات!$A$3:$A$115,0)),"")</f>
        <v/>
      </c>
      <c r="G1990" s="51" t="str">
        <f t="shared" si="32"/>
        <v/>
      </c>
      <c r="H1990" s="53"/>
    </row>
    <row r="1991" spans="1:8" x14ac:dyDescent="0.35">
      <c r="A1991" s="49"/>
      <c r="B1991" s="49"/>
      <c r="C1991" s="51" t="str">
        <f>IFERROR(VLOOKUP(B1991,منتجات!$A$3:$C$350,2,0),"")</f>
        <v/>
      </c>
      <c r="D1991" s="49" t="str">
        <f>IFERROR(VLOOKUP(B1991,منتجات!$A$3:$C$350,3,0),"")</f>
        <v/>
      </c>
      <c r="E1991" s="49"/>
      <c r="F1991" s="49" t="str">
        <f>IFERROR(INDEX(منتجات!$G$3:$G$114,MATCH(B1991,منتجات!$A$3:$A$115,0)),"")</f>
        <v/>
      </c>
      <c r="G1991" s="51" t="str">
        <f t="shared" si="32"/>
        <v/>
      </c>
      <c r="H1991" s="54"/>
    </row>
    <row r="1992" spans="1:8" x14ac:dyDescent="0.35">
      <c r="A1992" s="51"/>
      <c r="B1992" s="51"/>
      <c r="C1992" s="51" t="str">
        <f>IFERROR(VLOOKUP(B1992,منتجات!$A$3:$C$350,2,0),"")</f>
        <v/>
      </c>
      <c r="D1992" s="51" t="str">
        <f>IFERROR(VLOOKUP(B1992,منتجات!$A$3:$C$350,3,0),"")</f>
        <v/>
      </c>
      <c r="E1992" s="51"/>
      <c r="F1992" s="51" t="str">
        <f>IFERROR(INDEX(منتجات!$G$3:$G$114,MATCH(B1992,منتجات!$A$3:$A$115,0)),"")</f>
        <v/>
      </c>
      <c r="G1992" s="51" t="str">
        <f t="shared" si="32"/>
        <v/>
      </c>
      <c r="H1992" s="53"/>
    </row>
    <row r="1993" spans="1:8" x14ac:dyDescent="0.35">
      <c r="A1993" s="49"/>
      <c r="B1993" s="49"/>
      <c r="C1993" s="51" t="str">
        <f>IFERROR(VLOOKUP(B1993,منتجات!$A$3:$C$350,2,0),"")</f>
        <v/>
      </c>
      <c r="D1993" s="49" t="str">
        <f>IFERROR(VLOOKUP(B1993,منتجات!$A$3:$C$350,3,0),"")</f>
        <v/>
      </c>
      <c r="E1993" s="49"/>
      <c r="F1993" s="49" t="str">
        <f>IFERROR(INDEX(منتجات!$G$3:$G$114,MATCH(B1993,منتجات!$A$3:$A$115,0)),"")</f>
        <v/>
      </c>
      <c r="G1993" s="51" t="str">
        <f t="shared" si="32"/>
        <v/>
      </c>
      <c r="H1993" s="54"/>
    </row>
    <row r="1994" spans="1:8" x14ac:dyDescent="0.35">
      <c r="A1994" s="51"/>
      <c r="B1994" s="51"/>
      <c r="C1994" s="51" t="str">
        <f>IFERROR(VLOOKUP(B1994,منتجات!$A$3:$C$350,2,0),"")</f>
        <v/>
      </c>
      <c r="D1994" s="51" t="str">
        <f>IFERROR(VLOOKUP(B1994,منتجات!$A$3:$C$350,3,0),"")</f>
        <v/>
      </c>
      <c r="E1994" s="51"/>
      <c r="F1994" s="51" t="str">
        <f>IFERROR(INDEX(منتجات!$G$3:$G$114,MATCH(B1994,منتجات!$A$3:$A$115,0)),"")</f>
        <v/>
      </c>
      <c r="G1994" s="51" t="str">
        <f t="shared" si="32"/>
        <v/>
      </c>
      <c r="H1994" s="53"/>
    </row>
    <row r="1995" spans="1:8" x14ac:dyDescent="0.35">
      <c r="A1995" s="49"/>
      <c r="B1995" s="49"/>
      <c r="C1995" s="51" t="str">
        <f>IFERROR(VLOOKUP(B1995,منتجات!$A$3:$C$350,2,0),"")</f>
        <v/>
      </c>
      <c r="D1995" s="49" t="str">
        <f>IFERROR(VLOOKUP(B1995,منتجات!$A$3:$C$350,3,0),"")</f>
        <v/>
      </c>
      <c r="E1995" s="49"/>
      <c r="F1995" s="49" t="str">
        <f>IFERROR(INDEX(منتجات!$G$3:$G$114,MATCH(B1995,منتجات!$A$3:$A$115,0)),"")</f>
        <v/>
      </c>
      <c r="G1995" s="51" t="str">
        <f t="shared" si="32"/>
        <v/>
      </c>
      <c r="H1995" s="54"/>
    </row>
    <row r="1996" spans="1:8" x14ac:dyDescent="0.35">
      <c r="A1996" s="51"/>
      <c r="B1996" s="51"/>
      <c r="C1996" s="51" t="str">
        <f>IFERROR(VLOOKUP(B1996,منتجات!$A$3:$C$350,2,0),"")</f>
        <v/>
      </c>
      <c r="D1996" s="51" t="str">
        <f>IFERROR(VLOOKUP(B1996,منتجات!$A$3:$C$350,3,0),"")</f>
        <v/>
      </c>
      <c r="E1996" s="51"/>
      <c r="F1996" s="51" t="str">
        <f>IFERROR(INDEX(منتجات!$G$3:$G$114,MATCH(B1996,منتجات!$A$3:$A$115,0)),"")</f>
        <v/>
      </c>
      <c r="G1996" s="51" t="str">
        <f t="shared" si="32"/>
        <v/>
      </c>
      <c r="H1996" s="53"/>
    </row>
    <row r="1997" spans="1:8" x14ac:dyDescent="0.35">
      <c r="A1997" s="49"/>
      <c r="B1997" s="49"/>
      <c r="C1997" s="51" t="str">
        <f>IFERROR(VLOOKUP(B1997,منتجات!$A$3:$C$350,2,0),"")</f>
        <v/>
      </c>
      <c r="D1997" s="49" t="str">
        <f>IFERROR(VLOOKUP(B1997,منتجات!$A$3:$C$350,3,0),"")</f>
        <v/>
      </c>
      <c r="E1997" s="49"/>
      <c r="F1997" s="49" t="str">
        <f>IFERROR(INDEX(منتجات!$G$3:$G$114,MATCH(B1997,منتجات!$A$3:$A$115,0)),"")</f>
        <v/>
      </c>
      <c r="G1997" s="51" t="str">
        <f t="shared" si="32"/>
        <v/>
      </c>
      <c r="H1997" s="54"/>
    </row>
    <row r="1998" spans="1:8" x14ac:dyDescent="0.35">
      <c r="A1998" s="51"/>
      <c r="B1998" s="51"/>
      <c r="C1998" s="51" t="str">
        <f>IFERROR(VLOOKUP(B1998,منتجات!$A$3:$C$350,2,0),"")</f>
        <v/>
      </c>
      <c r="D1998" s="51" t="str">
        <f>IFERROR(VLOOKUP(B1998,منتجات!$A$3:$C$350,3,0),"")</f>
        <v/>
      </c>
      <c r="E1998" s="51"/>
      <c r="F1998" s="51" t="str">
        <f>IFERROR(INDEX(منتجات!$G$3:$G$114,MATCH(B1998,منتجات!$A$3:$A$115,0)),"")</f>
        <v/>
      </c>
      <c r="G1998" s="51" t="str">
        <f t="shared" ref="G1998:G2001" si="33">IFERROR(E1998*F1998*D1998,"")</f>
        <v/>
      </c>
      <c r="H1998" s="53"/>
    </row>
    <row r="1999" spans="1:8" x14ac:dyDescent="0.35">
      <c r="A1999" s="49"/>
      <c r="B1999" s="49"/>
      <c r="C1999" s="51" t="str">
        <f>IFERROR(VLOOKUP(B1999,منتجات!$A$3:$C$350,2,0),"")</f>
        <v/>
      </c>
      <c r="D1999" s="49" t="str">
        <f>IFERROR(VLOOKUP(B1999,منتجات!$A$3:$C$350,3,0),"")</f>
        <v/>
      </c>
      <c r="E1999" s="49"/>
      <c r="F1999" s="49" t="str">
        <f>IFERROR(INDEX(منتجات!$G$3:$G$114,MATCH(B1999,منتجات!$A$3:$A$115,0)),"")</f>
        <v/>
      </c>
      <c r="G1999" s="51" t="str">
        <f t="shared" si="33"/>
        <v/>
      </c>
      <c r="H1999" s="54"/>
    </row>
    <row r="2000" spans="1:8" x14ac:dyDescent="0.35">
      <c r="A2000" s="51"/>
      <c r="B2000" s="51"/>
      <c r="C2000" s="51" t="str">
        <f>IFERROR(VLOOKUP(B2000,منتجات!$A$3:$C$350,2,0),"")</f>
        <v/>
      </c>
      <c r="D2000" s="51" t="str">
        <f>IFERROR(VLOOKUP(B2000,منتجات!$A$3:$C$350,3,0),"")</f>
        <v/>
      </c>
      <c r="E2000" s="51"/>
      <c r="F2000" s="51" t="str">
        <f>IFERROR(INDEX(منتجات!$G$3:$G$114,MATCH(B2000,منتجات!$A$3:$A$115,0)),"")</f>
        <v/>
      </c>
      <c r="G2000" s="51" t="str">
        <f t="shared" si="33"/>
        <v/>
      </c>
      <c r="H2000" s="53"/>
    </row>
    <row r="2001" spans="1:8" x14ac:dyDescent="0.35">
      <c r="A2001" s="55"/>
      <c r="B2001" s="55"/>
      <c r="C2001" s="51" t="str">
        <f>IFERROR(VLOOKUP(B2001,منتجات!$A$3:$C$350,2,0),"")</f>
        <v/>
      </c>
      <c r="D2001" s="49" t="str">
        <f>IFERROR(VLOOKUP(B2001,منتجات!$A$3:$C$350,3,0),"")</f>
        <v/>
      </c>
      <c r="E2001" s="55"/>
      <c r="F2001" s="55" t="str">
        <f>IFERROR(INDEX(منتجات!$G$3:$G$114,MATCH(B2001,منتجات!$A$3:$A$115,0)),"")</f>
        <v/>
      </c>
      <c r="G2001" s="51" t="str">
        <f t="shared" si="33"/>
        <v/>
      </c>
      <c r="H2001" s="56"/>
    </row>
  </sheetData>
  <dataValidations count="1">
    <dataValidation type="list" allowBlank="1" showInputMessage="1" showErrorMessage="1" sqref="B1:B2 B4:B1048576" xr:uid="{00000000-0002-0000-0100-000000000000}">
      <formula1>INDIRECT($B$3)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100-000001000000}">
          <x14:formula1>
            <xm:f>ورقة5!$B$3:$S$3</xm:f>
          </x14:formula1>
          <xm:sqref>B3</xm:sqref>
        </x14:dataValidation>
        <x14:dataValidation type="list" allowBlank="1" showInputMessage="1" showErrorMessage="1" xr:uid="{00000000-0002-0000-0100-000002000000}">
          <x14:formula1>
            <xm:f>الأصناف!$A$3:$A$39</xm:f>
          </x14:formula1>
          <xm:sqref>A4:A2001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ورقة3"/>
  <dimension ref="A1:H2000"/>
  <sheetViews>
    <sheetView showGridLines="0" zoomScale="70" zoomScaleNormal="70" zoomScaleSheetLayoutView="70" workbookViewId="0">
      <pane ySplit="4" topLeftCell="A15" activePane="bottomLeft" state="frozen"/>
      <selection pane="bottomLeft" activeCell="E24" sqref="E24"/>
    </sheetView>
  </sheetViews>
  <sheetFormatPr defaultRowHeight="21" x14ac:dyDescent="0.35"/>
  <cols>
    <col min="1" max="1" width="15.08984375" style="7" bestFit="1" customWidth="1"/>
    <col min="2" max="2" width="21.81640625" bestFit="1" customWidth="1"/>
    <col min="8" max="8" width="10.36328125" style="71" bestFit="1" customWidth="1"/>
  </cols>
  <sheetData>
    <row r="1" spans="1:8" s="59" customFormat="1" x14ac:dyDescent="0.35">
      <c r="H1" s="66"/>
    </row>
    <row r="2" spans="1:8" ht="31.5" x14ac:dyDescent="0.35">
      <c r="A2" s="60" t="s">
        <v>4</v>
      </c>
      <c r="B2" s="60" t="s">
        <v>485</v>
      </c>
      <c r="C2" s="60" t="s">
        <v>486</v>
      </c>
      <c r="D2" s="60" t="s">
        <v>487</v>
      </c>
      <c r="E2" s="60" t="s">
        <v>488</v>
      </c>
      <c r="F2" s="60" t="s">
        <v>489</v>
      </c>
      <c r="G2" s="60" t="s">
        <v>490</v>
      </c>
      <c r="H2" s="67" t="s">
        <v>491</v>
      </c>
    </row>
    <row r="3" spans="1:8" x14ac:dyDescent="0.35">
      <c r="A3" s="61" t="s">
        <v>225</v>
      </c>
      <c r="B3" s="61" t="s">
        <v>1</v>
      </c>
      <c r="C3" s="61" t="s">
        <v>0</v>
      </c>
      <c r="D3" s="61" t="s">
        <v>2</v>
      </c>
      <c r="E3" s="61" t="s">
        <v>7</v>
      </c>
      <c r="F3" s="61" t="s">
        <v>5</v>
      </c>
      <c r="G3" s="61" t="s">
        <v>8</v>
      </c>
      <c r="H3" s="68" t="s">
        <v>6</v>
      </c>
    </row>
    <row r="4" spans="1:8" x14ac:dyDescent="0.35">
      <c r="A4" s="62"/>
      <c r="B4" s="63" t="s">
        <v>343</v>
      </c>
      <c r="C4" s="63" t="str">
        <f>IFERROR(VLOOKUP(B4,منتجات!$A$3:$C$350,2,0),"")</f>
        <v/>
      </c>
      <c r="D4" s="63" t="str">
        <f>IFERROR(VLOOKUP(B4,منتجات!$A$3:$C$350,3,0),"")</f>
        <v/>
      </c>
      <c r="E4" s="63"/>
      <c r="F4" s="63" t="str">
        <f>IFERROR(INDEX(منتجات!$G$3:$G$350,MATCH(B4,منتجات!$A$3:$A$115,0)),"")</f>
        <v/>
      </c>
      <c r="G4" s="63" t="str">
        <f t="shared" ref="G4" si="0">IFERROR(E4*F4*D4,"")</f>
        <v/>
      </c>
      <c r="H4" s="69"/>
    </row>
    <row r="5" spans="1:8" x14ac:dyDescent="0.35">
      <c r="A5" s="64"/>
      <c r="B5" s="65"/>
      <c r="C5" s="65" t="str">
        <f>IFERROR(VLOOKUP(B5,منتجات!$A$3:$C$350,2,0),"")</f>
        <v/>
      </c>
      <c r="D5" s="65" t="str">
        <f>IFERROR(VLOOKUP(B5,منتجات!$A$3:$C$350,3,0),"")</f>
        <v/>
      </c>
      <c r="E5" s="65"/>
      <c r="F5" s="65" t="str">
        <f>IFERROR(INDEX(منتجات!$G$3:$G$350,MATCH(B5,منتجات!$A$3:$A$115,0)),"")</f>
        <v/>
      </c>
      <c r="G5" s="65" t="str">
        <f t="shared" ref="G5" si="1">IFERROR(E5*F5*D5,"")</f>
        <v/>
      </c>
      <c r="H5" s="70"/>
    </row>
    <row r="6" spans="1:8" x14ac:dyDescent="0.35">
      <c r="A6" s="62"/>
      <c r="B6" s="63" t="s">
        <v>125</v>
      </c>
      <c r="C6" s="63">
        <f>IFERROR(VLOOKUP(B6,منتجات!$A$3:$C$350,2,0),"")</f>
        <v>228</v>
      </c>
      <c r="D6" s="63">
        <v>1</v>
      </c>
      <c r="E6" s="63">
        <v>4</v>
      </c>
      <c r="F6" s="63">
        <v>130</v>
      </c>
      <c r="G6" s="63">
        <f t="shared" ref="G6:G69" si="2">IFERROR(E6*F6*D6,"")</f>
        <v>520</v>
      </c>
      <c r="H6" s="69">
        <v>45070</v>
      </c>
    </row>
    <row r="7" spans="1:8" x14ac:dyDescent="0.35">
      <c r="A7" s="64"/>
      <c r="B7" s="63"/>
      <c r="C7" s="63" t="str">
        <f>IFERROR(VLOOKUP(B7,منتجات!$A$3:$C$350,2,0),"")</f>
        <v/>
      </c>
      <c r="D7" s="63"/>
      <c r="E7" s="63"/>
      <c r="F7" s="63"/>
      <c r="G7" s="63"/>
      <c r="H7" s="70"/>
    </row>
    <row r="8" spans="1:8" x14ac:dyDescent="0.35">
      <c r="A8" s="62"/>
      <c r="B8" s="63" t="s">
        <v>125</v>
      </c>
      <c r="C8" s="63">
        <f>IFERROR(VLOOKUP(B8,منتجات!$A$3:$C$350,2,0),"")</f>
        <v>228</v>
      </c>
      <c r="D8" s="63">
        <v>1</v>
      </c>
      <c r="E8" s="63">
        <v>10</v>
      </c>
      <c r="F8" s="63">
        <v>130</v>
      </c>
      <c r="G8" s="63">
        <f t="shared" si="2"/>
        <v>1300</v>
      </c>
      <c r="H8" s="69"/>
    </row>
    <row r="9" spans="1:8" x14ac:dyDescent="0.35">
      <c r="A9" s="64"/>
      <c r="B9" s="65"/>
      <c r="C9" s="65" t="str">
        <f>IFERROR(VLOOKUP(B9,منتجات!$A$3:$C$350,2,0),"")</f>
        <v/>
      </c>
      <c r="D9" s="65" t="str">
        <f>IFERROR(VLOOKUP(B9,منتجات!$A$3:$C$350,3,0),"")</f>
        <v/>
      </c>
      <c r="E9" s="65"/>
      <c r="F9" s="65" t="str">
        <f>IFERROR(INDEX(منتجات!$G$3:$G$350,MATCH(B9,منتجات!$A$3:$A$115,0)),"")</f>
        <v/>
      </c>
      <c r="G9" s="65" t="str">
        <f t="shared" si="2"/>
        <v/>
      </c>
      <c r="H9" s="70"/>
    </row>
    <row r="10" spans="1:8" x14ac:dyDescent="0.35">
      <c r="A10" s="62"/>
      <c r="B10" s="63" t="s">
        <v>431</v>
      </c>
      <c r="C10" s="63">
        <f>IFERROR(VLOOKUP(B10,منتجات!$A$3:$C$350,2,0),"")</f>
        <v>151</v>
      </c>
      <c r="D10" s="63">
        <v>1</v>
      </c>
      <c r="E10" s="63">
        <v>4</v>
      </c>
      <c r="F10" s="63">
        <v>110</v>
      </c>
      <c r="G10" s="63">
        <f t="shared" si="2"/>
        <v>440</v>
      </c>
      <c r="H10" s="69"/>
    </row>
    <row r="11" spans="1:8" x14ac:dyDescent="0.35">
      <c r="A11" s="64"/>
      <c r="B11" s="65" t="s">
        <v>433</v>
      </c>
      <c r="C11" s="65">
        <f>IFERROR(VLOOKUP(B11,منتجات!$A$3:$C$350,2,0),"")</f>
        <v>153</v>
      </c>
      <c r="D11" s="65">
        <v>1</v>
      </c>
      <c r="E11" s="65">
        <v>1</v>
      </c>
      <c r="F11" s="65">
        <v>127</v>
      </c>
      <c r="G11" s="65">
        <f t="shared" si="2"/>
        <v>127</v>
      </c>
      <c r="H11" s="70"/>
    </row>
    <row r="12" spans="1:8" x14ac:dyDescent="0.35">
      <c r="A12" s="62"/>
      <c r="B12" s="63" t="s">
        <v>142</v>
      </c>
      <c r="C12" s="63">
        <f>IFERROR(VLOOKUP(B12,منتجات!$A$3:$C$350,2,0),"")</f>
        <v>165</v>
      </c>
      <c r="D12" s="63">
        <v>1</v>
      </c>
      <c r="E12" s="63">
        <v>1</v>
      </c>
      <c r="F12" s="63">
        <v>45</v>
      </c>
      <c r="G12" s="63">
        <f t="shared" si="2"/>
        <v>45</v>
      </c>
      <c r="H12" s="69"/>
    </row>
    <row r="13" spans="1:8" x14ac:dyDescent="0.35">
      <c r="A13" s="64"/>
      <c r="B13" s="65" t="s">
        <v>325</v>
      </c>
      <c r="C13" s="65">
        <f>IFERROR(VLOOKUP(B13,منتجات!$A$3:$C$350,2,0),"")</f>
        <v>241</v>
      </c>
      <c r="D13" s="65">
        <v>1</v>
      </c>
      <c r="E13" s="65">
        <v>6</v>
      </c>
      <c r="F13" s="65">
        <v>5.5</v>
      </c>
      <c r="G13" s="65">
        <f t="shared" si="2"/>
        <v>33</v>
      </c>
      <c r="H13" s="70"/>
    </row>
    <row r="14" spans="1:8" x14ac:dyDescent="0.35">
      <c r="A14" s="62"/>
      <c r="B14" s="63" t="s">
        <v>422</v>
      </c>
      <c r="C14" s="63">
        <f>IFERROR(VLOOKUP(B14,منتجات!$A$3:$C$350,2,0),"")</f>
        <v>140</v>
      </c>
      <c r="D14" s="63">
        <v>1</v>
      </c>
      <c r="E14" s="63">
        <v>3</v>
      </c>
      <c r="F14" s="63" t="str">
        <f>IFERROR(INDEX(منتجات!$G$3:$G$350,MATCH(B14,منتجات!$A$3:$A$115,0)),"")</f>
        <v/>
      </c>
      <c r="G14" s="63" t="str">
        <f t="shared" si="2"/>
        <v/>
      </c>
      <c r="H14" s="69"/>
    </row>
    <row r="15" spans="1:8" x14ac:dyDescent="0.35">
      <c r="A15" s="64"/>
      <c r="B15" s="65"/>
      <c r="C15" s="65" t="str">
        <f>IFERROR(VLOOKUP(B15,منتجات!$A$3:$C$350,2,0),"")</f>
        <v/>
      </c>
      <c r="D15" s="65" t="str">
        <f>IFERROR(VLOOKUP(B15,منتجات!$A$3:$C$350,3,0),"")</f>
        <v/>
      </c>
      <c r="E15" s="65"/>
      <c r="F15" s="65" t="str">
        <f>IFERROR(INDEX(منتجات!$G$3:$G$350,MATCH(B15,منتجات!$A$3:$A$115,0)),"")</f>
        <v/>
      </c>
      <c r="G15" s="65" t="str">
        <f t="shared" si="2"/>
        <v/>
      </c>
      <c r="H15" s="70"/>
    </row>
    <row r="16" spans="1:8" x14ac:dyDescent="0.35">
      <c r="A16" s="62" t="s">
        <v>492</v>
      </c>
      <c r="B16" s="63" t="s">
        <v>460</v>
      </c>
      <c r="C16" s="63">
        <f>IFERROR(VLOOKUP(B16,منتجات!$A$3:$C$350,2,0),"")</f>
        <v>116</v>
      </c>
      <c r="D16" s="63">
        <f>IFERROR(VLOOKUP(B16,منتجات!$A$3:$C$350,3,0),"")</f>
        <v>10</v>
      </c>
      <c r="E16" s="63">
        <v>1</v>
      </c>
      <c r="F16" s="63">
        <v>110</v>
      </c>
      <c r="G16" s="63">
        <f t="shared" si="2"/>
        <v>1100</v>
      </c>
      <c r="H16" s="69"/>
    </row>
    <row r="17" spans="1:8" x14ac:dyDescent="0.35">
      <c r="A17" s="64"/>
      <c r="B17" s="65" t="s">
        <v>459</v>
      </c>
      <c r="C17" s="65">
        <f>IFERROR(VLOOKUP(B17,منتجات!$A$3:$C$350,2,0),"")</f>
        <v>115</v>
      </c>
      <c r="D17" s="65">
        <f>IFERROR(VLOOKUP(B17,منتجات!$A$3:$C$350,3,0),"")</f>
        <v>10</v>
      </c>
      <c r="E17" s="65">
        <v>1</v>
      </c>
      <c r="F17" s="65">
        <v>110</v>
      </c>
      <c r="G17" s="65">
        <f t="shared" si="2"/>
        <v>1100</v>
      </c>
      <c r="H17" s="70"/>
    </row>
    <row r="18" spans="1:8" x14ac:dyDescent="0.35">
      <c r="A18" s="62"/>
      <c r="B18" s="63" t="s">
        <v>463</v>
      </c>
      <c r="C18" s="63">
        <f>IFERROR(VLOOKUP(B18,منتجات!$A$3:$C$350,2,0),"")</f>
        <v>119</v>
      </c>
      <c r="D18" s="63">
        <f>IFERROR(VLOOKUP(B18,منتجات!$A$3:$C$350,3,0),"")</f>
        <v>10</v>
      </c>
      <c r="E18" s="63">
        <v>1</v>
      </c>
      <c r="F18" s="63">
        <v>110</v>
      </c>
      <c r="G18" s="63">
        <f t="shared" si="2"/>
        <v>1100</v>
      </c>
      <c r="H18" s="69"/>
    </row>
    <row r="19" spans="1:8" x14ac:dyDescent="0.35">
      <c r="A19" s="64"/>
      <c r="B19" s="65" t="s">
        <v>426</v>
      </c>
      <c r="C19" s="65">
        <f>IFERROR(VLOOKUP(B19,منتجات!$A$3:$C$350,2,0),"")</f>
        <v>144</v>
      </c>
      <c r="D19" s="65">
        <f>IFERROR(VLOOKUP(B19,منتجات!$A$3:$C$350,3,0),"")</f>
        <v>10</v>
      </c>
      <c r="E19" s="65">
        <v>1</v>
      </c>
      <c r="F19" s="65">
        <v>138</v>
      </c>
      <c r="G19" s="65">
        <f t="shared" si="2"/>
        <v>1380</v>
      </c>
      <c r="H19" s="70"/>
    </row>
    <row r="20" spans="1:8" x14ac:dyDescent="0.35">
      <c r="A20" s="62"/>
      <c r="B20" s="63"/>
      <c r="C20" s="63" t="str">
        <f>IFERROR(VLOOKUP(B20,منتجات!$A$3:$C$350,2,0),"")</f>
        <v/>
      </c>
      <c r="D20" s="63">
        <v>1</v>
      </c>
      <c r="E20" s="63"/>
      <c r="F20" s="63">
        <v>8</v>
      </c>
      <c r="G20" s="63">
        <f t="shared" si="2"/>
        <v>0</v>
      </c>
      <c r="H20" s="69"/>
    </row>
    <row r="21" spans="1:8" x14ac:dyDescent="0.35">
      <c r="A21" s="64"/>
      <c r="B21" s="65"/>
      <c r="C21" s="65" t="str">
        <f>IFERROR(VLOOKUP(B21,منتجات!$A$3:$C$350,2,0),"")</f>
        <v/>
      </c>
      <c r="D21" s="65">
        <v>1</v>
      </c>
      <c r="E21" s="65"/>
      <c r="F21" s="65">
        <v>8</v>
      </c>
      <c r="G21" s="65">
        <f t="shared" si="2"/>
        <v>0</v>
      </c>
      <c r="H21" s="70"/>
    </row>
    <row r="22" spans="1:8" x14ac:dyDescent="0.35">
      <c r="A22" s="62"/>
      <c r="B22" s="63"/>
      <c r="C22" s="63" t="str">
        <f>IFERROR(VLOOKUP(B22,منتجات!$A$3:$C$350,2,0),"")</f>
        <v/>
      </c>
      <c r="D22" s="63">
        <v>1</v>
      </c>
      <c r="E22" s="63"/>
      <c r="F22" s="63">
        <v>70</v>
      </c>
      <c r="G22" s="63">
        <f t="shared" si="2"/>
        <v>0</v>
      </c>
      <c r="H22" s="69"/>
    </row>
    <row r="23" spans="1:8" x14ac:dyDescent="0.35">
      <c r="A23" s="64"/>
      <c r="B23" s="65" t="s">
        <v>481</v>
      </c>
      <c r="C23" s="65">
        <f>IFERROR(VLOOKUP(B23,منتجات!$A$3:$C$350,2,0),"")</f>
        <v>194</v>
      </c>
      <c r="D23" s="65">
        <v>1</v>
      </c>
      <c r="E23" s="65">
        <v>50</v>
      </c>
      <c r="F23" s="65">
        <v>8</v>
      </c>
      <c r="G23" s="65">
        <f t="shared" si="2"/>
        <v>400</v>
      </c>
      <c r="H23" s="70"/>
    </row>
    <row r="24" spans="1:8" x14ac:dyDescent="0.35">
      <c r="A24" s="62"/>
      <c r="B24" s="63"/>
      <c r="C24" s="63" t="str">
        <f>IFERROR(VLOOKUP(B24,منتجات!$A$3:$C$350,2,0),"")</f>
        <v/>
      </c>
      <c r="D24" s="63"/>
      <c r="E24" s="63"/>
      <c r="F24" s="63"/>
      <c r="G24" s="63"/>
      <c r="H24" s="69"/>
    </row>
    <row r="25" spans="1:8" x14ac:dyDescent="0.35">
      <c r="A25" s="64"/>
      <c r="B25" s="65"/>
      <c r="C25" s="65" t="str">
        <f>IFERROR(VLOOKUP(B25,منتجات!$A$3:$C$350,2,0),"")</f>
        <v/>
      </c>
      <c r="D25" s="65"/>
      <c r="E25" s="65"/>
      <c r="F25" s="65"/>
      <c r="G25" s="65">
        <f t="shared" si="2"/>
        <v>0</v>
      </c>
      <c r="H25" s="70"/>
    </row>
    <row r="26" spans="1:8" x14ac:dyDescent="0.35">
      <c r="A26" s="62" t="s">
        <v>492</v>
      </c>
      <c r="B26" s="63" t="s">
        <v>426</v>
      </c>
      <c r="C26" s="63">
        <f>IFERROR(VLOOKUP(B26,منتجات!$A$3:$C$350,2,0),"")</f>
        <v>144</v>
      </c>
      <c r="D26" s="63">
        <f>IFERROR(VLOOKUP(B26,منتجات!$A$3:$C$350,3,0),"")</f>
        <v>10</v>
      </c>
      <c r="E26" s="63">
        <v>1</v>
      </c>
      <c r="F26" s="63">
        <v>138</v>
      </c>
      <c r="G26" s="63">
        <f t="shared" si="2"/>
        <v>1380</v>
      </c>
      <c r="H26" s="69">
        <v>45071</v>
      </c>
    </row>
    <row r="27" spans="1:8" x14ac:dyDescent="0.35">
      <c r="A27" s="64" t="s">
        <v>494</v>
      </c>
      <c r="B27" s="65" t="s">
        <v>323</v>
      </c>
      <c r="C27" s="65">
        <f>IFERROR(VLOOKUP(B27,منتجات!$A$3:$C$350,2,0),"")</f>
        <v>226</v>
      </c>
      <c r="D27" s="65">
        <v>1</v>
      </c>
      <c r="E27" s="65">
        <v>2</v>
      </c>
      <c r="F27" s="65">
        <v>70</v>
      </c>
      <c r="G27" s="65">
        <f t="shared" si="2"/>
        <v>140</v>
      </c>
      <c r="H27" s="70">
        <v>45072</v>
      </c>
    </row>
    <row r="28" spans="1:8" x14ac:dyDescent="0.35">
      <c r="A28" s="64" t="s">
        <v>494</v>
      </c>
      <c r="B28" s="63" t="s">
        <v>443</v>
      </c>
      <c r="C28" s="63">
        <f>IFERROR(VLOOKUP(B28,منتجات!$A$3:$C$350,2,0),"")</f>
        <v>250</v>
      </c>
      <c r="D28" s="63">
        <f>IFERROR(VLOOKUP(B28,منتجات!$A$3:$C$350,3,0),"")</f>
        <v>10</v>
      </c>
      <c r="E28" s="63">
        <v>2</v>
      </c>
      <c r="F28" s="63">
        <v>12.5</v>
      </c>
      <c r="G28" s="63">
        <f t="shared" si="2"/>
        <v>250</v>
      </c>
      <c r="H28" s="69">
        <v>45072</v>
      </c>
    </row>
    <row r="29" spans="1:8" x14ac:dyDescent="0.35">
      <c r="A29" s="64" t="s">
        <v>494</v>
      </c>
      <c r="B29" s="65" t="s">
        <v>161</v>
      </c>
      <c r="C29" s="65">
        <f>IFERROR(VLOOKUP(B29,منتجات!$A$3:$C$350,2,0),"")</f>
        <v>281</v>
      </c>
      <c r="D29" s="65">
        <f>IFERROR(VLOOKUP(B29,منتجات!$A$3:$C$350,3,0),"")</f>
        <v>1</v>
      </c>
      <c r="E29" s="65">
        <v>2</v>
      </c>
      <c r="F29" s="65">
        <v>135</v>
      </c>
      <c r="G29" s="65">
        <f t="shared" si="2"/>
        <v>270</v>
      </c>
      <c r="H29" s="70">
        <v>45072</v>
      </c>
    </row>
    <row r="30" spans="1:8" x14ac:dyDescent="0.35">
      <c r="A30" s="64" t="s">
        <v>494</v>
      </c>
      <c r="B30" s="63" t="s">
        <v>428</v>
      </c>
      <c r="C30" s="63">
        <f>IFERROR(VLOOKUP(B30,منتجات!$A$3:$C$350,2,0),"")</f>
        <v>148</v>
      </c>
      <c r="D30" s="63">
        <f>IFERROR(VLOOKUP(B30,منتجات!$A$3:$C$350,3,0),"")</f>
        <v>10</v>
      </c>
      <c r="E30" s="63">
        <v>1</v>
      </c>
      <c r="F30" s="63">
        <v>165</v>
      </c>
      <c r="G30" s="63">
        <f t="shared" si="2"/>
        <v>1650</v>
      </c>
      <c r="H30" s="69">
        <v>45072</v>
      </c>
    </row>
    <row r="31" spans="1:8" x14ac:dyDescent="0.35">
      <c r="A31" s="64" t="s">
        <v>494</v>
      </c>
      <c r="B31" s="65" t="s">
        <v>125</v>
      </c>
      <c r="C31" s="65">
        <f>IFERROR(VLOOKUP(B31,منتجات!$A$3:$C$350,2,0),"")</f>
        <v>228</v>
      </c>
      <c r="D31" s="65">
        <v>1</v>
      </c>
      <c r="E31" s="65">
        <v>2</v>
      </c>
      <c r="F31" s="65">
        <v>130</v>
      </c>
      <c r="G31" s="65">
        <f t="shared" si="2"/>
        <v>260</v>
      </c>
      <c r="H31" s="70">
        <v>45072</v>
      </c>
    </row>
    <row r="32" spans="1:8" x14ac:dyDescent="0.35">
      <c r="A32" s="64" t="s">
        <v>494</v>
      </c>
      <c r="B32" s="63" t="s">
        <v>454</v>
      </c>
      <c r="C32" s="63" t="str">
        <f>IFERROR(VLOOKUP(B32,منتجات!$A$3:$C$350,2,0),"")</f>
        <v/>
      </c>
      <c r="D32" s="63">
        <v>1</v>
      </c>
      <c r="E32" s="63">
        <v>2</v>
      </c>
      <c r="F32" s="63">
        <v>50</v>
      </c>
      <c r="G32" s="63">
        <f t="shared" si="2"/>
        <v>100</v>
      </c>
      <c r="H32" s="69">
        <v>45072</v>
      </c>
    </row>
    <row r="33" spans="1:8" x14ac:dyDescent="0.35">
      <c r="A33" s="64" t="s">
        <v>495</v>
      </c>
      <c r="B33" s="65" t="s">
        <v>415</v>
      </c>
      <c r="C33" s="65">
        <f>IFERROR(VLOOKUP(B33,منتجات!$A$3:$C$350,2,0),"")</f>
        <v>110</v>
      </c>
      <c r="D33" s="65">
        <f>IFERROR(VLOOKUP(B33,منتجات!$A$3:$C$350,3,0),"")</f>
        <v>10</v>
      </c>
      <c r="E33" s="65">
        <v>1</v>
      </c>
      <c r="F33" s="65">
        <v>125</v>
      </c>
      <c r="G33" s="65">
        <f t="shared" si="2"/>
        <v>1250</v>
      </c>
      <c r="H33" s="70">
        <v>45072</v>
      </c>
    </row>
    <row r="34" spans="1:8" x14ac:dyDescent="0.35">
      <c r="A34" s="64" t="s">
        <v>495</v>
      </c>
      <c r="B34" s="63" t="s">
        <v>437</v>
      </c>
      <c r="C34" s="63">
        <f>IFERROR(VLOOKUP(B34,منتجات!$A$3:$C$350,2,0),"")</f>
        <v>157</v>
      </c>
      <c r="D34" s="63">
        <f>IFERROR(VLOOKUP(B34,منتجات!$A$3:$C$350,3,0),"")</f>
        <v>10</v>
      </c>
      <c r="E34" s="63">
        <v>1</v>
      </c>
      <c r="F34" s="63">
        <v>110</v>
      </c>
      <c r="G34" s="63">
        <f t="shared" si="2"/>
        <v>1100</v>
      </c>
      <c r="H34" s="69">
        <v>45072</v>
      </c>
    </row>
    <row r="35" spans="1:8" x14ac:dyDescent="0.35">
      <c r="A35" s="64"/>
      <c r="B35" s="65" t="s">
        <v>332</v>
      </c>
      <c r="C35" s="65">
        <f>IFERROR(VLOOKUP(B35,منتجات!$A$3:$C$350,2,0),"")</f>
        <v>269</v>
      </c>
      <c r="D35" s="65">
        <v>1</v>
      </c>
      <c r="E35" s="65">
        <v>2</v>
      </c>
      <c r="F35" s="65">
        <v>19</v>
      </c>
      <c r="G35" s="65">
        <f t="shared" si="2"/>
        <v>38</v>
      </c>
      <c r="H35" s="70"/>
    </row>
    <row r="36" spans="1:8" x14ac:dyDescent="0.35">
      <c r="A36" s="62"/>
      <c r="B36" s="63" t="s">
        <v>125</v>
      </c>
      <c r="C36" s="63">
        <f>IFERROR(VLOOKUP(B36,منتجات!$A$3:$C$350,2,0),"")</f>
        <v>228</v>
      </c>
      <c r="D36" s="63">
        <v>1</v>
      </c>
      <c r="E36" s="63">
        <v>1</v>
      </c>
      <c r="F36" s="63">
        <v>130</v>
      </c>
      <c r="G36" s="63">
        <f t="shared" si="2"/>
        <v>130</v>
      </c>
      <c r="H36" s="69">
        <v>45077</v>
      </c>
    </row>
    <row r="37" spans="1:8" x14ac:dyDescent="0.35">
      <c r="A37" s="64"/>
      <c r="B37" s="65"/>
      <c r="C37" s="65" t="str">
        <f>IFERROR(VLOOKUP(B37,منتجات!$A$3:$C$350,2,0),"")</f>
        <v/>
      </c>
      <c r="D37" s="65" t="str">
        <f>IFERROR(VLOOKUP(B37,منتجات!$A$3:$C$350,3,0),"")</f>
        <v/>
      </c>
      <c r="E37" s="65"/>
      <c r="F37" s="65" t="str">
        <f>IFERROR(INDEX(منتجات!$G$3:$G$350,MATCH(B37,منتجات!$A$3:$A$115,0)),"")</f>
        <v/>
      </c>
      <c r="G37" s="65" t="str">
        <f t="shared" si="2"/>
        <v/>
      </c>
      <c r="H37" s="70"/>
    </row>
    <row r="38" spans="1:8" x14ac:dyDescent="0.35">
      <c r="A38" s="62"/>
      <c r="B38" s="63" t="s">
        <v>323</v>
      </c>
      <c r="C38" s="63">
        <f>IFERROR(VLOOKUP(B38,منتجات!$A$3:$C$350,2,0),"")</f>
        <v>226</v>
      </c>
      <c r="D38" s="63">
        <v>1</v>
      </c>
      <c r="E38" s="63">
        <v>1</v>
      </c>
      <c r="F38" s="63">
        <v>1</v>
      </c>
      <c r="G38" s="63">
        <f t="shared" si="2"/>
        <v>1</v>
      </c>
      <c r="H38" s="69"/>
    </row>
    <row r="39" spans="1:8" x14ac:dyDescent="0.35">
      <c r="A39" s="64"/>
      <c r="B39" s="65"/>
      <c r="C39" s="65" t="str">
        <f>IFERROR(VLOOKUP(B39,منتجات!$A$3:$C$350,2,0),"")</f>
        <v/>
      </c>
      <c r="D39" s="65" t="str">
        <f>IFERROR(VLOOKUP(B39,منتجات!$A$3:$C$350,3,0),"")</f>
        <v/>
      </c>
      <c r="E39" s="65"/>
      <c r="F39" s="65" t="str">
        <f>IFERROR(INDEX(منتجات!$G$3:$G$350,MATCH(B39,منتجات!$A$3:$A$115,0)),"")</f>
        <v/>
      </c>
      <c r="G39" s="65" t="str">
        <f t="shared" si="2"/>
        <v/>
      </c>
      <c r="H39" s="70"/>
    </row>
    <row r="40" spans="1:8" x14ac:dyDescent="0.35">
      <c r="A40" s="62"/>
      <c r="B40" s="63"/>
      <c r="C40" s="63" t="str">
        <f>IFERROR(VLOOKUP(B40,منتجات!$A$3:$C$350,2,0),"")</f>
        <v/>
      </c>
      <c r="D40" s="63" t="str">
        <f>IFERROR(VLOOKUP(B40,منتجات!$A$3:$C$350,3,0),"")</f>
        <v/>
      </c>
      <c r="E40" s="63"/>
      <c r="F40" s="63" t="str">
        <f>IFERROR(INDEX(منتجات!$G$3:$G$350,MATCH(B40,منتجات!$A$3:$A$115,0)),"")</f>
        <v/>
      </c>
      <c r="G40" s="63" t="str">
        <f t="shared" si="2"/>
        <v/>
      </c>
      <c r="H40" s="69"/>
    </row>
    <row r="41" spans="1:8" x14ac:dyDescent="0.35">
      <c r="A41" s="64"/>
      <c r="B41" s="65"/>
      <c r="C41" s="65" t="str">
        <f>IFERROR(VLOOKUP(B41,منتجات!$A$3:$C$350,2,0),"")</f>
        <v/>
      </c>
      <c r="D41" s="65" t="str">
        <f>IFERROR(VLOOKUP(B41,منتجات!$A$3:$C$350,3,0),"")</f>
        <v/>
      </c>
      <c r="E41" s="65"/>
      <c r="F41" s="65" t="str">
        <f>IFERROR(INDEX(منتجات!$G$3:$G$350,MATCH(B41,منتجات!$A$3:$A$115,0)),"")</f>
        <v/>
      </c>
      <c r="G41" s="65" t="str">
        <f t="shared" si="2"/>
        <v/>
      </c>
      <c r="H41" s="70"/>
    </row>
    <row r="42" spans="1:8" x14ac:dyDescent="0.35">
      <c r="A42" s="62"/>
      <c r="B42" s="63"/>
      <c r="C42" s="63" t="str">
        <f>IFERROR(VLOOKUP(B42,منتجات!$A$3:$C$350,2,0),"")</f>
        <v/>
      </c>
      <c r="D42" s="63" t="str">
        <f>IFERROR(VLOOKUP(B42,منتجات!$A$3:$C$350,3,0),"")</f>
        <v/>
      </c>
      <c r="E42" s="63"/>
      <c r="F42" s="63" t="str">
        <f>IFERROR(INDEX(منتجات!$G$3:$G$350,MATCH(B42,منتجات!$A$3:$A$115,0)),"")</f>
        <v/>
      </c>
      <c r="G42" s="63" t="str">
        <f t="shared" si="2"/>
        <v/>
      </c>
      <c r="H42" s="69"/>
    </row>
    <row r="43" spans="1:8" x14ac:dyDescent="0.35">
      <c r="A43" s="64"/>
      <c r="B43" s="65"/>
      <c r="C43" s="65" t="str">
        <f>IFERROR(VLOOKUP(B43,منتجات!$A$3:$C$350,2,0),"")</f>
        <v/>
      </c>
      <c r="D43" s="65" t="str">
        <f>IFERROR(VLOOKUP(B43,منتجات!$A$3:$C$350,3,0),"")</f>
        <v/>
      </c>
      <c r="E43" s="65"/>
      <c r="F43" s="65" t="str">
        <f>IFERROR(INDEX(منتجات!$G$3:$G$350,MATCH(B43,منتجات!$A$3:$A$115,0)),"")</f>
        <v/>
      </c>
      <c r="G43" s="65" t="str">
        <f t="shared" si="2"/>
        <v/>
      </c>
      <c r="H43" s="70"/>
    </row>
    <row r="44" spans="1:8" x14ac:dyDescent="0.35">
      <c r="A44" s="62"/>
      <c r="B44" s="63"/>
      <c r="C44" s="63" t="str">
        <f>IFERROR(VLOOKUP(B44,منتجات!$A$3:$C$350,2,0),"")</f>
        <v/>
      </c>
      <c r="D44" s="63" t="str">
        <f>IFERROR(VLOOKUP(B44,منتجات!$A$3:$C$350,3,0),"")</f>
        <v/>
      </c>
      <c r="E44" s="63"/>
      <c r="F44" s="63" t="str">
        <f>IFERROR(INDEX(منتجات!$G$3:$G$350,MATCH(B44,منتجات!$A$3:$A$115,0)),"")</f>
        <v/>
      </c>
      <c r="G44" s="63" t="str">
        <f t="shared" si="2"/>
        <v/>
      </c>
      <c r="H44" s="69"/>
    </row>
    <row r="45" spans="1:8" x14ac:dyDescent="0.35">
      <c r="A45" s="64"/>
      <c r="B45" s="65"/>
      <c r="C45" s="65" t="str">
        <f>IFERROR(VLOOKUP(B45,منتجات!$A$3:$C$350,2,0),"")</f>
        <v/>
      </c>
      <c r="D45" s="65" t="str">
        <f>IFERROR(VLOOKUP(B45,منتجات!$A$3:$C$350,3,0),"")</f>
        <v/>
      </c>
      <c r="E45" s="65"/>
      <c r="F45" s="65" t="str">
        <f>IFERROR(INDEX(منتجات!$G$3:$G$350,MATCH(B45,منتجات!$A$3:$A$115,0)),"")</f>
        <v/>
      </c>
      <c r="G45" s="65" t="str">
        <f t="shared" si="2"/>
        <v/>
      </c>
      <c r="H45" s="70"/>
    </row>
    <row r="46" spans="1:8" x14ac:dyDescent="0.35">
      <c r="A46" s="62"/>
      <c r="B46" s="63"/>
      <c r="C46" s="63" t="str">
        <f>IFERROR(VLOOKUP(B46,منتجات!$A$3:$C$350,2,0),"")</f>
        <v/>
      </c>
      <c r="D46" s="63" t="str">
        <f>IFERROR(VLOOKUP(B46,منتجات!$A$3:$C$350,3,0),"")</f>
        <v/>
      </c>
      <c r="E46" s="63"/>
      <c r="F46" s="63" t="str">
        <f>IFERROR(INDEX(منتجات!$G$3:$G$350,MATCH(B46,منتجات!$A$3:$A$115,0)),"")</f>
        <v/>
      </c>
      <c r="G46" s="63" t="str">
        <f t="shared" si="2"/>
        <v/>
      </c>
      <c r="H46" s="69"/>
    </row>
    <row r="47" spans="1:8" x14ac:dyDescent="0.35">
      <c r="A47" s="64"/>
      <c r="B47" s="65"/>
      <c r="C47" s="65" t="str">
        <f>IFERROR(VLOOKUP(B47,منتجات!$A$3:$C$350,2,0),"")</f>
        <v/>
      </c>
      <c r="D47" s="65" t="str">
        <f>IFERROR(VLOOKUP(B47,منتجات!$A$3:$C$350,3,0),"")</f>
        <v/>
      </c>
      <c r="E47" s="65"/>
      <c r="F47" s="65" t="str">
        <f>IFERROR(INDEX(منتجات!$G$3:$G$350,MATCH(B47,منتجات!$A$3:$A$115,0)),"")</f>
        <v/>
      </c>
      <c r="G47" s="65" t="str">
        <f t="shared" si="2"/>
        <v/>
      </c>
      <c r="H47" s="70"/>
    </row>
    <row r="48" spans="1:8" x14ac:dyDescent="0.35">
      <c r="A48" s="62"/>
      <c r="B48" s="63"/>
      <c r="C48" s="63" t="str">
        <f>IFERROR(VLOOKUP(B48,منتجات!$A$3:$C$350,2,0),"")</f>
        <v/>
      </c>
      <c r="D48" s="63" t="str">
        <f>IFERROR(VLOOKUP(B48,منتجات!$A$3:$C$350,3,0),"")</f>
        <v/>
      </c>
      <c r="E48" s="63"/>
      <c r="F48" s="63" t="str">
        <f>IFERROR(INDEX(منتجات!$G$3:$G$350,MATCH(B48,منتجات!$A$3:$A$115,0)),"")</f>
        <v/>
      </c>
      <c r="G48" s="63" t="str">
        <f t="shared" si="2"/>
        <v/>
      </c>
      <c r="H48" s="69"/>
    </row>
    <row r="49" spans="1:8" x14ac:dyDescent="0.35">
      <c r="A49" s="64"/>
      <c r="B49" s="65"/>
      <c r="C49" s="65" t="str">
        <f>IFERROR(VLOOKUP(B49,منتجات!$A$3:$C$350,2,0),"")</f>
        <v/>
      </c>
      <c r="D49" s="65" t="str">
        <f>IFERROR(VLOOKUP(B49,منتجات!$A$3:$C$350,3,0),"")</f>
        <v/>
      </c>
      <c r="E49" s="65"/>
      <c r="F49" s="65" t="str">
        <f>IFERROR(INDEX(منتجات!$G$3:$G$350,MATCH(B49,منتجات!$A$3:$A$115,0)),"")</f>
        <v/>
      </c>
      <c r="G49" s="65" t="str">
        <f t="shared" si="2"/>
        <v/>
      </c>
      <c r="H49" s="70"/>
    </row>
    <row r="50" spans="1:8" x14ac:dyDescent="0.35">
      <c r="A50" s="62"/>
      <c r="B50" s="63"/>
      <c r="C50" s="63" t="str">
        <f>IFERROR(VLOOKUP(B50,منتجات!$A$3:$C$350,2,0),"")</f>
        <v/>
      </c>
      <c r="D50" s="63" t="str">
        <f>IFERROR(VLOOKUP(B50,منتجات!$A$3:$C$350,3,0),"")</f>
        <v/>
      </c>
      <c r="E50" s="63"/>
      <c r="F50" s="63" t="str">
        <f>IFERROR(INDEX(منتجات!$G$3:$G$350,MATCH(B50,منتجات!$A$3:$A$115,0)),"")</f>
        <v/>
      </c>
      <c r="G50" s="63" t="str">
        <f t="shared" si="2"/>
        <v/>
      </c>
      <c r="H50" s="69"/>
    </row>
    <row r="51" spans="1:8" x14ac:dyDescent="0.35">
      <c r="A51" s="64"/>
      <c r="B51" s="65"/>
      <c r="C51" s="65" t="str">
        <f>IFERROR(VLOOKUP(B51,منتجات!$A$3:$C$350,2,0),"")</f>
        <v/>
      </c>
      <c r="D51" s="65" t="str">
        <f>IFERROR(VLOOKUP(B51,منتجات!$A$3:$C$350,3,0),"")</f>
        <v/>
      </c>
      <c r="E51" s="65"/>
      <c r="F51" s="65" t="str">
        <f>IFERROR(INDEX(منتجات!$G$3:$G$350,MATCH(B51,منتجات!$A$3:$A$115,0)),"")</f>
        <v/>
      </c>
      <c r="G51" s="65" t="str">
        <f t="shared" si="2"/>
        <v/>
      </c>
      <c r="H51" s="70"/>
    </row>
    <row r="52" spans="1:8" x14ac:dyDescent="0.35">
      <c r="A52" s="62"/>
      <c r="B52" s="63"/>
      <c r="C52" s="63" t="str">
        <f>IFERROR(VLOOKUP(B52,منتجات!$A$3:$C$350,2,0),"")</f>
        <v/>
      </c>
      <c r="D52" s="63" t="str">
        <f>IFERROR(VLOOKUP(B52,منتجات!$A$3:$C$350,3,0),"")</f>
        <v/>
      </c>
      <c r="E52" s="63"/>
      <c r="F52" s="63" t="str">
        <f>IFERROR(INDEX(منتجات!$G$3:$G$350,MATCH(B52,منتجات!$A$3:$A$115,0)),"")</f>
        <v/>
      </c>
      <c r="G52" s="63" t="str">
        <f t="shared" si="2"/>
        <v/>
      </c>
      <c r="H52" s="69"/>
    </row>
    <row r="53" spans="1:8" x14ac:dyDescent="0.35">
      <c r="A53" s="64"/>
      <c r="B53" s="65"/>
      <c r="C53" s="65" t="str">
        <f>IFERROR(VLOOKUP(B53,منتجات!$A$3:$C$350,2,0),"")</f>
        <v/>
      </c>
      <c r="D53" s="65" t="str">
        <f>IFERROR(VLOOKUP(B53,منتجات!$A$3:$C$350,3,0),"")</f>
        <v/>
      </c>
      <c r="E53" s="65"/>
      <c r="F53" s="65" t="str">
        <f>IFERROR(INDEX(منتجات!$G$3:$G$350,MATCH(B53,منتجات!$A$3:$A$115,0)),"")</f>
        <v/>
      </c>
      <c r="G53" s="65" t="str">
        <f t="shared" si="2"/>
        <v/>
      </c>
      <c r="H53" s="70"/>
    </row>
    <row r="54" spans="1:8" x14ac:dyDescent="0.35">
      <c r="A54" s="62"/>
      <c r="B54" s="63"/>
      <c r="C54" s="63" t="str">
        <f>IFERROR(VLOOKUP(B54,منتجات!$A$3:$C$350,2,0),"")</f>
        <v/>
      </c>
      <c r="D54" s="63" t="str">
        <f>IFERROR(VLOOKUP(B54,منتجات!$A$3:$C$350,3,0),"")</f>
        <v/>
      </c>
      <c r="E54" s="63"/>
      <c r="F54" s="63" t="str">
        <f>IFERROR(INDEX(منتجات!$G$3:$G$350,MATCH(B54,منتجات!$A$3:$A$115,0)),"")</f>
        <v/>
      </c>
      <c r="G54" s="63" t="str">
        <f t="shared" si="2"/>
        <v/>
      </c>
      <c r="H54" s="69"/>
    </row>
    <row r="55" spans="1:8" x14ac:dyDescent="0.35">
      <c r="A55" s="64"/>
      <c r="B55" s="65"/>
      <c r="C55" s="65" t="str">
        <f>IFERROR(VLOOKUP(B55,منتجات!$A$3:$C$350,2,0),"")</f>
        <v/>
      </c>
      <c r="D55" s="65" t="str">
        <f>IFERROR(VLOOKUP(B55,منتجات!$A$3:$C$350,3,0),"")</f>
        <v/>
      </c>
      <c r="E55" s="65"/>
      <c r="F55" s="65" t="str">
        <f>IFERROR(INDEX(منتجات!$G$3:$G$350,MATCH(B55,منتجات!$A$3:$A$115,0)),"")</f>
        <v/>
      </c>
      <c r="G55" s="65" t="str">
        <f t="shared" si="2"/>
        <v/>
      </c>
      <c r="H55" s="70"/>
    </row>
    <row r="56" spans="1:8" x14ac:dyDescent="0.35">
      <c r="A56" s="62"/>
      <c r="B56" s="63"/>
      <c r="C56" s="63" t="str">
        <f>IFERROR(VLOOKUP(B56,منتجات!$A$3:$C$350,2,0),"")</f>
        <v/>
      </c>
      <c r="D56" s="63" t="str">
        <f>IFERROR(VLOOKUP(B56,منتجات!$A$3:$C$350,3,0),"")</f>
        <v/>
      </c>
      <c r="E56" s="63"/>
      <c r="F56" s="63" t="str">
        <f>IFERROR(INDEX(منتجات!$G$3:$G$350,MATCH(B56,منتجات!$A$3:$A$115,0)),"")</f>
        <v/>
      </c>
      <c r="G56" s="63" t="str">
        <f t="shared" si="2"/>
        <v/>
      </c>
      <c r="H56" s="69"/>
    </row>
    <row r="57" spans="1:8" x14ac:dyDescent="0.35">
      <c r="A57" s="64"/>
      <c r="B57" s="65"/>
      <c r="C57" s="65" t="str">
        <f>IFERROR(VLOOKUP(B57,منتجات!$A$3:$C$350,2,0),"")</f>
        <v/>
      </c>
      <c r="D57" s="65" t="str">
        <f>IFERROR(VLOOKUP(B57,منتجات!$A$3:$C$350,3,0),"")</f>
        <v/>
      </c>
      <c r="E57" s="65"/>
      <c r="F57" s="65" t="str">
        <f>IFERROR(INDEX(منتجات!$G$3:$G$350,MATCH(B57,منتجات!$A$3:$A$115,0)),"")</f>
        <v/>
      </c>
      <c r="G57" s="65" t="str">
        <f t="shared" si="2"/>
        <v/>
      </c>
      <c r="H57" s="70"/>
    </row>
    <row r="58" spans="1:8" x14ac:dyDescent="0.35">
      <c r="A58" s="62"/>
      <c r="B58" s="63"/>
      <c r="C58" s="63" t="str">
        <f>IFERROR(VLOOKUP(B58,منتجات!$A$3:$C$350,2,0),"")</f>
        <v/>
      </c>
      <c r="D58" s="63" t="str">
        <f>IFERROR(VLOOKUP(B58,منتجات!$A$3:$C$350,3,0),"")</f>
        <v/>
      </c>
      <c r="E58" s="63"/>
      <c r="F58" s="63" t="str">
        <f>IFERROR(INDEX(منتجات!$G$3:$G$350,MATCH(B58,منتجات!$A$3:$A$115,0)),"")</f>
        <v/>
      </c>
      <c r="G58" s="63" t="str">
        <f t="shared" si="2"/>
        <v/>
      </c>
      <c r="H58" s="69"/>
    </row>
    <row r="59" spans="1:8" x14ac:dyDescent="0.35">
      <c r="A59" s="64"/>
      <c r="B59" s="65"/>
      <c r="C59" s="65" t="str">
        <f>IFERROR(VLOOKUP(B59,منتجات!$A$3:$C$350,2,0),"")</f>
        <v/>
      </c>
      <c r="D59" s="65" t="str">
        <f>IFERROR(VLOOKUP(B59,منتجات!$A$3:$C$350,3,0),"")</f>
        <v/>
      </c>
      <c r="E59" s="65"/>
      <c r="F59" s="65" t="str">
        <f>IFERROR(INDEX(منتجات!$G$3:$G$350,MATCH(B59,منتجات!$A$3:$A$115,0)),"")</f>
        <v/>
      </c>
      <c r="G59" s="65" t="str">
        <f t="shared" si="2"/>
        <v/>
      </c>
      <c r="H59" s="70"/>
    </row>
    <row r="60" spans="1:8" x14ac:dyDescent="0.35">
      <c r="A60" s="62"/>
      <c r="B60" s="63"/>
      <c r="C60" s="63" t="str">
        <f>IFERROR(VLOOKUP(B60,منتجات!$A$3:$C$350,2,0),"")</f>
        <v/>
      </c>
      <c r="D60" s="63" t="str">
        <f>IFERROR(VLOOKUP(B60,منتجات!$A$3:$C$350,3,0),"")</f>
        <v/>
      </c>
      <c r="E60" s="63"/>
      <c r="F60" s="63" t="str">
        <f>IFERROR(INDEX(منتجات!$G$3:$G$350,MATCH(B60,منتجات!$A$3:$A$115,0)),"")</f>
        <v/>
      </c>
      <c r="G60" s="63" t="str">
        <f t="shared" si="2"/>
        <v/>
      </c>
      <c r="H60" s="69"/>
    </row>
    <row r="61" spans="1:8" x14ac:dyDescent="0.35">
      <c r="A61" s="64"/>
      <c r="B61" s="65"/>
      <c r="C61" s="65" t="str">
        <f>IFERROR(VLOOKUP(B61,منتجات!$A$3:$C$350,2,0),"")</f>
        <v/>
      </c>
      <c r="D61" s="65" t="str">
        <f>IFERROR(VLOOKUP(B61,منتجات!$A$3:$C$350,3,0),"")</f>
        <v/>
      </c>
      <c r="E61" s="65"/>
      <c r="F61" s="65" t="str">
        <f>IFERROR(INDEX(منتجات!$G$3:$G$350,MATCH(B61,منتجات!$A$3:$A$115,0)),"")</f>
        <v/>
      </c>
      <c r="G61" s="65" t="str">
        <f t="shared" si="2"/>
        <v/>
      </c>
      <c r="H61" s="70"/>
    </row>
    <row r="62" spans="1:8" x14ac:dyDescent="0.35">
      <c r="A62" s="62"/>
      <c r="B62" s="63"/>
      <c r="C62" s="63" t="str">
        <f>IFERROR(VLOOKUP(B62,منتجات!$A$3:$C$350,2,0),"")</f>
        <v/>
      </c>
      <c r="D62" s="63" t="str">
        <f>IFERROR(VLOOKUP(B62,منتجات!$A$3:$C$350,3,0),"")</f>
        <v/>
      </c>
      <c r="E62" s="63"/>
      <c r="F62" s="63" t="str">
        <f>IFERROR(INDEX(منتجات!$G$3:$G$350,MATCH(B62,منتجات!$A$3:$A$115,0)),"")</f>
        <v/>
      </c>
      <c r="G62" s="63" t="str">
        <f t="shared" si="2"/>
        <v/>
      </c>
      <c r="H62" s="69"/>
    </row>
    <row r="63" spans="1:8" x14ac:dyDescent="0.35">
      <c r="A63" s="64"/>
      <c r="B63" s="65"/>
      <c r="C63" s="65" t="str">
        <f>IFERROR(VLOOKUP(B63,منتجات!$A$3:$C$350,2,0),"")</f>
        <v/>
      </c>
      <c r="D63" s="65" t="str">
        <f>IFERROR(VLOOKUP(B63,منتجات!$A$3:$C$350,3,0),"")</f>
        <v/>
      </c>
      <c r="E63" s="65"/>
      <c r="F63" s="65" t="str">
        <f>IFERROR(INDEX(منتجات!$G$3:$G$350,MATCH(B63,منتجات!$A$3:$A$115,0)),"")</f>
        <v/>
      </c>
      <c r="G63" s="65" t="str">
        <f t="shared" si="2"/>
        <v/>
      </c>
      <c r="H63" s="70"/>
    </row>
    <row r="64" spans="1:8" x14ac:dyDescent="0.35">
      <c r="A64" s="62"/>
      <c r="B64" s="63"/>
      <c r="C64" s="63" t="str">
        <f>IFERROR(VLOOKUP(B64,منتجات!$A$3:$C$350,2,0),"")</f>
        <v/>
      </c>
      <c r="D64" s="63" t="str">
        <f>IFERROR(VLOOKUP(B64,منتجات!$A$3:$C$350,3,0),"")</f>
        <v/>
      </c>
      <c r="E64" s="63"/>
      <c r="F64" s="63" t="str">
        <f>IFERROR(INDEX(منتجات!$G$3:$G$350,MATCH(B64,منتجات!$A$3:$A$115,0)),"")</f>
        <v/>
      </c>
      <c r="G64" s="63" t="str">
        <f t="shared" si="2"/>
        <v/>
      </c>
      <c r="H64" s="69"/>
    </row>
    <row r="65" spans="1:8" x14ac:dyDescent="0.35">
      <c r="A65" s="64"/>
      <c r="B65" s="65"/>
      <c r="C65" s="65" t="str">
        <f>IFERROR(VLOOKUP(B65,منتجات!$A$3:$C$350,2,0),"")</f>
        <v/>
      </c>
      <c r="D65" s="65" t="str">
        <f>IFERROR(VLOOKUP(B65,منتجات!$A$3:$C$350,3,0),"")</f>
        <v/>
      </c>
      <c r="E65" s="65"/>
      <c r="F65" s="65" t="str">
        <f>IFERROR(INDEX(منتجات!$G$3:$G$350,MATCH(B65,منتجات!$A$3:$A$115,0)),"")</f>
        <v/>
      </c>
      <c r="G65" s="65" t="str">
        <f t="shared" si="2"/>
        <v/>
      </c>
      <c r="H65" s="70"/>
    </row>
    <row r="66" spans="1:8" x14ac:dyDescent="0.35">
      <c r="A66" s="62"/>
      <c r="B66" s="63"/>
      <c r="C66" s="63" t="str">
        <f>IFERROR(VLOOKUP(B66,منتجات!$A$3:$C$350,2,0),"")</f>
        <v/>
      </c>
      <c r="D66" s="63" t="str">
        <f>IFERROR(VLOOKUP(B66,منتجات!$A$3:$C$350,3,0),"")</f>
        <v/>
      </c>
      <c r="E66" s="63"/>
      <c r="F66" s="63" t="str">
        <f>IFERROR(INDEX(منتجات!$G$3:$G$350,MATCH(B66,منتجات!$A$3:$A$115,0)),"")</f>
        <v/>
      </c>
      <c r="G66" s="63" t="str">
        <f t="shared" si="2"/>
        <v/>
      </c>
      <c r="H66" s="69"/>
    </row>
    <row r="67" spans="1:8" x14ac:dyDescent="0.35">
      <c r="A67" s="64"/>
      <c r="B67" s="65"/>
      <c r="C67" s="65" t="str">
        <f>IFERROR(VLOOKUP(B67,منتجات!$A$3:$C$350,2,0),"")</f>
        <v/>
      </c>
      <c r="D67" s="65" t="str">
        <f>IFERROR(VLOOKUP(B67,منتجات!$A$3:$C$350,3,0),"")</f>
        <v/>
      </c>
      <c r="E67" s="65"/>
      <c r="F67" s="65" t="str">
        <f>IFERROR(INDEX(منتجات!$G$3:$G$350,MATCH(B67,منتجات!$A$3:$A$115,0)),"")</f>
        <v/>
      </c>
      <c r="G67" s="65" t="str">
        <f t="shared" si="2"/>
        <v/>
      </c>
      <c r="H67" s="70"/>
    </row>
    <row r="68" spans="1:8" x14ac:dyDescent="0.35">
      <c r="A68" s="62"/>
      <c r="B68" s="63"/>
      <c r="C68" s="63" t="str">
        <f>IFERROR(VLOOKUP(B68,منتجات!$A$3:$C$350,2,0),"")</f>
        <v/>
      </c>
      <c r="D68" s="63" t="str">
        <f>IFERROR(VLOOKUP(B68,منتجات!$A$3:$C$350,3,0),"")</f>
        <v/>
      </c>
      <c r="E68" s="63"/>
      <c r="F68" s="63" t="str">
        <f>IFERROR(INDEX(منتجات!$G$3:$G$350,MATCH(B68,منتجات!$A$3:$A$115,0)),"")</f>
        <v/>
      </c>
      <c r="G68" s="63" t="str">
        <f t="shared" si="2"/>
        <v/>
      </c>
      <c r="H68" s="69"/>
    </row>
    <row r="69" spans="1:8" x14ac:dyDescent="0.35">
      <c r="A69" s="64"/>
      <c r="B69" s="65"/>
      <c r="C69" s="65" t="str">
        <f>IFERROR(VLOOKUP(B69,منتجات!$A$3:$C$350,2,0),"")</f>
        <v/>
      </c>
      <c r="D69" s="65" t="str">
        <f>IFERROR(VLOOKUP(B69,منتجات!$A$3:$C$350,3,0),"")</f>
        <v/>
      </c>
      <c r="E69" s="65"/>
      <c r="F69" s="65" t="str">
        <f>IFERROR(INDEX(منتجات!$G$3:$G$350,MATCH(B69,منتجات!$A$3:$A$115,0)),"")</f>
        <v/>
      </c>
      <c r="G69" s="65" t="str">
        <f t="shared" si="2"/>
        <v/>
      </c>
      <c r="H69" s="70"/>
    </row>
    <row r="70" spans="1:8" x14ac:dyDescent="0.35">
      <c r="A70" s="62"/>
      <c r="B70" s="63"/>
      <c r="C70" s="63" t="str">
        <f>IFERROR(VLOOKUP(B70,منتجات!$A$3:$C$350,2,0),"")</f>
        <v/>
      </c>
      <c r="D70" s="63" t="str">
        <f>IFERROR(VLOOKUP(B70,منتجات!$A$3:$C$350,3,0),"")</f>
        <v/>
      </c>
      <c r="E70" s="63"/>
      <c r="F70" s="63" t="str">
        <f>IFERROR(INDEX(منتجات!$G$3:$G$350,MATCH(B70,منتجات!$A$3:$A$115,0)),"")</f>
        <v/>
      </c>
      <c r="G70" s="63" t="str">
        <f t="shared" ref="G70:G133" si="3">IFERROR(E70*F70*D70,"")</f>
        <v/>
      </c>
      <c r="H70" s="69"/>
    </row>
    <row r="71" spans="1:8" x14ac:dyDescent="0.35">
      <c r="A71" s="64"/>
      <c r="B71" s="65"/>
      <c r="C71" s="65" t="str">
        <f>IFERROR(VLOOKUP(B71,منتجات!$A$3:$C$350,2,0),"")</f>
        <v/>
      </c>
      <c r="D71" s="65" t="str">
        <f>IFERROR(VLOOKUP(B71,منتجات!$A$3:$C$350,3,0),"")</f>
        <v/>
      </c>
      <c r="E71" s="65"/>
      <c r="F71" s="65" t="str">
        <f>IFERROR(INDEX(منتجات!$G$3:$G$350,MATCH(B71,منتجات!$A$3:$A$115,0)),"")</f>
        <v/>
      </c>
      <c r="G71" s="65" t="str">
        <f t="shared" si="3"/>
        <v/>
      </c>
      <c r="H71" s="70"/>
    </row>
    <row r="72" spans="1:8" x14ac:dyDescent="0.35">
      <c r="A72" s="62"/>
      <c r="B72" s="63"/>
      <c r="C72" s="63" t="str">
        <f>IFERROR(VLOOKUP(B72,منتجات!$A$3:$C$350,2,0),"")</f>
        <v/>
      </c>
      <c r="D72" s="63" t="str">
        <f>IFERROR(VLOOKUP(B72,منتجات!$A$3:$C$350,3,0),"")</f>
        <v/>
      </c>
      <c r="E72" s="63"/>
      <c r="F72" s="63" t="str">
        <f>IFERROR(INDEX(منتجات!$G$3:$G$350,MATCH(B72,منتجات!$A$3:$A$115,0)),"")</f>
        <v/>
      </c>
      <c r="G72" s="63" t="str">
        <f t="shared" si="3"/>
        <v/>
      </c>
      <c r="H72" s="69"/>
    </row>
    <row r="73" spans="1:8" x14ac:dyDescent="0.35">
      <c r="A73" s="64"/>
      <c r="B73" s="65"/>
      <c r="C73" s="65" t="str">
        <f>IFERROR(VLOOKUP(B73,منتجات!$A$3:$C$350,2,0),"")</f>
        <v/>
      </c>
      <c r="D73" s="65" t="str">
        <f>IFERROR(VLOOKUP(B73,منتجات!$A$3:$C$350,3,0),"")</f>
        <v/>
      </c>
      <c r="E73" s="65"/>
      <c r="F73" s="65" t="str">
        <f>IFERROR(INDEX(منتجات!$G$3:$G$350,MATCH(B73,منتجات!$A$3:$A$115,0)),"")</f>
        <v/>
      </c>
      <c r="G73" s="65" t="str">
        <f t="shared" si="3"/>
        <v/>
      </c>
      <c r="H73" s="70"/>
    </row>
    <row r="74" spans="1:8" x14ac:dyDescent="0.35">
      <c r="A74" s="62"/>
      <c r="B74" s="63"/>
      <c r="C74" s="63" t="str">
        <f>IFERROR(VLOOKUP(B74,منتجات!$A$3:$C$350,2,0),"")</f>
        <v/>
      </c>
      <c r="D74" s="63" t="str">
        <f>IFERROR(VLOOKUP(B74,منتجات!$A$3:$C$350,3,0),"")</f>
        <v/>
      </c>
      <c r="E74" s="63"/>
      <c r="F74" s="63" t="str">
        <f>IFERROR(INDEX(منتجات!$G$3:$G$350,MATCH(B74,منتجات!$A$3:$A$115,0)),"")</f>
        <v/>
      </c>
      <c r="G74" s="63" t="str">
        <f t="shared" si="3"/>
        <v/>
      </c>
      <c r="H74" s="69"/>
    </row>
    <row r="75" spans="1:8" x14ac:dyDescent="0.35">
      <c r="A75" s="64"/>
      <c r="B75" s="65"/>
      <c r="C75" s="65" t="str">
        <f>IFERROR(VLOOKUP(B75,منتجات!$A$3:$C$350,2,0),"")</f>
        <v/>
      </c>
      <c r="D75" s="65" t="str">
        <f>IFERROR(VLOOKUP(B75,منتجات!$A$3:$C$350,3,0),"")</f>
        <v/>
      </c>
      <c r="E75" s="65"/>
      <c r="F75" s="65" t="str">
        <f>IFERROR(INDEX(منتجات!$G$3:$G$350,MATCH(B75,منتجات!$A$3:$A$115,0)),"")</f>
        <v/>
      </c>
      <c r="G75" s="65" t="str">
        <f t="shared" si="3"/>
        <v/>
      </c>
      <c r="H75" s="70"/>
    </row>
    <row r="76" spans="1:8" x14ac:dyDescent="0.35">
      <c r="A76" s="62"/>
      <c r="B76" s="63"/>
      <c r="C76" s="63" t="str">
        <f>IFERROR(VLOOKUP(B76,منتجات!$A$3:$C$350,2,0),"")</f>
        <v/>
      </c>
      <c r="D76" s="63" t="str">
        <f>IFERROR(VLOOKUP(B76,منتجات!$A$3:$C$350,3,0),"")</f>
        <v/>
      </c>
      <c r="E76" s="63"/>
      <c r="F76" s="63" t="str">
        <f>IFERROR(INDEX(منتجات!$G$3:$G$350,MATCH(B76,منتجات!$A$3:$A$115,0)),"")</f>
        <v/>
      </c>
      <c r="G76" s="63" t="str">
        <f t="shared" si="3"/>
        <v/>
      </c>
      <c r="H76" s="69"/>
    </row>
    <row r="77" spans="1:8" x14ac:dyDescent="0.35">
      <c r="A77" s="64"/>
      <c r="B77" s="65"/>
      <c r="C77" s="65" t="str">
        <f>IFERROR(VLOOKUP(B77,منتجات!$A$3:$C$350,2,0),"")</f>
        <v/>
      </c>
      <c r="D77" s="65" t="str">
        <f>IFERROR(VLOOKUP(B77,منتجات!$A$3:$C$350,3,0),"")</f>
        <v/>
      </c>
      <c r="E77" s="65"/>
      <c r="F77" s="65" t="str">
        <f>IFERROR(INDEX(منتجات!$G$3:$G$350,MATCH(B77,منتجات!$A$3:$A$115,0)),"")</f>
        <v/>
      </c>
      <c r="G77" s="65" t="str">
        <f t="shared" si="3"/>
        <v/>
      </c>
      <c r="H77" s="70"/>
    </row>
    <row r="78" spans="1:8" x14ac:dyDescent="0.35">
      <c r="A78" s="62"/>
      <c r="B78" s="63"/>
      <c r="C78" s="63" t="str">
        <f>IFERROR(VLOOKUP(B78,منتجات!$A$3:$C$350,2,0),"")</f>
        <v/>
      </c>
      <c r="D78" s="63" t="str">
        <f>IFERROR(VLOOKUP(B78,منتجات!$A$3:$C$350,3,0),"")</f>
        <v/>
      </c>
      <c r="E78" s="63"/>
      <c r="F78" s="63" t="str">
        <f>IFERROR(INDEX(منتجات!$G$3:$G$350,MATCH(B78,منتجات!$A$3:$A$115,0)),"")</f>
        <v/>
      </c>
      <c r="G78" s="63" t="str">
        <f t="shared" si="3"/>
        <v/>
      </c>
      <c r="H78" s="69"/>
    </row>
    <row r="79" spans="1:8" x14ac:dyDescent="0.35">
      <c r="A79" s="64"/>
      <c r="B79" s="65"/>
      <c r="C79" s="65" t="str">
        <f>IFERROR(VLOOKUP(B79,منتجات!$A$3:$C$350,2,0),"")</f>
        <v/>
      </c>
      <c r="D79" s="65" t="str">
        <f>IFERROR(VLOOKUP(B79,منتجات!$A$3:$C$350,3,0),"")</f>
        <v/>
      </c>
      <c r="E79" s="65"/>
      <c r="F79" s="65" t="str">
        <f>IFERROR(INDEX(منتجات!$G$3:$G$350,MATCH(B79,منتجات!$A$3:$A$115,0)),"")</f>
        <v/>
      </c>
      <c r="G79" s="65" t="str">
        <f t="shared" si="3"/>
        <v/>
      </c>
      <c r="H79" s="70"/>
    </row>
    <row r="80" spans="1:8" x14ac:dyDescent="0.35">
      <c r="A80" s="62"/>
      <c r="B80" s="63"/>
      <c r="C80" s="63" t="str">
        <f>IFERROR(VLOOKUP(B80,منتجات!$A$3:$C$350,2,0),"")</f>
        <v/>
      </c>
      <c r="D80" s="63" t="str">
        <f>IFERROR(VLOOKUP(B80,منتجات!$A$3:$C$350,3,0),"")</f>
        <v/>
      </c>
      <c r="E80" s="63"/>
      <c r="F80" s="63" t="str">
        <f>IFERROR(INDEX(منتجات!$G$3:$G$350,MATCH(B80,منتجات!$A$3:$A$115,0)),"")</f>
        <v/>
      </c>
      <c r="G80" s="63" t="str">
        <f t="shared" si="3"/>
        <v/>
      </c>
      <c r="H80" s="69"/>
    </row>
    <row r="81" spans="1:8" x14ac:dyDescent="0.35">
      <c r="A81" s="64"/>
      <c r="B81" s="65"/>
      <c r="C81" s="65" t="str">
        <f>IFERROR(VLOOKUP(B81,منتجات!$A$3:$C$350,2,0),"")</f>
        <v/>
      </c>
      <c r="D81" s="65" t="str">
        <f>IFERROR(VLOOKUP(B81,منتجات!$A$3:$C$350,3,0),"")</f>
        <v/>
      </c>
      <c r="E81" s="65"/>
      <c r="F81" s="65" t="str">
        <f>IFERROR(INDEX(منتجات!$G$3:$G$350,MATCH(B81,منتجات!$A$3:$A$115,0)),"")</f>
        <v/>
      </c>
      <c r="G81" s="65" t="str">
        <f t="shared" si="3"/>
        <v/>
      </c>
      <c r="H81" s="70"/>
    </row>
    <row r="82" spans="1:8" x14ac:dyDescent="0.35">
      <c r="A82" s="62"/>
      <c r="B82" s="63"/>
      <c r="C82" s="63" t="str">
        <f>IFERROR(VLOOKUP(B82,منتجات!$A$3:$C$350,2,0),"")</f>
        <v/>
      </c>
      <c r="D82" s="63" t="str">
        <f>IFERROR(VLOOKUP(B82,منتجات!$A$3:$C$350,3,0),"")</f>
        <v/>
      </c>
      <c r="E82" s="63"/>
      <c r="F82" s="63" t="str">
        <f>IFERROR(INDEX(منتجات!$G$3:$G$350,MATCH(B82,منتجات!$A$3:$A$115,0)),"")</f>
        <v/>
      </c>
      <c r="G82" s="63" t="str">
        <f t="shared" si="3"/>
        <v/>
      </c>
      <c r="H82" s="69"/>
    </row>
    <row r="83" spans="1:8" x14ac:dyDescent="0.35">
      <c r="A83" s="64"/>
      <c r="B83" s="65"/>
      <c r="C83" s="65" t="str">
        <f>IFERROR(VLOOKUP(B83,منتجات!$A$3:$C$350,2,0),"")</f>
        <v/>
      </c>
      <c r="D83" s="65" t="str">
        <f>IFERROR(VLOOKUP(B83,منتجات!$A$3:$C$350,3,0),"")</f>
        <v/>
      </c>
      <c r="E83" s="65"/>
      <c r="F83" s="65" t="str">
        <f>IFERROR(INDEX(منتجات!$G$3:$G$350,MATCH(B83,منتجات!$A$3:$A$115,0)),"")</f>
        <v/>
      </c>
      <c r="G83" s="65" t="str">
        <f t="shared" si="3"/>
        <v/>
      </c>
      <c r="H83" s="70"/>
    </row>
    <row r="84" spans="1:8" x14ac:dyDescent="0.35">
      <c r="A84" s="62"/>
      <c r="B84" s="63"/>
      <c r="C84" s="63" t="str">
        <f>IFERROR(VLOOKUP(B84,منتجات!$A$3:$C$350,2,0),"")</f>
        <v/>
      </c>
      <c r="D84" s="63" t="str">
        <f>IFERROR(VLOOKUP(B84,منتجات!$A$3:$C$350,3,0),"")</f>
        <v/>
      </c>
      <c r="E84" s="63"/>
      <c r="F84" s="63" t="str">
        <f>IFERROR(INDEX(منتجات!$G$3:$G$350,MATCH(B84,منتجات!$A$3:$A$115,0)),"")</f>
        <v/>
      </c>
      <c r="G84" s="63" t="str">
        <f t="shared" si="3"/>
        <v/>
      </c>
      <c r="H84" s="69"/>
    </row>
    <row r="85" spans="1:8" x14ac:dyDescent="0.35">
      <c r="A85" s="64"/>
      <c r="B85" s="65"/>
      <c r="C85" s="65" t="str">
        <f>IFERROR(VLOOKUP(B85,منتجات!$A$3:$C$350,2,0),"")</f>
        <v/>
      </c>
      <c r="D85" s="65" t="str">
        <f>IFERROR(VLOOKUP(B85,منتجات!$A$3:$C$350,3,0),"")</f>
        <v/>
      </c>
      <c r="E85" s="65"/>
      <c r="F85" s="65" t="str">
        <f>IFERROR(INDEX(منتجات!$G$3:$G$350,MATCH(B85,منتجات!$A$3:$A$115,0)),"")</f>
        <v/>
      </c>
      <c r="G85" s="65" t="str">
        <f t="shared" si="3"/>
        <v/>
      </c>
      <c r="H85" s="70"/>
    </row>
    <row r="86" spans="1:8" x14ac:dyDescent="0.35">
      <c r="A86" s="62"/>
      <c r="B86" s="63"/>
      <c r="C86" s="63" t="str">
        <f>IFERROR(VLOOKUP(B86,منتجات!$A$3:$C$350,2,0),"")</f>
        <v/>
      </c>
      <c r="D86" s="63" t="str">
        <f>IFERROR(VLOOKUP(B86,منتجات!$A$3:$C$350,3,0),"")</f>
        <v/>
      </c>
      <c r="E86" s="63"/>
      <c r="F86" s="63" t="str">
        <f>IFERROR(INDEX(منتجات!$G$3:$G$350,MATCH(B86,منتجات!$A$3:$A$115,0)),"")</f>
        <v/>
      </c>
      <c r="G86" s="63" t="str">
        <f t="shared" si="3"/>
        <v/>
      </c>
      <c r="H86" s="69"/>
    </row>
    <row r="87" spans="1:8" x14ac:dyDescent="0.35">
      <c r="A87" s="64"/>
      <c r="B87" s="65"/>
      <c r="C87" s="65" t="str">
        <f>IFERROR(VLOOKUP(B87,منتجات!$A$3:$C$350,2,0),"")</f>
        <v/>
      </c>
      <c r="D87" s="65" t="str">
        <f>IFERROR(VLOOKUP(B87,منتجات!$A$3:$C$350,3,0),"")</f>
        <v/>
      </c>
      <c r="E87" s="65"/>
      <c r="F87" s="65" t="str">
        <f>IFERROR(INDEX(منتجات!$G$3:$G$350,MATCH(B87,منتجات!$A$3:$A$115,0)),"")</f>
        <v/>
      </c>
      <c r="G87" s="65" t="str">
        <f t="shared" si="3"/>
        <v/>
      </c>
      <c r="H87" s="70"/>
    </row>
    <row r="88" spans="1:8" x14ac:dyDescent="0.35">
      <c r="A88" s="62"/>
      <c r="B88" s="63"/>
      <c r="C88" s="63" t="str">
        <f>IFERROR(VLOOKUP(B88,منتجات!$A$3:$C$350,2,0),"")</f>
        <v/>
      </c>
      <c r="D88" s="63" t="str">
        <f>IFERROR(VLOOKUP(B88,منتجات!$A$3:$C$350,3,0),"")</f>
        <v/>
      </c>
      <c r="E88" s="63"/>
      <c r="F88" s="63" t="str">
        <f>IFERROR(INDEX(منتجات!$G$3:$G$350,MATCH(B88,منتجات!$A$3:$A$115,0)),"")</f>
        <v/>
      </c>
      <c r="G88" s="63" t="str">
        <f t="shared" si="3"/>
        <v/>
      </c>
      <c r="H88" s="69"/>
    </row>
    <row r="89" spans="1:8" x14ac:dyDescent="0.35">
      <c r="A89" s="64"/>
      <c r="B89" s="65"/>
      <c r="C89" s="65" t="str">
        <f>IFERROR(VLOOKUP(B89,منتجات!$A$3:$C$350,2,0),"")</f>
        <v/>
      </c>
      <c r="D89" s="65" t="str">
        <f>IFERROR(VLOOKUP(B89,منتجات!$A$3:$C$350,3,0),"")</f>
        <v/>
      </c>
      <c r="E89" s="65"/>
      <c r="F89" s="65" t="str">
        <f>IFERROR(INDEX(منتجات!$G$3:$G$350,MATCH(B89,منتجات!$A$3:$A$115,0)),"")</f>
        <v/>
      </c>
      <c r="G89" s="65" t="str">
        <f t="shared" si="3"/>
        <v/>
      </c>
      <c r="H89" s="70"/>
    </row>
    <row r="90" spans="1:8" x14ac:dyDescent="0.35">
      <c r="A90" s="62"/>
      <c r="B90" s="63"/>
      <c r="C90" s="63" t="str">
        <f>IFERROR(VLOOKUP(B90,منتجات!$A$3:$C$350,2,0),"")</f>
        <v/>
      </c>
      <c r="D90" s="63" t="str">
        <f>IFERROR(VLOOKUP(B90,منتجات!$A$3:$C$350,3,0),"")</f>
        <v/>
      </c>
      <c r="E90" s="63"/>
      <c r="F90" s="63" t="str">
        <f>IFERROR(INDEX(منتجات!$G$3:$G$350,MATCH(B90,منتجات!$A$3:$A$115,0)),"")</f>
        <v/>
      </c>
      <c r="G90" s="63" t="str">
        <f t="shared" si="3"/>
        <v/>
      </c>
      <c r="H90" s="69"/>
    </row>
    <row r="91" spans="1:8" x14ac:dyDescent="0.35">
      <c r="A91" s="64"/>
      <c r="B91" s="65"/>
      <c r="C91" s="65" t="str">
        <f>IFERROR(VLOOKUP(B91,منتجات!$A$3:$C$350,2,0),"")</f>
        <v/>
      </c>
      <c r="D91" s="65" t="str">
        <f>IFERROR(VLOOKUP(B91,منتجات!$A$3:$C$350,3,0),"")</f>
        <v/>
      </c>
      <c r="E91" s="65"/>
      <c r="F91" s="65" t="str">
        <f>IFERROR(INDEX(منتجات!$G$3:$G$350,MATCH(B91,منتجات!$A$3:$A$115,0)),"")</f>
        <v/>
      </c>
      <c r="G91" s="65" t="str">
        <f t="shared" si="3"/>
        <v/>
      </c>
      <c r="H91" s="70"/>
    </row>
    <row r="92" spans="1:8" x14ac:dyDescent="0.35">
      <c r="A92" s="62"/>
      <c r="B92" s="63"/>
      <c r="C92" s="63" t="str">
        <f>IFERROR(VLOOKUP(B92,منتجات!$A$3:$C$350,2,0),"")</f>
        <v/>
      </c>
      <c r="D92" s="63" t="str">
        <f>IFERROR(VLOOKUP(B92,منتجات!$A$3:$C$350,3,0),"")</f>
        <v/>
      </c>
      <c r="E92" s="63"/>
      <c r="F92" s="63" t="str">
        <f>IFERROR(INDEX(منتجات!$G$3:$G$350,MATCH(B92,منتجات!$A$3:$A$115,0)),"")</f>
        <v/>
      </c>
      <c r="G92" s="63" t="str">
        <f t="shared" si="3"/>
        <v/>
      </c>
      <c r="H92" s="69"/>
    </row>
    <row r="93" spans="1:8" x14ac:dyDescent="0.35">
      <c r="A93" s="64"/>
      <c r="B93" s="65"/>
      <c r="C93" s="65" t="str">
        <f>IFERROR(VLOOKUP(B93,منتجات!$A$3:$C$350,2,0),"")</f>
        <v/>
      </c>
      <c r="D93" s="65" t="str">
        <f>IFERROR(VLOOKUP(B93,منتجات!$A$3:$C$350,3,0),"")</f>
        <v/>
      </c>
      <c r="E93" s="65"/>
      <c r="F93" s="65" t="str">
        <f>IFERROR(INDEX(منتجات!$G$3:$G$350,MATCH(B93,منتجات!$A$3:$A$115,0)),"")</f>
        <v/>
      </c>
      <c r="G93" s="65" t="str">
        <f t="shared" si="3"/>
        <v/>
      </c>
      <c r="H93" s="70"/>
    </row>
    <row r="94" spans="1:8" x14ac:dyDescent="0.35">
      <c r="A94" s="62"/>
      <c r="B94" s="63"/>
      <c r="C94" s="63" t="str">
        <f>IFERROR(VLOOKUP(B94,منتجات!$A$3:$C$350,2,0),"")</f>
        <v/>
      </c>
      <c r="D94" s="63" t="str">
        <f>IFERROR(VLOOKUP(B94,منتجات!$A$3:$C$350,3,0),"")</f>
        <v/>
      </c>
      <c r="E94" s="63"/>
      <c r="F94" s="63" t="str">
        <f>IFERROR(INDEX(منتجات!$G$3:$G$350,MATCH(B94,منتجات!$A$3:$A$115,0)),"")</f>
        <v/>
      </c>
      <c r="G94" s="63" t="str">
        <f t="shared" si="3"/>
        <v/>
      </c>
      <c r="H94" s="69"/>
    </row>
    <row r="95" spans="1:8" x14ac:dyDescent="0.35">
      <c r="A95" s="64"/>
      <c r="B95" s="65"/>
      <c r="C95" s="65" t="str">
        <f>IFERROR(VLOOKUP(B95,منتجات!$A$3:$C$350,2,0),"")</f>
        <v/>
      </c>
      <c r="D95" s="65" t="str">
        <f>IFERROR(VLOOKUP(B95,منتجات!$A$3:$C$350,3,0),"")</f>
        <v/>
      </c>
      <c r="E95" s="65"/>
      <c r="F95" s="65" t="str">
        <f>IFERROR(INDEX(منتجات!$G$3:$G$350,MATCH(B95,منتجات!$A$3:$A$115,0)),"")</f>
        <v/>
      </c>
      <c r="G95" s="65" t="str">
        <f t="shared" si="3"/>
        <v/>
      </c>
      <c r="H95" s="70"/>
    </row>
    <row r="96" spans="1:8" x14ac:dyDescent="0.35">
      <c r="A96" s="62"/>
      <c r="B96" s="63"/>
      <c r="C96" s="63" t="str">
        <f>IFERROR(VLOOKUP(B96,منتجات!$A$3:$C$350,2,0),"")</f>
        <v/>
      </c>
      <c r="D96" s="63" t="str">
        <f>IFERROR(VLOOKUP(B96,منتجات!$A$3:$C$350,3,0),"")</f>
        <v/>
      </c>
      <c r="E96" s="63"/>
      <c r="F96" s="63" t="str">
        <f>IFERROR(INDEX(منتجات!$G$3:$G$350,MATCH(B96,منتجات!$A$3:$A$115,0)),"")</f>
        <v/>
      </c>
      <c r="G96" s="63" t="str">
        <f t="shared" si="3"/>
        <v/>
      </c>
      <c r="H96" s="69"/>
    </row>
    <row r="97" spans="1:8" x14ac:dyDescent="0.35">
      <c r="A97" s="64"/>
      <c r="B97" s="65"/>
      <c r="C97" s="65" t="str">
        <f>IFERROR(VLOOKUP(B97,منتجات!$A$3:$C$350,2,0),"")</f>
        <v/>
      </c>
      <c r="D97" s="65" t="str">
        <f>IFERROR(VLOOKUP(B97,منتجات!$A$3:$C$350,3,0),"")</f>
        <v/>
      </c>
      <c r="E97" s="65"/>
      <c r="F97" s="65" t="str">
        <f>IFERROR(INDEX(منتجات!$G$3:$G$350,MATCH(B97,منتجات!$A$3:$A$115,0)),"")</f>
        <v/>
      </c>
      <c r="G97" s="65" t="str">
        <f t="shared" si="3"/>
        <v/>
      </c>
      <c r="H97" s="70"/>
    </row>
    <row r="98" spans="1:8" x14ac:dyDescent="0.35">
      <c r="A98" s="62"/>
      <c r="B98" s="63"/>
      <c r="C98" s="63" t="str">
        <f>IFERROR(VLOOKUP(B98,منتجات!$A$3:$C$350,2,0),"")</f>
        <v/>
      </c>
      <c r="D98" s="63" t="str">
        <f>IFERROR(VLOOKUP(B98,منتجات!$A$3:$C$350,3,0),"")</f>
        <v/>
      </c>
      <c r="E98" s="63"/>
      <c r="F98" s="63" t="str">
        <f>IFERROR(INDEX(منتجات!$G$3:$G$350,MATCH(B98,منتجات!$A$3:$A$115,0)),"")</f>
        <v/>
      </c>
      <c r="G98" s="63" t="str">
        <f t="shared" si="3"/>
        <v/>
      </c>
      <c r="H98" s="69"/>
    </row>
    <row r="99" spans="1:8" x14ac:dyDescent="0.35">
      <c r="A99" s="64"/>
      <c r="B99" s="65"/>
      <c r="C99" s="65" t="str">
        <f>IFERROR(VLOOKUP(B99,منتجات!$A$3:$C$350,2,0),"")</f>
        <v/>
      </c>
      <c r="D99" s="65" t="str">
        <f>IFERROR(VLOOKUP(B99,منتجات!$A$3:$C$350,3,0),"")</f>
        <v/>
      </c>
      <c r="E99" s="65"/>
      <c r="F99" s="65" t="str">
        <f>IFERROR(INDEX(منتجات!$G$3:$G$350,MATCH(B99,منتجات!$A$3:$A$115,0)),"")</f>
        <v/>
      </c>
      <c r="G99" s="65" t="str">
        <f t="shared" si="3"/>
        <v/>
      </c>
      <c r="H99" s="70"/>
    </row>
    <row r="100" spans="1:8" x14ac:dyDescent="0.35">
      <c r="A100" s="62"/>
      <c r="B100" s="63"/>
      <c r="C100" s="63" t="str">
        <f>IFERROR(VLOOKUP(B100,منتجات!$A$3:$C$350,2,0),"")</f>
        <v/>
      </c>
      <c r="D100" s="63" t="str">
        <f>IFERROR(VLOOKUP(B100,منتجات!$A$3:$C$350,3,0),"")</f>
        <v/>
      </c>
      <c r="E100" s="63"/>
      <c r="F100" s="63" t="str">
        <f>IFERROR(INDEX(منتجات!$G$3:$G$350,MATCH(B100,منتجات!$A$3:$A$115,0)),"")</f>
        <v/>
      </c>
      <c r="G100" s="63" t="str">
        <f t="shared" si="3"/>
        <v/>
      </c>
      <c r="H100" s="69"/>
    </row>
    <row r="101" spans="1:8" x14ac:dyDescent="0.35">
      <c r="A101" s="64"/>
      <c r="B101" s="65"/>
      <c r="C101" s="65" t="str">
        <f>IFERROR(VLOOKUP(B101,منتجات!$A$3:$C$350,2,0),"")</f>
        <v/>
      </c>
      <c r="D101" s="65" t="str">
        <f>IFERROR(VLOOKUP(B101,منتجات!$A$3:$C$350,3,0),"")</f>
        <v/>
      </c>
      <c r="E101" s="65"/>
      <c r="F101" s="65" t="str">
        <f>IFERROR(INDEX(منتجات!$G$3:$G$350,MATCH(B101,منتجات!$A$3:$A$115,0)),"")</f>
        <v/>
      </c>
      <c r="G101" s="65" t="str">
        <f t="shared" si="3"/>
        <v/>
      </c>
      <c r="H101" s="70"/>
    </row>
    <row r="102" spans="1:8" x14ac:dyDescent="0.35">
      <c r="A102" s="62"/>
      <c r="B102" s="63"/>
      <c r="C102" s="63" t="str">
        <f>IFERROR(VLOOKUP(B102,منتجات!$A$3:$C$350,2,0),"")</f>
        <v/>
      </c>
      <c r="D102" s="63" t="str">
        <f>IFERROR(VLOOKUP(B102,منتجات!$A$3:$C$350,3,0),"")</f>
        <v/>
      </c>
      <c r="E102" s="63"/>
      <c r="F102" s="63" t="str">
        <f>IFERROR(INDEX(منتجات!$G$3:$G$350,MATCH(B102,منتجات!$A$3:$A$115,0)),"")</f>
        <v/>
      </c>
      <c r="G102" s="63" t="str">
        <f t="shared" si="3"/>
        <v/>
      </c>
      <c r="H102" s="69"/>
    </row>
    <row r="103" spans="1:8" x14ac:dyDescent="0.35">
      <c r="A103" s="64"/>
      <c r="B103" s="65"/>
      <c r="C103" s="65" t="str">
        <f>IFERROR(VLOOKUP(B103,منتجات!$A$3:$C$350,2,0),"")</f>
        <v/>
      </c>
      <c r="D103" s="65" t="str">
        <f>IFERROR(VLOOKUP(B103,منتجات!$A$3:$C$350,3,0),"")</f>
        <v/>
      </c>
      <c r="E103" s="65"/>
      <c r="F103" s="65" t="str">
        <f>IFERROR(INDEX(منتجات!$G$3:$G$350,MATCH(B103,منتجات!$A$3:$A$115,0)),"")</f>
        <v/>
      </c>
      <c r="G103" s="65" t="str">
        <f t="shared" si="3"/>
        <v/>
      </c>
      <c r="H103" s="70"/>
    </row>
    <row r="104" spans="1:8" x14ac:dyDescent="0.35">
      <c r="A104" s="62"/>
      <c r="B104" s="63"/>
      <c r="C104" s="63" t="str">
        <f>IFERROR(VLOOKUP(B104,منتجات!$A$3:$C$350,2,0),"")</f>
        <v/>
      </c>
      <c r="D104" s="63" t="str">
        <f>IFERROR(VLOOKUP(B104,منتجات!$A$3:$C$350,3,0),"")</f>
        <v/>
      </c>
      <c r="E104" s="63"/>
      <c r="F104" s="63" t="str">
        <f>IFERROR(INDEX(منتجات!$G$3:$G$350,MATCH(B104,منتجات!$A$3:$A$115,0)),"")</f>
        <v/>
      </c>
      <c r="G104" s="63" t="str">
        <f t="shared" si="3"/>
        <v/>
      </c>
      <c r="H104" s="69"/>
    </row>
    <row r="105" spans="1:8" x14ac:dyDescent="0.35">
      <c r="A105" s="64"/>
      <c r="B105" s="65"/>
      <c r="C105" s="65" t="str">
        <f>IFERROR(VLOOKUP(B105,منتجات!$A$3:$C$350,2,0),"")</f>
        <v/>
      </c>
      <c r="D105" s="65" t="str">
        <f>IFERROR(VLOOKUP(B105,منتجات!$A$3:$C$350,3,0),"")</f>
        <v/>
      </c>
      <c r="E105" s="65"/>
      <c r="F105" s="65" t="str">
        <f>IFERROR(INDEX(منتجات!$G$3:$G$350,MATCH(B105,منتجات!$A$3:$A$115,0)),"")</f>
        <v/>
      </c>
      <c r="G105" s="65" t="str">
        <f t="shared" si="3"/>
        <v/>
      </c>
      <c r="H105" s="70"/>
    </row>
    <row r="106" spans="1:8" x14ac:dyDescent="0.35">
      <c r="A106" s="62"/>
      <c r="B106" s="63"/>
      <c r="C106" s="63" t="str">
        <f>IFERROR(VLOOKUP(B106,منتجات!$A$3:$C$350,2,0),"")</f>
        <v/>
      </c>
      <c r="D106" s="63" t="str">
        <f>IFERROR(VLOOKUP(B106,منتجات!$A$3:$C$350,3,0),"")</f>
        <v/>
      </c>
      <c r="E106" s="63"/>
      <c r="F106" s="63" t="str">
        <f>IFERROR(INDEX(منتجات!$G$3:$G$350,MATCH(B106,منتجات!$A$3:$A$115,0)),"")</f>
        <v/>
      </c>
      <c r="G106" s="63" t="str">
        <f t="shared" si="3"/>
        <v/>
      </c>
      <c r="H106" s="69"/>
    </row>
    <row r="107" spans="1:8" x14ac:dyDescent="0.35">
      <c r="A107" s="64"/>
      <c r="B107" s="65"/>
      <c r="C107" s="65" t="str">
        <f>IFERROR(VLOOKUP(B107,منتجات!$A$3:$C$350,2,0),"")</f>
        <v/>
      </c>
      <c r="D107" s="65" t="str">
        <f>IFERROR(VLOOKUP(B107,منتجات!$A$3:$C$350,3,0),"")</f>
        <v/>
      </c>
      <c r="E107" s="65"/>
      <c r="F107" s="65" t="str">
        <f>IFERROR(INDEX(منتجات!$G$3:$G$350,MATCH(B107,منتجات!$A$3:$A$115,0)),"")</f>
        <v/>
      </c>
      <c r="G107" s="65" t="str">
        <f t="shared" si="3"/>
        <v/>
      </c>
      <c r="H107" s="70"/>
    </row>
    <row r="108" spans="1:8" x14ac:dyDescent="0.35">
      <c r="A108" s="62"/>
      <c r="B108" s="63"/>
      <c r="C108" s="63" t="str">
        <f>IFERROR(VLOOKUP(B108,منتجات!$A$3:$C$350,2,0),"")</f>
        <v/>
      </c>
      <c r="D108" s="63" t="str">
        <f>IFERROR(VLOOKUP(B108,منتجات!$A$3:$C$350,3,0),"")</f>
        <v/>
      </c>
      <c r="E108" s="63"/>
      <c r="F108" s="63" t="str">
        <f>IFERROR(INDEX(منتجات!$G$3:$G$350,MATCH(B108,منتجات!$A$3:$A$115,0)),"")</f>
        <v/>
      </c>
      <c r="G108" s="63" t="str">
        <f t="shared" si="3"/>
        <v/>
      </c>
      <c r="H108" s="69"/>
    </row>
    <row r="109" spans="1:8" x14ac:dyDescent="0.35">
      <c r="A109" s="64"/>
      <c r="B109" s="65"/>
      <c r="C109" s="65" t="str">
        <f>IFERROR(VLOOKUP(B109,منتجات!$A$3:$C$350,2,0),"")</f>
        <v/>
      </c>
      <c r="D109" s="65" t="str">
        <f>IFERROR(VLOOKUP(B109,منتجات!$A$3:$C$350,3,0),"")</f>
        <v/>
      </c>
      <c r="E109" s="65"/>
      <c r="F109" s="65" t="str">
        <f>IFERROR(INDEX(منتجات!$G$3:$G$350,MATCH(B109,منتجات!$A$3:$A$115,0)),"")</f>
        <v/>
      </c>
      <c r="G109" s="65" t="str">
        <f t="shared" si="3"/>
        <v/>
      </c>
      <c r="H109" s="70"/>
    </row>
    <row r="110" spans="1:8" x14ac:dyDescent="0.35">
      <c r="A110" s="62"/>
      <c r="B110" s="63"/>
      <c r="C110" s="63" t="str">
        <f>IFERROR(VLOOKUP(B110,منتجات!$A$3:$C$350,2,0),"")</f>
        <v/>
      </c>
      <c r="D110" s="63" t="str">
        <f>IFERROR(VLOOKUP(B110,منتجات!$A$3:$C$350,3,0),"")</f>
        <v/>
      </c>
      <c r="E110" s="63"/>
      <c r="F110" s="63" t="str">
        <f>IFERROR(INDEX(منتجات!$G$3:$G$350,MATCH(B110,منتجات!$A$3:$A$115,0)),"")</f>
        <v/>
      </c>
      <c r="G110" s="63" t="str">
        <f t="shared" si="3"/>
        <v/>
      </c>
      <c r="H110" s="69"/>
    </row>
    <row r="111" spans="1:8" x14ac:dyDescent="0.35">
      <c r="A111" s="64"/>
      <c r="B111" s="65"/>
      <c r="C111" s="65" t="str">
        <f>IFERROR(VLOOKUP(B111,منتجات!$A$3:$C$350,2,0),"")</f>
        <v/>
      </c>
      <c r="D111" s="65" t="str">
        <f>IFERROR(VLOOKUP(B111,منتجات!$A$3:$C$350,3,0),"")</f>
        <v/>
      </c>
      <c r="E111" s="65"/>
      <c r="F111" s="65" t="str">
        <f>IFERROR(INDEX(منتجات!$G$3:$G$350,MATCH(B111,منتجات!$A$3:$A$115,0)),"")</f>
        <v/>
      </c>
      <c r="G111" s="65" t="str">
        <f t="shared" si="3"/>
        <v/>
      </c>
      <c r="H111" s="70"/>
    </row>
    <row r="112" spans="1:8" x14ac:dyDescent="0.35">
      <c r="A112" s="62"/>
      <c r="B112" s="63"/>
      <c r="C112" s="63" t="str">
        <f>IFERROR(VLOOKUP(B112,منتجات!$A$3:$C$350,2,0),"")</f>
        <v/>
      </c>
      <c r="D112" s="63" t="str">
        <f>IFERROR(VLOOKUP(B112,منتجات!$A$3:$C$350,3,0),"")</f>
        <v/>
      </c>
      <c r="E112" s="63"/>
      <c r="F112" s="63" t="str">
        <f>IFERROR(INDEX(منتجات!$G$3:$G$350,MATCH(B112,منتجات!$A$3:$A$115,0)),"")</f>
        <v/>
      </c>
      <c r="G112" s="63" t="str">
        <f t="shared" si="3"/>
        <v/>
      </c>
      <c r="H112" s="69"/>
    </row>
    <row r="113" spans="1:8" x14ac:dyDescent="0.35">
      <c r="A113" s="64"/>
      <c r="B113" s="65"/>
      <c r="C113" s="65" t="str">
        <f>IFERROR(VLOOKUP(B113,منتجات!$A$3:$C$350,2,0),"")</f>
        <v/>
      </c>
      <c r="D113" s="65" t="str">
        <f>IFERROR(VLOOKUP(B113,منتجات!$A$3:$C$350,3,0),"")</f>
        <v/>
      </c>
      <c r="E113" s="65"/>
      <c r="F113" s="65" t="str">
        <f>IFERROR(INDEX(منتجات!$G$3:$G$350,MATCH(B113,منتجات!$A$3:$A$115,0)),"")</f>
        <v/>
      </c>
      <c r="G113" s="65" t="str">
        <f t="shared" si="3"/>
        <v/>
      </c>
      <c r="H113" s="70"/>
    </row>
    <row r="114" spans="1:8" x14ac:dyDescent="0.35">
      <c r="A114" s="62"/>
      <c r="B114" s="63"/>
      <c r="C114" s="63" t="str">
        <f>IFERROR(VLOOKUP(B114,منتجات!$A$3:$C$350,2,0),"")</f>
        <v/>
      </c>
      <c r="D114" s="63" t="str">
        <f>IFERROR(VLOOKUP(B114,منتجات!$A$3:$C$350,3,0),"")</f>
        <v/>
      </c>
      <c r="E114" s="63"/>
      <c r="F114" s="63" t="str">
        <f>IFERROR(INDEX(منتجات!$G$3:$G$350,MATCH(B114,منتجات!$A$3:$A$115,0)),"")</f>
        <v/>
      </c>
      <c r="G114" s="63" t="str">
        <f t="shared" si="3"/>
        <v/>
      </c>
      <c r="H114" s="69"/>
    </row>
    <row r="115" spans="1:8" x14ac:dyDescent="0.35">
      <c r="A115" s="64"/>
      <c r="B115" s="65"/>
      <c r="C115" s="65" t="str">
        <f>IFERROR(VLOOKUP(B115,منتجات!$A$3:$C$350,2,0),"")</f>
        <v/>
      </c>
      <c r="D115" s="65" t="str">
        <f>IFERROR(VLOOKUP(B115,منتجات!$A$3:$C$350,3,0),"")</f>
        <v/>
      </c>
      <c r="E115" s="65"/>
      <c r="F115" s="65" t="str">
        <f>IFERROR(INDEX(منتجات!$G$3:$G$350,MATCH(B115,منتجات!$A$3:$A$115,0)),"")</f>
        <v/>
      </c>
      <c r="G115" s="65" t="str">
        <f t="shared" si="3"/>
        <v/>
      </c>
      <c r="H115" s="70"/>
    </row>
    <row r="116" spans="1:8" x14ac:dyDescent="0.35">
      <c r="A116" s="62"/>
      <c r="B116" s="63"/>
      <c r="C116" s="63" t="str">
        <f>IFERROR(VLOOKUP(B116,منتجات!$A$3:$C$350,2,0),"")</f>
        <v/>
      </c>
      <c r="D116" s="63" t="str">
        <f>IFERROR(VLOOKUP(B116,منتجات!$A$3:$C$350,3,0),"")</f>
        <v/>
      </c>
      <c r="E116" s="63"/>
      <c r="F116" s="63" t="str">
        <f>IFERROR(INDEX(منتجات!$G$3:$G$350,MATCH(B116,منتجات!$A$3:$A$115,0)),"")</f>
        <v/>
      </c>
      <c r="G116" s="63" t="str">
        <f t="shared" si="3"/>
        <v/>
      </c>
      <c r="H116" s="69"/>
    </row>
    <row r="117" spans="1:8" x14ac:dyDescent="0.35">
      <c r="A117" s="64"/>
      <c r="B117" s="65"/>
      <c r="C117" s="65" t="str">
        <f>IFERROR(VLOOKUP(B117,منتجات!$A$3:$C$350,2,0),"")</f>
        <v/>
      </c>
      <c r="D117" s="65" t="str">
        <f>IFERROR(VLOOKUP(B117,منتجات!$A$3:$C$350,3,0),"")</f>
        <v/>
      </c>
      <c r="E117" s="65"/>
      <c r="F117" s="65" t="str">
        <f>IFERROR(INDEX(منتجات!$G$3:$G$350,MATCH(B117,منتجات!$A$3:$A$115,0)),"")</f>
        <v/>
      </c>
      <c r="G117" s="65" t="str">
        <f t="shared" si="3"/>
        <v/>
      </c>
      <c r="H117" s="70"/>
    </row>
    <row r="118" spans="1:8" x14ac:dyDescent="0.35">
      <c r="A118" s="62"/>
      <c r="B118" s="63"/>
      <c r="C118" s="63" t="str">
        <f>IFERROR(VLOOKUP(B118,منتجات!$A$3:$C$350,2,0),"")</f>
        <v/>
      </c>
      <c r="D118" s="63" t="str">
        <f>IFERROR(VLOOKUP(B118,منتجات!$A$3:$C$350,3,0),"")</f>
        <v/>
      </c>
      <c r="E118" s="63"/>
      <c r="F118" s="63" t="str">
        <f>IFERROR(INDEX(منتجات!$G$3:$G$350,MATCH(B118,منتجات!$A$3:$A$115,0)),"")</f>
        <v/>
      </c>
      <c r="G118" s="63" t="str">
        <f t="shared" si="3"/>
        <v/>
      </c>
      <c r="H118" s="69"/>
    </row>
    <row r="119" spans="1:8" x14ac:dyDescent="0.35">
      <c r="A119" s="64"/>
      <c r="B119" s="65"/>
      <c r="C119" s="65" t="str">
        <f>IFERROR(VLOOKUP(B119,منتجات!$A$3:$C$350,2,0),"")</f>
        <v/>
      </c>
      <c r="D119" s="65" t="str">
        <f>IFERROR(VLOOKUP(B119,منتجات!$A$3:$C$350,3,0),"")</f>
        <v/>
      </c>
      <c r="E119" s="65"/>
      <c r="F119" s="65" t="str">
        <f>IFERROR(INDEX(منتجات!$G$3:$G$350,MATCH(B119,منتجات!$A$3:$A$115,0)),"")</f>
        <v/>
      </c>
      <c r="G119" s="65" t="str">
        <f t="shared" si="3"/>
        <v/>
      </c>
      <c r="H119" s="70"/>
    </row>
    <row r="120" spans="1:8" x14ac:dyDescent="0.35">
      <c r="A120" s="62"/>
      <c r="B120" s="63"/>
      <c r="C120" s="63" t="str">
        <f>IFERROR(VLOOKUP(B120,منتجات!$A$3:$C$350,2,0),"")</f>
        <v/>
      </c>
      <c r="D120" s="63" t="str">
        <f>IFERROR(VLOOKUP(B120,منتجات!$A$3:$C$350,3,0),"")</f>
        <v/>
      </c>
      <c r="E120" s="63"/>
      <c r="F120" s="63" t="str">
        <f>IFERROR(INDEX(منتجات!$G$3:$G$350,MATCH(B120,منتجات!$A$3:$A$115,0)),"")</f>
        <v/>
      </c>
      <c r="G120" s="63" t="str">
        <f t="shared" si="3"/>
        <v/>
      </c>
      <c r="H120" s="69"/>
    </row>
    <row r="121" spans="1:8" x14ac:dyDescent="0.35">
      <c r="A121" s="64"/>
      <c r="B121" s="65"/>
      <c r="C121" s="65" t="str">
        <f>IFERROR(VLOOKUP(B121,منتجات!$A$3:$C$350,2,0),"")</f>
        <v/>
      </c>
      <c r="D121" s="65" t="str">
        <f>IFERROR(VLOOKUP(B121,منتجات!$A$3:$C$350,3,0),"")</f>
        <v/>
      </c>
      <c r="E121" s="65"/>
      <c r="F121" s="65" t="str">
        <f>IFERROR(INDEX(منتجات!$G$3:$G$350,MATCH(B121,منتجات!$A$3:$A$115,0)),"")</f>
        <v/>
      </c>
      <c r="G121" s="65" t="str">
        <f t="shared" si="3"/>
        <v/>
      </c>
      <c r="H121" s="70"/>
    </row>
    <row r="122" spans="1:8" x14ac:dyDescent="0.35">
      <c r="A122" s="62"/>
      <c r="B122" s="63"/>
      <c r="C122" s="63" t="str">
        <f>IFERROR(VLOOKUP(B122,منتجات!$A$3:$C$350,2,0),"")</f>
        <v/>
      </c>
      <c r="D122" s="63" t="str">
        <f>IFERROR(VLOOKUP(B122,منتجات!$A$3:$C$350,3,0),"")</f>
        <v/>
      </c>
      <c r="E122" s="63"/>
      <c r="F122" s="63" t="str">
        <f>IFERROR(INDEX(منتجات!$G$3:$G$350,MATCH(B122,منتجات!$A$3:$A$115,0)),"")</f>
        <v/>
      </c>
      <c r="G122" s="63" t="str">
        <f t="shared" si="3"/>
        <v/>
      </c>
      <c r="H122" s="69"/>
    </row>
    <row r="123" spans="1:8" x14ac:dyDescent="0.35">
      <c r="A123" s="64"/>
      <c r="B123" s="65"/>
      <c r="C123" s="65" t="str">
        <f>IFERROR(VLOOKUP(B123,منتجات!$A$3:$C$350,2,0),"")</f>
        <v/>
      </c>
      <c r="D123" s="65" t="str">
        <f>IFERROR(VLOOKUP(B123,منتجات!$A$3:$C$350,3,0),"")</f>
        <v/>
      </c>
      <c r="E123" s="65"/>
      <c r="F123" s="65" t="str">
        <f>IFERROR(INDEX(منتجات!$G$3:$G$350,MATCH(B123,منتجات!$A$3:$A$115,0)),"")</f>
        <v/>
      </c>
      <c r="G123" s="65" t="str">
        <f t="shared" si="3"/>
        <v/>
      </c>
      <c r="H123" s="70"/>
    </row>
    <row r="124" spans="1:8" x14ac:dyDescent="0.35">
      <c r="A124" s="62"/>
      <c r="B124" s="63"/>
      <c r="C124" s="63" t="str">
        <f>IFERROR(VLOOKUP(B124,منتجات!$A$3:$C$350,2,0),"")</f>
        <v/>
      </c>
      <c r="D124" s="63" t="str">
        <f>IFERROR(VLOOKUP(B124,منتجات!$A$3:$C$350,3,0),"")</f>
        <v/>
      </c>
      <c r="E124" s="63"/>
      <c r="F124" s="63" t="str">
        <f>IFERROR(INDEX(منتجات!$G$3:$G$350,MATCH(B124,منتجات!$A$3:$A$115,0)),"")</f>
        <v/>
      </c>
      <c r="G124" s="63" t="str">
        <f t="shared" si="3"/>
        <v/>
      </c>
      <c r="H124" s="69"/>
    </row>
    <row r="125" spans="1:8" x14ac:dyDescent="0.35">
      <c r="A125" s="64"/>
      <c r="B125" s="65"/>
      <c r="C125" s="65" t="str">
        <f>IFERROR(VLOOKUP(B125,منتجات!$A$3:$C$350,2,0),"")</f>
        <v/>
      </c>
      <c r="D125" s="65" t="str">
        <f>IFERROR(VLOOKUP(B125,منتجات!$A$3:$C$350,3,0),"")</f>
        <v/>
      </c>
      <c r="E125" s="65"/>
      <c r="F125" s="65" t="str">
        <f>IFERROR(INDEX(منتجات!$G$3:$G$350,MATCH(B125,منتجات!$A$3:$A$115,0)),"")</f>
        <v/>
      </c>
      <c r="G125" s="65" t="str">
        <f t="shared" si="3"/>
        <v/>
      </c>
      <c r="H125" s="70"/>
    </row>
    <row r="126" spans="1:8" x14ac:dyDescent="0.35">
      <c r="A126" s="62"/>
      <c r="B126" s="63"/>
      <c r="C126" s="63" t="str">
        <f>IFERROR(VLOOKUP(B126,منتجات!$A$3:$C$350,2,0),"")</f>
        <v/>
      </c>
      <c r="D126" s="63" t="str">
        <f>IFERROR(VLOOKUP(B126,منتجات!$A$3:$C$350,3,0),"")</f>
        <v/>
      </c>
      <c r="E126" s="63"/>
      <c r="F126" s="63" t="str">
        <f>IFERROR(INDEX(منتجات!$G$3:$G$350,MATCH(B126,منتجات!$A$3:$A$115,0)),"")</f>
        <v/>
      </c>
      <c r="G126" s="63" t="str">
        <f t="shared" si="3"/>
        <v/>
      </c>
      <c r="H126" s="69"/>
    </row>
    <row r="127" spans="1:8" x14ac:dyDescent="0.35">
      <c r="A127" s="64"/>
      <c r="B127" s="65"/>
      <c r="C127" s="65" t="str">
        <f>IFERROR(VLOOKUP(B127,منتجات!$A$3:$C$350,2,0),"")</f>
        <v/>
      </c>
      <c r="D127" s="65" t="str">
        <f>IFERROR(VLOOKUP(B127,منتجات!$A$3:$C$350,3,0),"")</f>
        <v/>
      </c>
      <c r="E127" s="65"/>
      <c r="F127" s="65" t="str">
        <f>IFERROR(INDEX(منتجات!$G$3:$G$350,MATCH(B127,منتجات!$A$3:$A$115,0)),"")</f>
        <v/>
      </c>
      <c r="G127" s="65" t="str">
        <f t="shared" si="3"/>
        <v/>
      </c>
      <c r="H127" s="70"/>
    </row>
    <row r="128" spans="1:8" x14ac:dyDescent="0.35">
      <c r="A128" s="62"/>
      <c r="B128" s="63"/>
      <c r="C128" s="63" t="str">
        <f>IFERROR(VLOOKUP(B128,منتجات!$A$3:$C$350,2,0),"")</f>
        <v/>
      </c>
      <c r="D128" s="63" t="str">
        <f>IFERROR(VLOOKUP(B128,منتجات!$A$3:$C$350,3,0),"")</f>
        <v/>
      </c>
      <c r="E128" s="63"/>
      <c r="F128" s="63" t="str">
        <f>IFERROR(INDEX(منتجات!$G$3:$G$350,MATCH(B128,منتجات!$A$3:$A$115,0)),"")</f>
        <v/>
      </c>
      <c r="G128" s="63" t="str">
        <f t="shared" si="3"/>
        <v/>
      </c>
      <c r="H128" s="69"/>
    </row>
    <row r="129" spans="1:8" x14ac:dyDescent="0.35">
      <c r="A129" s="64"/>
      <c r="B129" s="65"/>
      <c r="C129" s="65" t="str">
        <f>IFERROR(VLOOKUP(B129,منتجات!$A$3:$C$350,2,0),"")</f>
        <v/>
      </c>
      <c r="D129" s="65" t="str">
        <f>IFERROR(VLOOKUP(B129,منتجات!$A$3:$C$350,3,0),"")</f>
        <v/>
      </c>
      <c r="E129" s="65"/>
      <c r="F129" s="65" t="str">
        <f>IFERROR(INDEX(منتجات!$G$3:$G$350,MATCH(B129,منتجات!$A$3:$A$115,0)),"")</f>
        <v/>
      </c>
      <c r="G129" s="65" t="str">
        <f t="shared" si="3"/>
        <v/>
      </c>
      <c r="H129" s="70"/>
    </row>
    <row r="130" spans="1:8" x14ac:dyDescent="0.35">
      <c r="A130" s="62"/>
      <c r="B130" s="63"/>
      <c r="C130" s="63" t="str">
        <f>IFERROR(VLOOKUP(B130,منتجات!$A$3:$C$350,2,0),"")</f>
        <v/>
      </c>
      <c r="D130" s="63" t="str">
        <f>IFERROR(VLOOKUP(B130,منتجات!$A$3:$C$350,3,0),"")</f>
        <v/>
      </c>
      <c r="E130" s="63"/>
      <c r="F130" s="63" t="str">
        <f>IFERROR(INDEX(منتجات!$G$3:$G$350,MATCH(B130,منتجات!$A$3:$A$115,0)),"")</f>
        <v/>
      </c>
      <c r="G130" s="63" t="str">
        <f t="shared" si="3"/>
        <v/>
      </c>
      <c r="H130" s="69"/>
    </row>
    <row r="131" spans="1:8" x14ac:dyDescent="0.35">
      <c r="A131" s="64"/>
      <c r="B131" s="65"/>
      <c r="C131" s="65" t="str">
        <f>IFERROR(VLOOKUP(B131,منتجات!$A$3:$C$350,2,0),"")</f>
        <v/>
      </c>
      <c r="D131" s="65" t="str">
        <f>IFERROR(VLOOKUP(B131,منتجات!$A$3:$C$350,3,0),"")</f>
        <v/>
      </c>
      <c r="E131" s="65"/>
      <c r="F131" s="65" t="str">
        <f>IFERROR(INDEX(منتجات!$G$3:$G$350,MATCH(B131,منتجات!$A$3:$A$115,0)),"")</f>
        <v/>
      </c>
      <c r="G131" s="65" t="str">
        <f t="shared" si="3"/>
        <v/>
      </c>
      <c r="H131" s="70"/>
    </row>
    <row r="132" spans="1:8" x14ac:dyDescent="0.35">
      <c r="A132" s="62"/>
      <c r="B132" s="63"/>
      <c r="C132" s="63" t="str">
        <f>IFERROR(VLOOKUP(B132,منتجات!$A$3:$C$350,2,0),"")</f>
        <v/>
      </c>
      <c r="D132" s="63" t="str">
        <f>IFERROR(VLOOKUP(B132,منتجات!$A$3:$C$350,3,0),"")</f>
        <v/>
      </c>
      <c r="E132" s="63"/>
      <c r="F132" s="63" t="str">
        <f>IFERROR(INDEX(منتجات!$G$3:$G$350,MATCH(B132,منتجات!$A$3:$A$115,0)),"")</f>
        <v/>
      </c>
      <c r="G132" s="63" t="str">
        <f t="shared" si="3"/>
        <v/>
      </c>
      <c r="H132" s="69"/>
    </row>
    <row r="133" spans="1:8" x14ac:dyDescent="0.35">
      <c r="A133" s="64"/>
      <c r="B133" s="65"/>
      <c r="C133" s="65" t="str">
        <f>IFERROR(VLOOKUP(B133,منتجات!$A$3:$C$350,2,0),"")</f>
        <v/>
      </c>
      <c r="D133" s="65" t="str">
        <f>IFERROR(VLOOKUP(B133,منتجات!$A$3:$C$350,3,0),"")</f>
        <v/>
      </c>
      <c r="E133" s="65"/>
      <c r="F133" s="65" t="str">
        <f>IFERROR(INDEX(منتجات!$G$3:$G$350,MATCH(B133,منتجات!$A$3:$A$115,0)),"")</f>
        <v/>
      </c>
      <c r="G133" s="65" t="str">
        <f t="shared" si="3"/>
        <v/>
      </c>
      <c r="H133" s="70"/>
    </row>
    <row r="134" spans="1:8" x14ac:dyDescent="0.35">
      <c r="A134" s="62"/>
      <c r="B134" s="63"/>
      <c r="C134" s="63" t="str">
        <f>IFERROR(VLOOKUP(B134,منتجات!$A$3:$C$350,2,0),"")</f>
        <v/>
      </c>
      <c r="D134" s="63" t="str">
        <f>IFERROR(VLOOKUP(B134,منتجات!$A$3:$C$350,3,0),"")</f>
        <v/>
      </c>
      <c r="E134" s="63"/>
      <c r="F134" s="63" t="str">
        <f>IFERROR(INDEX(منتجات!$G$3:$G$350,MATCH(B134,منتجات!$A$3:$A$115,0)),"")</f>
        <v/>
      </c>
      <c r="G134" s="63" t="str">
        <f t="shared" ref="G134:G197" si="4">IFERROR(E134*F134*D134,"")</f>
        <v/>
      </c>
      <c r="H134" s="69"/>
    </row>
    <row r="135" spans="1:8" x14ac:dyDescent="0.35">
      <c r="A135" s="64"/>
      <c r="B135" s="65"/>
      <c r="C135" s="65" t="str">
        <f>IFERROR(VLOOKUP(B135,منتجات!$A$3:$C$350,2,0),"")</f>
        <v/>
      </c>
      <c r="D135" s="65" t="str">
        <f>IFERROR(VLOOKUP(B135,منتجات!$A$3:$C$350,3,0),"")</f>
        <v/>
      </c>
      <c r="E135" s="65"/>
      <c r="F135" s="65" t="str">
        <f>IFERROR(INDEX(منتجات!$G$3:$G$350,MATCH(B135,منتجات!$A$3:$A$115,0)),"")</f>
        <v/>
      </c>
      <c r="G135" s="65" t="str">
        <f t="shared" si="4"/>
        <v/>
      </c>
      <c r="H135" s="70"/>
    </row>
    <row r="136" spans="1:8" x14ac:dyDescent="0.35">
      <c r="A136" s="62"/>
      <c r="B136" s="63"/>
      <c r="C136" s="63" t="str">
        <f>IFERROR(VLOOKUP(B136,منتجات!$A$3:$C$350,2,0),"")</f>
        <v/>
      </c>
      <c r="D136" s="63" t="str">
        <f>IFERROR(VLOOKUP(B136,منتجات!$A$3:$C$350,3,0),"")</f>
        <v/>
      </c>
      <c r="E136" s="63"/>
      <c r="F136" s="63" t="str">
        <f>IFERROR(INDEX(منتجات!$G$3:$G$350,MATCH(B136,منتجات!$A$3:$A$115,0)),"")</f>
        <v/>
      </c>
      <c r="G136" s="63" t="str">
        <f t="shared" si="4"/>
        <v/>
      </c>
      <c r="H136" s="69"/>
    </row>
    <row r="137" spans="1:8" x14ac:dyDescent="0.35">
      <c r="A137" s="64"/>
      <c r="B137" s="65"/>
      <c r="C137" s="65" t="str">
        <f>IFERROR(VLOOKUP(B137,منتجات!$A$3:$C$350,2,0),"")</f>
        <v/>
      </c>
      <c r="D137" s="65" t="str">
        <f>IFERROR(VLOOKUP(B137,منتجات!$A$3:$C$350,3,0),"")</f>
        <v/>
      </c>
      <c r="E137" s="65"/>
      <c r="F137" s="65" t="str">
        <f>IFERROR(INDEX(منتجات!$G$3:$G$350,MATCH(B137,منتجات!$A$3:$A$115,0)),"")</f>
        <v/>
      </c>
      <c r="G137" s="65" t="str">
        <f t="shared" si="4"/>
        <v/>
      </c>
      <c r="H137" s="70"/>
    </row>
    <row r="138" spans="1:8" x14ac:dyDescent="0.35">
      <c r="A138" s="62"/>
      <c r="B138" s="63"/>
      <c r="C138" s="63" t="str">
        <f>IFERROR(VLOOKUP(B138,منتجات!$A$3:$C$350,2,0),"")</f>
        <v/>
      </c>
      <c r="D138" s="63" t="str">
        <f>IFERROR(VLOOKUP(B138,منتجات!$A$3:$C$350,3,0),"")</f>
        <v/>
      </c>
      <c r="E138" s="63"/>
      <c r="F138" s="63" t="str">
        <f>IFERROR(INDEX(منتجات!$G$3:$G$350,MATCH(B138,منتجات!$A$3:$A$115,0)),"")</f>
        <v/>
      </c>
      <c r="G138" s="63" t="str">
        <f t="shared" si="4"/>
        <v/>
      </c>
      <c r="H138" s="69"/>
    </row>
    <row r="139" spans="1:8" x14ac:dyDescent="0.35">
      <c r="A139" s="64"/>
      <c r="B139" s="65"/>
      <c r="C139" s="65" t="str">
        <f>IFERROR(VLOOKUP(B139,منتجات!$A$3:$C$350,2,0),"")</f>
        <v/>
      </c>
      <c r="D139" s="65" t="str">
        <f>IFERROR(VLOOKUP(B139,منتجات!$A$3:$C$350,3,0),"")</f>
        <v/>
      </c>
      <c r="E139" s="65"/>
      <c r="F139" s="65" t="str">
        <f>IFERROR(INDEX(منتجات!$G$3:$G$350,MATCH(B139,منتجات!$A$3:$A$115,0)),"")</f>
        <v/>
      </c>
      <c r="G139" s="65" t="str">
        <f t="shared" si="4"/>
        <v/>
      </c>
      <c r="H139" s="70"/>
    </row>
    <row r="140" spans="1:8" x14ac:dyDescent="0.35">
      <c r="A140" s="62"/>
      <c r="B140" s="63"/>
      <c r="C140" s="63" t="str">
        <f>IFERROR(VLOOKUP(B140,منتجات!$A$3:$C$350,2,0),"")</f>
        <v/>
      </c>
      <c r="D140" s="63" t="str">
        <f>IFERROR(VLOOKUP(B140,منتجات!$A$3:$C$350,3,0),"")</f>
        <v/>
      </c>
      <c r="E140" s="63"/>
      <c r="F140" s="63" t="str">
        <f>IFERROR(INDEX(منتجات!$G$3:$G$350,MATCH(B140,منتجات!$A$3:$A$115,0)),"")</f>
        <v/>
      </c>
      <c r="G140" s="63" t="str">
        <f t="shared" si="4"/>
        <v/>
      </c>
      <c r="H140" s="69"/>
    </row>
    <row r="141" spans="1:8" x14ac:dyDescent="0.35">
      <c r="A141" s="64"/>
      <c r="B141" s="65"/>
      <c r="C141" s="65" t="str">
        <f>IFERROR(VLOOKUP(B141,منتجات!$A$3:$C$350,2,0),"")</f>
        <v/>
      </c>
      <c r="D141" s="65" t="str">
        <f>IFERROR(VLOOKUP(B141,منتجات!$A$3:$C$350,3,0),"")</f>
        <v/>
      </c>
      <c r="E141" s="65"/>
      <c r="F141" s="65" t="str">
        <f>IFERROR(INDEX(منتجات!$G$3:$G$350,MATCH(B141,منتجات!$A$3:$A$115,0)),"")</f>
        <v/>
      </c>
      <c r="G141" s="65" t="str">
        <f t="shared" si="4"/>
        <v/>
      </c>
      <c r="H141" s="70"/>
    </row>
    <row r="142" spans="1:8" x14ac:dyDescent="0.35">
      <c r="A142" s="62"/>
      <c r="B142" s="63"/>
      <c r="C142" s="63" t="str">
        <f>IFERROR(VLOOKUP(B142,منتجات!$A$3:$C$350,2,0),"")</f>
        <v/>
      </c>
      <c r="D142" s="63" t="str">
        <f>IFERROR(VLOOKUP(B142,منتجات!$A$3:$C$350,3,0),"")</f>
        <v/>
      </c>
      <c r="E142" s="63"/>
      <c r="F142" s="63" t="str">
        <f>IFERROR(INDEX(منتجات!$G$3:$G$350,MATCH(B142,منتجات!$A$3:$A$115,0)),"")</f>
        <v/>
      </c>
      <c r="G142" s="63" t="str">
        <f t="shared" si="4"/>
        <v/>
      </c>
      <c r="H142" s="69"/>
    </row>
    <row r="143" spans="1:8" x14ac:dyDescent="0.35">
      <c r="A143" s="64"/>
      <c r="B143" s="65"/>
      <c r="C143" s="65" t="str">
        <f>IFERROR(VLOOKUP(B143,منتجات!$A$3:$C$350,2,0),"")</f>
        <v/>
      </c>
      <c r="D143" s="65" t="str">
        <f>IFERROR(VLOOKUP(B143,منتجات!$A$3:$C$350,3,0),"")</f>
        <v/>
      </c>
      <c r="E143" s="65"/>
      <c r="F143" s="65" t="str">
        <f>IFERROR(INDEX(منتجات!$G$3:$G$350,MATCH(B143,منتجات!$A$3:$A$115,0)),"")</f>
        <v/>
      </c>
      <c r="G143" s="65" t="str">
        <f t="shared" si="4"/>
        <v/>
      </c>
      <c r="H143" s="70"/>
    </row>
    <row r="144" spans="1:8" x14ac:dyDescent="0.35">
      <c r="A144" s="62"/>
      <c r="B144" s="63"/>
      <c r="C144" s="63" t="str">
        <f>IFERROR(VLOOKUP(B144,منتجات!$A$3:$C$350,2,0),"")</f>
        <v/>
      </c>
      <c r="D144" s="63" t="str">
        <f>IFERROR(VLOOKUP(B144,منتجات!$A$3:$C$350,3,0),"")</f>
        <v/>
      </c>
      <c r="E144" s="63"/>
      <c r="F144" s="63" t="str">
        <f>IFERROR(INDEX(منتجات!$G$3:$G$350,MATCH(B144,منتجات!$A$3:$A$115,0)),"")</f>
        <v/>
      </c>
      <c r="G144" s="63" t="str">
        <f t="shared" si="4"/>
        <v/>
      </c>
      <c r="H144" s="69"/>
    </row>
    <row r="145" spans="1:8" x14ac:dyDescent="0.35">
      <c r="A145" s="64"/>
      <c r="B145" s="65"/>
      <c r="C145" s="65" t="str">
        <f>IFERROR(VLOOKUP(B145,منتجات!$A$3:$C$350,2,0),"")</f>
        <v/>
      </c>
      <c r="D145" s="65" t="str">
        <f>IFERROR(VLOOKUP(B145,منتجات!$A$3:$C$350,3,0),"")</f>
        <v/>
      </c>
      <c r="E145" s="65"/>
      <c r="F145" s="65" t="str">
        <f>IFERROR(INDEX(منتجات!$G$3:$G$350,MATCH(B145,منتجات!$A$3:$A$115,0)),"")</f>
        <v/>
      </c>
      <c r="G145" s="65" t="str">
        <f t="shared" si="4"/>
        <v/>
      </c>
      <c r="H145" s="70"/>
    </row>
    <row r="146" spans="1:8" x14ac:dyDescent="0.35">
      <c r="A146" s="62"/>
      <c r="B146" s="63"/>
      <c r="C146" s="63" t="str">
        <f>IFERROR(VLOOKUP(B146,منتجات!$A$3:$C$350,2,0),"")</f>
        <v/>
      </c>
      <c r="D146" s="63" t="str">
        <f>IFERROR(VLOOKUP(B146,منتجات!$A$3:$C$350,3,0),"")</f>
        <v/>
      </c>
      <c r="E146" s="63"/>
      <c r="F146" s="63" t="str">
        <f>IFERROR(INDEX(منتجات!$G$3:$G$350,MATCH(B146,منتجات!$A$3:$A$115,0)),"")</f>
        <v/>
      </c>
      <c r="G146" s="63" t="str">
        <f t="shared" si="4"/>
        <v/>
      </c>
      <c r="H146" s="69"/>
    </row>
    <row r="147" spans="1:8" x14ac:dyDescent="0.35">
      <c r="A147" s="64"/>
      <c r="B147" s="65"/>
      <c r="C147" s="65" t="str">
        <f>IFERROR(VLOOKUP(B147,منتجات!$A$3:$C$350,2,0),"")</f>
        <v/>
      </c>
      <c r="D147" s="65" t="str">
        <f>IFERROR(VLOOKUP(B147,منتجات!$A$3:$C$350,3,0),"")</f>
        <v/>
      </c>
      <c r="E147" s="65"/>
      <c r="F147" s="65" t="str">
        <f>IFERROR(INDEX(منتجات!$G$3:$G$350,MATCH(B147,منتجات!$A$3:$A$115,0)),"")</f>
        <v/>
      </c>
      <c r="G147" s="65" t="str">
        <f t="shared" si="4"/>
        <v/>
      </c>
      <c r="H147" s="70"/>
    </row>
    <row r="148" spans="1:8" x14ac:dyDescent="0.35">
      <c r="A148" s="62"/>
      <c r="B148" s="63"/>
      <c r="C148" s="63" t="str">
        <f>IFERROR(VLOOKUP(B148,منتجات!$A$3:$C$350,2,0),"")</f>
        <v/>
      </c>
      <c r="D148" s="63" t="str">
        <f>IFERROR(VLOOKUP(B148,منتجات!$A$3:$C$350,3,0),"")</f>
        <v/>
      </c>
      <c r="E148" s="63"/>
      <c r="F148" s="63" t="str">
        <f>IFERROR(INDEX(منتجات!$G$3:$G$350,MATCH(B148,منتجات!$A$3:$A$115,0)),"")</f>
        <v/>
      </c>
      <c r="G148" s="63" t="str">
        <f t="shared" si="4"/>
        <v/>
      </c>
      <c r="H148" s="69"/>
    </row>
    <row r="149" spans="1:8" x14ac:dyDescent="0.35">
      <c r="A149" s="64"/>
      <c r="B149" s="65"/>
      <c r="C149" s="65" t="str">
        <f>IFERROR(VLOOKUP(B149,منتجات!$A$3:$C$350,2,0),"")</f>
        <v/>
      </c>
      <c r="D149" s="65" t="str">
        <f>IFERROR(VLOOKUP(B149,منتجات!$A$3:$C$350,3,0),"")</f>
        <v/>
      </c>
      <c r="E149" s="65"/>
      <c r="F149" s="65" t="str">
        <f>IFERROR(INDEX(منتجات!$G$3:$G$350,MATCH(B149,منتجات!$A$3:$A$115,0)),"")</f>
        <v/>
      </c>
      <c r="G149" s="65" t="str">
        <f t="shared" si="4"/>
        <v/>
      </c>
      <c r="H149" s="70"/>
    </row>
    <row r="150" spans="1:8" x14ac:dyDescent="0.35">
      <c r="A150" s="62"/>
      <c r="B150" s="63"/>
      <c r="C150" s="63" t="str">
        <f>IFERROR(VLOOKUP(B150,منتجات!$A$3:$C$350,2,0),"")</f>
        <v/>
      </c>
      <c r="D150" s="63" t="str">
        <f>IFERROR(VLOOKUP(B150,منتجات!$A$3:$C$350,3,0),"")</f>
        <v/>
      </c>
      <c r="E150" s="63"/>
      <c r="F150" s="63" t="str">
        <f>IFERROR(INDEX(منتجات!$G$3:$G$350,MATCH(B150,منتجات!$A$3:$A$115,0)),"")</f>
        <v/>
      </c>
      <c r="G150" s="63" t="str">
        <f t="shared" si="4"/>
        <v/>
      </c>
      <c r="H150" s="69"/>
    </row>
    <row r="151" spans="1:8" x14ac:dyDescent="0.35">
      <c r="A151" s="64"/>
      <c r="B151" s="65"/>
      <c r="C151" s="65" t="str">
        <f>IFERROR(VLOOKUP(B151,منتجات!$A$3:$C$350,2,0),"")</f>
        <v/>
      </c>
      <c r="D151" s="65" t="str">
        <f>IFERROR(VLOOKUP(B151,منتجات!$A$3:$C$350,3,0),"")</f>
        <v/>
      </c>
      <c r="E151" s="65"/>
      <c r="F151" s="65" t="str">
        <f>IFERROR(INDEX(منتجات!$G$3:$G$350,MATCH(B151,منتجات!$A$3:$A$115,0)),"")</f>
        <v/>
      </c>
      <c r="G151" s="65" t="str">
        <f t="shared" si="4"/>
        <v/>
      </c>
      <c r="H151" s="70"/>
    </row>
    <row r="152" spans="1:8" x14ac:dyDescent="0.35">
      <c r="A152" s="62"/>
      <c r="B152" s="63"/>
      <c r="C152" s="63" t="str">
        <f>IFERROR(VLOOKUP(B152,منتجات!$A$3:$C$350,2,0),"")</f>
        <v/>
      </c>
      <c r="D152" s="63" t="str">
        <f>IFERROR(VLOOKUP(B152,منتجات!$A$3:$C$350,3,0),"")</f>
        <v/>
      </c>
      <c r="E152" s="63"/>
      <c r="F152" s="63" t="str">
        <f>IFERROR(INDEX(منتجات!$G$3:$G$350,MATCH(B152,منتجات!$A$3:$A$115,0)),"")</f>
        <v/>
      </c>
      <c r="G152" s="63" t="str">
        <f t="shared" si="4"/>
        <v/>
      </c>
      <c r="H152" s="69"/>
    </row>
    <row r="153" spans="1:8" x14ac:dyDescent="0.35">
      <c r="A153" s="64"/>
      <c r="B153" s="65"/>
      <c r="C153" s="65" t="str">
        <f>IFERROR(VLOOKUP(B153,منتجات!$A$3:$C$350,2,0),"")</f>
        <v/>
      </c>
      <c r="D153" s="65" t="str">
        <f>IFERROR(VLOOKUP(B153,منتجات!$A$3:$C$350,3,0),"")</f>
        <v/>
      </c>
      <c r="E153" s="65"/>
      <c r="F153" s="65" t="str">
        <f>IFERROR(INDEX(منتجات!$G$3:$G$350,MATCH(B153,منتجات!$A$3:$A$115,0)),"")</f>
        <v/>
      </c>
      <c r="G153" s="65" t="str">
        <f t="shared" si="4"/>
        <v/>
      </c>
      <c r="H153" s="70"/>
    </row>
    <row r="154" spans="1:8" x14ac:dyDescent="0.35">
      <c r="A154" s="62"/>
      <c r="B154" s="63"/>
      <c r="C154" s="63" t="str">
        <f>IFERROR(VLOOKUP(B154,منتجات!$A$3:$C$350,2,0),"")</f>
        <v/>
      </c>
      <c r="D154" s="63" t="str">
        <f>IFERROR(VLOOKUP(B154,منتجات!$A$3:$C$350,3,0),"")</f>
        <v/>
      </c>
      <c r="E154" s="63"/>
      <c r="F154" s="63" t="str">
        <f>IFERROR(INDEX(منتجات!$G$3:$G$350,MATCH(B154,منتجات!$A$3:$A$115,0)),"")</f>
        <v/>
      </c>
      <c r="G154" s="63" t="str">
        <f t="shared" si="4"/>
        <v/>
      </c>
      <c r="H154" s="69"/>
    </row>
    <row r="155" spans="1:8" x14ac:dyDescent="0.35">
      <c r="A155" s="64"/>
      <c r="B155" s="65"/>
      <c r="C155" s="65" t="str">
        <f>IFERROR(VLOOKUP(B155,منتجات!$A$3:$C$350,2,0),"")</f>
        <v/>
      </c>
      <c r="D155" s="65" t="str">
        <f>IFERROR(VLOOKUP(B155,منتجات!$A$3:$C$350,3,0),"")</f>
        <v/>
      </c>
      <c r="E155" s="65"/>
      <c r="F155" s="65" t="str">
        <f>IFERROR(INDEX(منتجات!$G$3:$G$350,MATCH(B155,منتجات!$A$3:$A$115,0)),"")</f>
        <v/>
      </c>
      <c r="G155" s="65" t="str">
        <f t="shared" si="4"/>
        <v/>
      </c>
      <c r="H155" s="70"/>
    </row>
    <row r="156" spans="1:8" x14ac:dyDescent="0.35">
      <c r="A156" s="62"/>
      <c r="B156" s="63"/>
      <c r="C156" s="63" t="str">
        <f>IFERROR(VLOOKUP(B156,منتجات!$A$3:$C$350,2,0),"")</f>
        <v/>
      </c>
      <c r="D156" s="63" t="str">
        <f>IFERROR(VLOOKUP(B156,منتجات!$A$3:$C$350,3,0),"")</f>
        <v/>
      </c>
      <c r="E156" s="63"/>
      <c r="F156" s="63" t="str">
        <f>IFERROR(INDEX(منتجات!$G$3:$G$350,MATCH(B156,منتجات!$A$3:$A$115,0)),"")</f>
        <v/>
      </c>
      <c r="G156" s="63" t="str">
        <f t="shared" si="4"/>
        <v/>
      </c>
      <c r="H156" s="69"/>
    </row>
    <row r="157" spans="1:8" x14ac:dyDescent="0.35">
      <c r="A157" s="64"/>
      <c r="B157" s="65"/>
      <c r="C157" s="65" t="str">
        <f>IFERROR(VLOOKUP(B157,منتجات!$A$3:$C$350,2,0),"")</f>
        <v/>
      </c>
      <c r="D157" s="65" t="str">
        <f>IFERROR(VLOOKUP(B157,منتجات!$A$3:$C$350,3,0),"")</f>
        <v/>
      </c>
      <c r="E157" s="65"/>
      <c r="F157" s="65" t="str">
        <f>IFERROR(INDEX(منتجات!$G$3:$G$350,MATCH(B157,منتجات!$A$3:$A$115,0)),"")</f>
        <v/>
      </c>
      <c r="G157" s="65" t="str">
        <f t="shared" si="4"/>
        <v/>
      </c>
      <c r="H157" s="70"/>
    </row>
    <row r="158" spans="1:8" x14ac:dyDescent="0.35">
      <c r="A158" s="62"/>
      <c r="B158" s="63"/>
      <c r="C158" s="63" t="str">
        <f>IFERROR(VLOOKUP(B158,منتجات!$A$3:$C$350,2,0),"")</f>
        <v/>
      </c>
      <c r="D158" s="63" t="str">
        <f>IFERROR(VLOOKUP(B158,منتجات!$A$3:$C$350,3,0),"")</f>
        <v/>
      </c>
      <c r="E158" s="63"/>
      <c r="F158" s="63" t="str">
        <f>IFERROR(INDEX(منتجات!$G$3:$G$350,MATCH(B158,منتجات!$A$3:$A$115,0)),"")</f>
        <v/>
      </c>
      <c r="G158" s="63" t="str">
        <f t="shared" si="4"/>
        <v/>
      </c>
      <c r="H158" s="69"/>
    </row>
    <row r="159" spans="1:8" x14ac:dyDescent="0.35">
      <c r="A159" s="64"/>
      <c r="B159" s="65"/>
      <c r="C159" s="65" t="str">
        <f>IFERROR(VLOOKUP(B159,منتجات!$A$3:$C$350,2,0),"")</f>
        <v/>
      </c>
      <c r="D159" s="65" t="str">
        <f>IFERROR(VLOOKUP(B159,منتجات!$A$3:$C$350,3,0),"")</f>
        <v/>
      </c>
      <c r="E159" s="65"/>
      <c r="F159" s="65" t="str">
        <f>IFERROR(INDEX(منتجات!$G$3:$G$350,MATCH(B159,منتجات!$A$3:$A$115,0)),"")</f>
        <v/>
      </c>
      <c r="G159" s="65" t="str">
        <f t="shared" si="4"/>
        <v/>
      </c>
      <c r="H159" s="70"/>
    </row>
    <row r="160" spans="1:8" x14ac:dyDescent="0.35">
      <c r="A160" s="62"/>
      <c r="B160" s="63"/>
      <c r="C160" s="63" t="str">
        <f>IFERROR(VLOOKUP(B160,منتجات!$A$3:$C$350,2,0),"")</f>
        <v/>
      </c>
      <c r="D160" s="63" t="str">
        <f>IFERROR(VLOOKUP(B160,منتجات!$A$3:$C$350,3,0),"")</f>
        <v/>
      </c>
      <c r="E160" s="63"/>
      <c r="F160" s="63" t="str">
        <f>IFERROR(INDEX(منتجات!$G$3:$G$350,MATCH(B160,منتجات!$A$3:$A$115,0)),"")</f>
        <v/>
      </c>
      <c r="G160" s="63" t="str">
        <f t="shared" si="4"/>
        <v/>
      </c>
      <c r="H160" s="69"/>
    </row>
    <row r="161" spans="1:8" x14ac:dyDescent="0.35">
      <c r="A161" s="64"/>
      <c r="B161" s="65"/>
      <c r="C161" s="65" t="str">
        <f>IFERROR(VLOOKUP(B161,منتجات!$A$3:$C$350,2,0),"")</f>
        <v/>
      </c>
      <c r="D161" s="65" t="str">
        <f>IFERROR(VLOOKUP(B161,منتجات!$A$3:$C$350,3,0),"")</f>
        <v/>
      </c>
      <c r="E161" s="65"/>
      <c r="F161" s="65" t="str">
        <f>IFERROR(INDEX(منتجات!$G$3:$G$350,MATCH(B161,منتجات!$A$3:$A$115,0)),"")</f>
        <v/>
      </c>
      <c r="G161" s="65" t="str">
        <f t="shared" si="4"/>
        <v/>
      </c>
      <c r="H161" s="70"/>
    </row>
    <row r="162" spans="1:8" x14ac:dyDescent="0.35">
      <c r="A162" s="62"/>
      <c r="B162" s="63"/>
      <c r="C162" s="63" t="str">
        <f>IFERROR(VLOOKUP(B162,منتجات!$A$3:$C$350,2,0),"")</f>
        <v/>
      </c>
      <c r="D162" s="63" t="str">
        <f>IFERROR(VLOOKUP(B162,منتجات!$A$3:$C$350,3,0),"")</f>
        <v/>
      </c>
      <c r="E162" s="63"/>
      <c r="F162" s="63" t="str">
        <f>IFERROR(INDEX(منتجات!$G$3:$G$350,MATCH(B162,منتجات!$A$3:$A$115,0)),"")</f>
        <v/>
      </c>
      <c r="G162" s="63" t="str">
        <f t="shared" si="4"/>
        <v/>
      </c>
      <c r="H162" s="69"/>
    </row>
    <row r="163" spans="1:8" x14ac:dyDescent="0.35">
      <c r="A163" s="64"/>
      <c r="B163" s="65"/>
      <c r="C163" s="65" t="str">
        <f>IFERROR(VLOOKUP(B163,منتجات!$A$3:$C$350,2,0),"")</f>
        <v/>
      </c>
      <c r="D163" s="65" t="str">
        <f>IFERROR(VLOOKUP(B163,منتجات!$A$3:$C$350,3,0),"")</f>
        <v/>
      </c>
      <c r="E163" s="65"/>
      <c r="F163" s="65" t="str">
        <f>IFERROR(INDEX(منتجات!$G$3:$G$350,MATCH(B163,منتجات!$A$3:$A$115,0)),"")</f>
        <v/>
      </c>
      <c r="G163" s="65" t="str">
        <f t="shared" si="4"/>
        <v/>
      </c>
      <c r="H163" s="70"/>
    </row>
    <row r="164" spans="1:8" x14ac:dyDescent="0.35">
      <c r="A164" s="62"/>
      <c r="B164" s="63"/>
      <c r="C164" s="63" t="str">
        <f>IFERROR(VLOOKUP(B164,منتجات!$A$3:$C$350,2,0),"")</f>
        <v/>
      </c>
      <c r="D164" s="63" t="str">
        <f>IFERROR(VLOOKUP(B164,منتجات!$A$3:$C$350,3,0),"")</f>
        <v/>
      </c>
      <c r="E164" s="63"/>
      <c r="F164" s="63" t="str">
        <f>IFERROR(INDEX(منتجات!$G$3:$G$350,MATCH(B164,منتجات!$A$3:$A$115,0)),"")</f>
        <v/>
      </c>
      <c r="G164" s="63" t="str">
        <f t="shared" si="4"/>
        <v/>
      </c>
      <c r="H164" s="69"/>
    </row>
    <row r="165" spans="1:8" x14ac:dyDescent="0.35">
      <c r="A165" s="64"/>
      <c r="B165" s="65"/>
      <c r="C165" s="65" t="str">
        <f>IFERROR(VLOOKUP(B165,منتجات!$A$3:$C$350,2,0),"")</f>
        <v/>
      </c>
      <c r="D165" s="65" t="str">
        <f>IFERROR(VLOOKUP(B165,منتجات!$A$3:$C$350,3,0),"")</f>
        <v/>
      </c>
      <c r="E165" s="65"/>
      <c r="F165" s="65" t="str">
        <f>IFERROR(INDEX(منتجات!$G$3:$G$350,MATCH(B165,منتجات!$A$3:$A$115,0)),"")</f>
        <v/>
      </c>
      <c r="G165" s="65" t="str">
        <f t="shared" si="4"/>
        <v/>
      </c>
      <c r="H165" s="70"/>
    </row>
    <row r="166" spans="1:8" x14ac:dyDescent="0.35">
      <c r="A166" s="62"/>
      <c r="B166" s="63"/>
      <c r="C166" s="63" t="str">
        <f>IFERROR(VLOOKUP(B166,منتجات!$A$3:$C$350,2,0),"")</f>
        <v/>
      </c>
      <c r="D166" s="63" t="str">
        <f>IFERROR(VLOOKUP(B166,منتجات!$A$3:$C$350,3,0),"")</f>
        <v/>
      </c>
      <c r="E166" s="63"/>
      <c r="F166" s="63" t="str">
        <f>IFERROR(INDEX(منتجات!$G$3:$G$350,MATCH(B166,منتجات!$A$3:$A$115,0)),"")</f>
        <v/>
      </c>
      <c r="G166" s="63" t="str">
        <f t="shared" si="4"/>
        <v/>
      </c>
      <c r="H166" s="69"/>
    </row>
    <row r="167" spans="1:8" x14ac:dyDescent="0.35">
      <c r="A167" s="64"/>
      <c r="B167" s="65"/>
      <c r="C167" s="65" t="str">
        <f>IFERROR(VLOOKUP(B167,منتجات!$A$3:$C$350,2,0),"")</f>
        <v/>
      </c>
      <c r="D167" s="65" t="str">
        <f>IFERROR(VLOOKUP(B167,منتجات!$A$3:$C$350,3,0),"")</f>
        <v/>
      </c>
      <c r="E167" s="65"/>
      <c r="F167" s="65" t="str">
        <f>IFERROR(INDEX(منتجات!$G$3:$G$350,MATCH(B167,منتجات!$A$3:$A$115,0)),"")</f>
        <v/>
      </c>
      <c r="G167" s="65" t="str">
        <f t="shared" si="4"/>
        <v/>
      </c>
      <c r="H167" s="70"/>
    </row>
    <row r="168" spans="1:8" x14ac:dyDescent="0.35">
      <c r="A168" s="62"/>
      <c r="B168" s="63"/>
      <c r="C168" s="63" t="str">
        <f>IFERROR(VLOOKUP(B168,منتجات!$A$3:$C$350,2,0),"")</f>
        <v/>
      </c>
      <c r="D168" s="63" t="str">
        <f>IFERROR(VLOOKUP(B168,منتجات!$A$3:$C$350,3,0),"")</f>
        <v/>
      </c>
      <c r="E168" s="63"/>
      <c r="F168" s="63" t="str">
        <f>IFERROR(INDEX(منتجات!$G$3:$G$350,MATCH(B168,منتجات!$A$3:$A$115,0)),"")</f>
        <v/>
      </c>
      <c r="G168" s="63" t="str">
        <f t="shared" si="4"/>
        <v/>
      </c>
      <c r="H168" s="69"/>
    </row>
    <row r="169" spans="1:8" x14ac:dyDescent="0.35">
      <c r="A169" s="64"/>
      <c r="B169" s="65"/>
      <c r="C169" s="65" t="str">
        <f>IFERROR(VLOOKUP(B169,منتجات!$A$3:$C$350,2,0),"")</f>
        <v/>
      </c>
      <c r="D169" s="65" t="str">
        <f>IFERROR(VLOOKUP(B169,منتجات!$A$3:$C$350,3,0),"")</f>
        <v/>
      </c>
      <c r="E169" s="65"/>
      <c r="F169" s="65" t="str">
        <f>IFERROR(INDEX(منتجات!$G$3:$G$350,MATCH(B169,منتجات!$A$3:$A$115,0)),"")</f>
        <v/>
      </c>
      <c r="G169" s="65" t="str">
        <f t="shared" si="4"/>
        <v/>
      </c>
      <c r="H169" s="70"/>
    </row>
    <row r="170" spans="1:8" x14ac:dyDescent="0.35">
      <c r="A170" s="62"/>
      <c r="B170" s="63"/>
      <c r="C170" s="63" t="str">
        <f>IFERROR(VLOOKUP(B170,منتجات!$A$3:$C$350,2,0),"")</f>
        <v/>
      </c>
      <c r="D170" s="63" t="str">
        <f>IFERROR(VLOOKUP(B170,منتجات!$A$3:$C$350,3,0),"")</f>
        <v/>
      </c>
      <c r="E170" s="63"/>
      <c r="F170" s="63" t="str">
        <f>IFERROR(INDEX(منتجات!$G$3:$G$350,MATCH(B170,منتجات!$A$3:$A$115,0)),"")</f>
        <v/>
      </c>
      <c r="G170" s="63" t="str">
        <f t="shared" si="4"/>
        <v/>
      </c>
      <c r="H170" s="69"/>
    </row>
    <row r="171" spans="1:8" x14ac:dyDescent="0.35">
      <c r="A171" s="64"/>
      <c r="B171" s="65"/>
      <c r="C171" s="65" t="str">
        <f>IFERROR(VLOOKUP(B171,منتجات!$A$3:$C$350,2,0),"")</f>
        <v/>
      </c>
      <c r="D171" s="65" t="str">
        <f>IFERROR(VLOOKUP(B171,منتجات!$A$3:$C$350,3,0),"")</f>
        <v/>
      </c>
      <c r="E171" s="65"/>
      <c r="F171" s="65" t="str">
        <f>IFERROR(INDEX(منتجات!$G$3:$G$350,MATCH(B171,منتجات!$A$3:$A$115,0)),"")</f>
        <v/>
      </c>
      <c r="G171" s="65" t="str">
        <f t="shared" si="4"/>
        <v/>
      </c>
      <c r="H171" s="70"/>
    </row>
    <row r="172" spans="1:8" x14ac:dyDescent="0.35">
      <c r="A172" s="62"/>
      <c r="B172" s="63"/>
      <c r="C172" s="63" t="str">
        <f>IFERROR(VLOOKUP(B172,منتجات!$A$3:$C$350,2,0),"")</f>
        <v/>
      </c>
      <c r="D172" s="63" t="str">
        <f>IFERROR(VLOOKUP(B172,منتجات!$A$3:$C$350,3,0),"")</f>
        <v/>
      </c>
      <c r="E172" s="63"/>
      <c r="F172" s="63" t="str">
        <f>IFERROR(INDEX(منتجات!$G$3:$G$350,MATCH(B172,منتجات!$A$3:$A$115,0)),"")</f>
        <v/>
      </c>
      <c r="G172" s="63" t="str">
        <f t="shared" si="4"/>
        <v/>
      </c>
      <c r="H172" s="69"/>
    </row>
    <row r="173" spans="1:8" x14ac:dyDescent="0.35">
      <c r="A173" s="64"/>
      <c r="B173" s="65"/>
      <c r="C173" s="65" t="str">
        <f>IFERROR(VLOOKUP(B173,منتجات!$A$3:$C$350,2,0),"")</f>
        <v/>
      </c>
      <c r="D173" s="65" t="str">
        <f>IFERROR(VLOOKUP(B173,منتجات!$A$3:$C$350,3,0),"")</f>
        <v/>
      </c>
      <c r="E173" s="65"/>
      <c r="F173" s="65" t="str">
        <f>IFERROR(INDEX(منتجات!$G$3:$G$350,MATCH(B173,منتجات!$A$3:$A$115,0)),"")</f>
        <v/>
      </c>
      <c r="G173" s="65" t="str">
        <f t="shared" si="4"/>
        <v/>
      </c>
      <c r="H173" s="70"/>
    </row>
    <row r="174" spans="1:8" x14ac:dyDescent="0.35">
      <c r="A174" s="62"/>
      <c r="B174" s="63"/>
      <c r="C174" s="63" t="str">
        <f>IFERROR(VLOOKUP(B174,منتجات!$A$3:$C$350,2,0),"")</f>
        <v/>
      </c>
      <c r="D174" s="63" t="str">
        <f>IFERROR(VLOOKUP(B174,منتجات!$A$3:$C$350,3,0),"")</f>
        <v/>
      </c>
      <c r="E174" s="63"/>
      <c r="F174" s="63" t="str">
        <f>IFERROR(INDEX(منتجات!$G$3:$G$350,MATCH(B174,منتجات!$A$3:$A$115,0)),"")</f>
        <v/>
      </c>
      <c r="G174" s="63" t="str">
        <f t="shared" si="4"/>
        <v/>
      </c>
      <c r="H174" s="69"/>
    </row>
    <row r="175" spans="1:8" x14ac:dyDescent="0.35">
      <c r="A175" s="64"/>
      <c r="B175" s="65"/>
      <c r="C175" s="65" t="str">
        <f>IFERROR(VLOOKUP(B175,منتجات!$A$3:$C$350,2,0),"")</f>
        <v/>
      </c>
      <c r="D175" s="65" t="str">
        <f>IFERROR(VLOOKUP(B175,منتجات!$A$3:$C$350,3,0),"")</f>
        <v/>
      </c>
      <c r="E175" s="65"/>
      <c r="F175" s="65" t="str">
        <f>IFERROR(INDEX(منتجات!$G$3:$G$350,MATCH(B175,منتجات!$A$3:$A$115,0)),"")</f>
        <v/>
      </c>
      <c r="G175" s="65" t="str">
        <f t="shared" si="4"/>
        <v/>
      </c>
      <c r="H175" s="70"/>
    </row>
    <row r="176" spans="1:8" x14ac:dyDescent="0.35">
      <c r="A176" s="62"/>
      <c r="B176" s="63"/>
      <c r="C176" s="63" t="str">
        <f>IFERROR(VLOOKUP(B176,منتجات!$A$3:$C$350,2,0),"")</f>
        <v/>
      </c>
      <c r="D176" s="63" t="str">
        <f>IFERROR(VLOOKUP(B176,منتجات!$A$3:$C$350,3,0),"")</f>
        <v/>
      </c>
      <c r="E176" s="63"/>
      <c r="F176" s="63" t="str">
        <f>IFERROR(INDEX(منتجات!$G$3:$G$350,MATCH(B176,منتجات!$A$3:$A$115,0)),"")</f>
        <v/>
      </c>
      <c r="G176" s="63" t="str">
        <f t="shared" si="4"/>
        <v/>
      </c>
      <c r="H176" s="69"/>
    </row>
    <row r="177" spans="1:8" x14ac:dyDescent="0.35">
      <c r="A177" s="64"/>
      <c r="B177" s="65"/>
      <c r="C177" s="65" t="str">
        <f>IFERROR(VLOOKUP(B177,منتجات!$A$3:$C$350,2,0),"")</f>
        <v/>
      </c>
      <c r="D177" s="65" t="str">
        <f>IFERROR(VLOOKUP(B177,منتجات!$A$3:$C$350,3,0),"")</f>
        <v/>
      </c>
      <c r="E177" s="65"/>
      <c r="F177" s="65" t="str">
        <f>IFERROR(INDEX(منتجات!$G$3:$G$350,MATCH(B177,منتجات!$A$3:$A$115,0)),"")</f>
        <v/>
      </c>
      <c r="G177" s="65" t="str">
        <f t="shared" si="4"/>
        <v/>
      </c>
      <c r="H177" s="70"/>
    </row>
    <row r="178" spans="1:8" x14ac:dyDescent="0.35">
      <c r="A178" s="62"/>
      <c r="B178" s="63"/>
      <c r="C178" s="63" t="str">
        <f>IFERROR(VLOOKUP(B178,منتجات!$A$3:$C$350,2,0),"")</f>
        <v/>
      </c>
      <c r="D178" s="63" t="str">
        <f>IFERROR(VLOOKUP(B178,منتجات!$A$3:$C$350,3,0),"")</f>
        <v/>
      </c>
      <c r="E178" s="63"/>
      <c r="F178" s="63" t="str">
        <f>IFERROR(INDEX(منتجات!$G$3:$G$350,MATCH(B178,منتجات!$A$3:$A$115,0)),"")</f>
        <v/>
      </c>
      <c r="G178" s="63" t="str">
        <f t="shared" si="4"/>
        <v/>
      </c>
      <c r="H178" s="69"/>
    </row>
    <row r="179" spans="1:8" x14ac:dyDescent="0.35">
      <c r="A179" s="64"/>
      <c r="B179" s="65"/>
      <c r="C179" s="65" t="str">
        <f>IFERROR(VLOOKUP(B179,منتجات!$A$3:$C$350,2,0),"")</f>
        <v/>
      </c>
      <c r="D179" s="65" t="str">
        <f>IFERROR(VLOOKUP(B179,منتجات!$A$3:$C$350,3,0),"")</f>
        <v/>
      </c>
      <c r="E179" s="65"/>
      <c r="F179" s="65" t="str">
        <f>IFERROR(INDEX(منتجات!$G$3:$G$350,MATCH(B179,منتجات!$A$3:$A$115,0)),"")</f>
        <v/>
      </c>
      <c r="G179" s="65" t="str">
        <f t="shared" si="4"/>
        <v/>
      </c>
      <c r="H179" s="70"/>
    </row>
    <row r="180" spans="1:8" x14ac:dyDescent="0.35">
      <c r="A180" s="62"/>
      <c r="B180" s="63"/>
      <c r="C180" s="63" t="str">
        <f>IFERROR(VLOOKUP(B180,منتجات!$A$3:$C$350,2,0),"")</f>
        <v/>
      </c>
      <c r="D180" s="63" t="str">
        <f>IFERROR(VLOOKUP(B180,منتجات!$A$3:$C$350,3,0),"")</f>
        <v/>
      </c>
      <c r="E180" s="63"/>
      <c r="F180" s="63" t="str">
        <f>IFERROR(INDEX(منتجات!$G$3:$G$350,MATCH(B180,منتجات!$A$3:$A$115,0)),"")</f>
        <v/>
      </c>
      <c r="G180" s="63" t="str">
        <f t="shared" si="4"/>
        <v/>
      </c>
      <c r="H180" s="69"/>
    </row>
    <row r="181" spans="1:8" x14ac:dyDescent="0.35">
      <c r="A181" s="64"/>
      <c r="B181" s="65"/>
      <c r="C181" s="65" t="str">
        <f>IFERROR(VLOOKUP(B181,منتجات!$A$3:$C$350,2,0),"")</f>
        <v/>
      </c>
      <c r="D181" s="65" t="str">
        <f>IFERROR(VLOOKUP(B181,منتجات!$A$3:$C$350,3,0),"")</f>
        <v/>
      </c>
      <c r="E181" s="65"/>
      <c r="F181" s="65" t="str">
        <f>IFERROR(INDEX(منتجات!$G$3:$G$350,MATCH(B181,منتجات!$A$3:$A$115,0)),"")</f>
        <v/>
      </c>
      <c r="G181" s="65" t="str">
        <f t="shared" si="4"/>
        <v/>
      </c>
      <c r="H181" s="70"/>
    </row>
    <row r="182" spans="1:8" x14ac:dyDescent="0.35">
      <c r="A182" s="62"/>
      <c r="B182" s="63"/>
      <c r="C182" s="63" t="str">
        <f>IFERROR(VLOOKUP(B182,منتجات!$A$3:$C$350,2,0),"")</f>
        <v/>
      </c>
      <c r="D182" s="63" t="str">
        <f>IFERROR(VLOOKUP(B182,منتجات!$A$3:$C$350,3,0),"")</f>
        <v/>
      </c>
      <c r="E182" s="63"/>
      <c r="F182" s="63" t="str">
        <f>IFERROR(INDEX(منتجات!$G$3:$G$350,MATCH(B182,منتجات!$A$3:$A$115,0)),"")</f>
        <v/>
      </c>
      <c r="G182" s="63" t="str">
        <f t="shared" si="4"/>
        <v/>
      </c>
      <c r="H182" s="69"/>
    </row>
    <row r="183" spans="1:8" x14ac:dyDescent="0.35">
      <c r="A183" s="64"/>
      <c r="B183" s="65"/>
      <c r="C183" s="65" t="str">
        <f>IFERROR(VLOOKUP(B183,منتجات!$A$3:$C$350,2,0),"")</f>
        <v/>
      </c>
      <c r="D183" s="65" t="str">
        <f>IFERROR(VLOOKUP(B183,منتجات!$A$3:$C$350,3,0),"")</f>
        <v/>
      </c>
      <c r="E183" s="65"/>
      <c r="F183" s="65" t="str">
        <f>IFERROR(INDEX(منتجات!$G$3:$G$350,MATCH(B183,منتجات!$A$3:$A$115,0)),"")</f>
        <v/>
      </c>
      <c r="G183" s="65" t="str">
        <f t="shared" si="4"/>
        <v/>
      </c>
      <c r="H183" s="70"/>
    </row>
    <row r="184" spans="1:8" x14ac:dyDescent="0.35">
      <c r="A184" s="62"/>
      <c r="B184" s="63"/>
      <c r="C184" s="63" t="str">
        <f>IFERROR(VLOOKUP(B184,منتجات!$A$3:$C$350,2,0),"")</f>
        <v/>
      </c>
      <c r="D184" s="63" t="str">
        <f>IFERROR(VLOOKUP(B184,منتجات!$A$3:$C$350,3,0),"")</f>
        <v/>
      </c>
      <c r="E184" s="63"/>
      <c r="F184" s="63" t="str">
        <f>IFERROR(INDEX(منتجات!$G$3:$G$350,MATCH(B184,منتجات!$A$3:$A$115,0)),"")</f>
        <v/>
      </c>
      <c r="G184" s="63" t="str">
        <f t="shared" si="4"/>
        <v/>
      </c>
      <c r="H184" s="69"/>
    </row>
    <row r="185" spans="1:8" x14ac:dyDescent="0.35">
      <c r="A185" s="64"/>
      <c r="B185" s="65"/>
      <c r="C185" s="65" t="str">
        <f>IFERROR(VLOOKUP(B185,منتجات!$A$3:$C$350,2,0),"")</f>
        <v/>
      </c>
      <c r="D185" s="65" t="str">
        <f>IFERROR(VLOOKUP(B185,منتجات!$A$3:$C$350,3,0),"")</f>
        <v/>
      </c>
      <c r="E185" s="65"/>
      <c r="F185" s="65" t="str">
        <f>IFERROR(INDEX(منتجات!$G$3:$G$350,MATCH(B185,منتجات!$A$3:$A$115,0)),"")</f>
        <v/>
      </c>
      <c r="G185" s="65" t="str">
        <f t="shared" si="4"/>
        <v/>
      </c>
      <c r="H185" s="70"/>
    </row>
    <row r="186" spans="1:8" x14ac:dyDescent="0.35">
      <c r="A186" s="62"/>
      <c r="B186" s="63"/>
      <c r="C186" s="63" t="str">
        <f>IFERROR(VLOOKUP(B186,منتجات!$A$3:$C$350,2,0),"")</f>
        <v/>
      </c>
      <c r="D186" s="63" t="str">
        <f>IFERROR(VLOOKUP(B186,منتجات!$A$3:$C$350,3,0),"")</f>
        <v/>
      </c>
      <c r="E186" s="63"/>
      <c r="F186" s="63" t="str">
        <f>IFERROR(INDEX(منتجات!$G$3:$G$350,MATCH(B186,منتجات!$A$3:$A$115,0)),"")</f>
        <v/>
      </c>
      <c r="G186" s="63" t="str">
        <f t="shared" si="4"/>
        <v/>
      </c>
      <c r="H186" s="69"/>
    </row>
    <row r="187" spans="1:8" x14ac:dyDescent="0.35">
      <c r="A187" s="64"/>
      <c r="B187" s="65"/>
      <c r="C187" s="65" t="str">
        <f>IFERROR(VLOOKUP(B187,منتجات!$A$3:$C$350,2,0),"")</f>
        <v/>
      </c>
      <c r="D187" s="65" t="str">
        <f>IFERROR(VLOOKUP(B187,منتجات!$A$3:$C$350,3,0),"")</f>
        <v/>
      </c>
      <c r="E187" s="65"/>
      <c r="F187" s="65" t="str">
        <f>IFERROR(INDEX(منتجات!$G$3:$G$350,MATCH(B187,منتجات!$A$3:$A$115,0)),"")</f>
        <v/>
      </c>
      <c r="G187" s="65" t="str">
        <f t="shared" si="4"/>
        <v/>
      </c>
      <c r="H187" s="70"/>
    </row>
    <row r="188" spans="1:8" x14ac:dyDescent="0.35">
      <c r="A188" s="62"/>
      <c r="B188" s="63"/>
      <c r="C188" s="63" t="str">
        <f>IFERROR(VLOOKUP(B188,منتجات!$A$3:$C$350,2,0),"")</f>
        <v/>
      </c>
      <c r="D188" s="63" t="str">
        <f>IFERROR(VLOOKUP(B188,منتجات!$A$3:$C$350,3,0),"")</f>
        <v/>
      </c>
      <c r="E188" s="63"/>
      <c r="F188" s="63" t="str">
        <f>IFERROR(INDEX(منتجات!$G$3:$G$350,MATCH(B188,منتجات!$A$3:$A$115,0)),"")</f>
        <v/>
      </c>
      <c r="G188" s="63" t="str">
        <f t="shared" si="4"/>
        <v/>
      </c>
      <c r="H188" s="69"/>
    </row>
    <row r="189" spans="1:8" x14ac:dyDescent="0.35">
      <c r="A189" s="64"/>
      <c r="B189" s="65"/>
      <c r="C189" s="65" t="str">
        <f>IFERROR(VLOOKUP(B189,منتجات!$A$3:$C$350,2,0),"")</f>
        <v/>
      </c>
      <c r="D189" s="65" t="str">
        <f>IFERROR(VLOOKUP(B189,منتجات!$A$3:$C$350,3,0),"")</f>
        <v/>
      </c>
      <c r="E189" s="65"/>
      <c r="F189" s="65" t="str">
        <f>IFERROR(INDEX(منتجات!$G$3:$G$350,MATCH(B189,منتجات!$A$3:$A$115,0)),"")</f>
        <v/>
      </c>
      <c r="G189" s="65" t="str">
        <f t="shared" si="4"/>
        <v/>
      </c>
      <c r="H189" s="70"/>
    </row>
    <row r="190" spans="1:8" x14ac:dyDescent="0.35">
      <c r="A190" s="62"/>
      <c r="B190" s="63"/>
      <c r="C190" s="63" t="str">
        <f>IFERROR(VLOOKUP(B190,منتجات!$A$3:$C$350,2,0),"")</f>
        <v/>
      </c>
      <c r="D190" s="63" t="str">
        <f>IFERROR(VLOOKUP(B190,منتجات!$A$3:$C$350,3,0),"")</f>
        <v/>
      </c>
      <c r="E190" s="63"/>
      <c r="F190" s="63" t="str">
        <f>IFERROR(INDEX(منتجات!$G$3:$G$350,MATCH(B190,منتجات!$A$3:$A$115,0)),"")</f>
        <v/>
      </c>
      <c r="G190" s="63" t="str">
        <f t="shared" si="4"/>
        <v/>
      </c>
      <c r="H190" s="69"/>
    </row>
    <row r="191" spans="1:8" x14ac:dyDescent="0.35">
      <c r="A191" s="64"/>
      <c r="B191" s="65"/>
      <c r="C191" s="65" t="str">
        <f>IFERROR(VLOOKUP(B191,منتجات!$A$3:$C$350,2,0),"")</f>
        <v/>
      </c>
      <c r="D191" s="65" t="str">
        <f>IFERROR(VLOOKUP(B191,منتجات!$A$3:$C$350,3,0),"")</f>
        <v/>
      </c>
      <c r="E191" s="65"/>
      <c r="F191" s="65" t="str">
        <f>IFERROR(INDEX(منتجات!$G$3:$G$350,MATCH(B191,منتجات!$A$3:$A$115,0)),"")</f>
        <v/>
      </c>
      <c r="G191" s="65" t="str">
        <f t="shared" si="4"/>
        <v/>
      </c>
      <c r="H191" s="70"/>
    </row>
    <row r="192" spans="1:8" x14ac:dyDescent="0.35">
      <c r="A192" s="62"/>
      <c r="B192" s="63"/>
      <c r="C192" s="63" t="str">
        <f>IFERROR(VLOOKUP(B192,منتجات!$A$3:$C$350,2,0),"")</f>
        <v/>
      </c>
      <c r="D192" s="63" t="str">
        <f>IFERROR(VLOOKUP(B192,منتجات!$A$3:$C$350,3,0),"")</f>
        <v/>
      </c>
      <c r="E192" s="63"/>
      <c r="F192" s="63" t="str">
        <f>IFERROR(INDEX(منتجات!$G$3:$G$350,MATCH(B192,منتجات!$A$3:$A$115,0)),"")</f>
        <v/>
      </c>
      <c r="G192" s="63" t="str">
        <f t="shared" si="4"/>
        <v/>
      </c>
      <c r="H192" s="69"/>
    </row>
    <row r="193" spans="1:8" x14ac:dyDescent="0.35">
      <c r="A193" s="64"/>
      <c r="B193" s="65"/>
      <c r="C193" s="65" t="str">
        <f>IFERROR(VLOOKUP(B193,منتجات!$A$3:$C$350,2,0),"")</f>
        <v/>
      </c>
      <c r="D193" s="65" t="str">
        <f>IFERROR(VLOOKUP(B193,منتجات!$A$3:$C$350,3,0),"")</f>
        <v/>
      </c>
      <c r="E193" s="65"/>
      <c r="F193" s="65" t="str">
        <f>IFERROR(INDEX(منتجات!$G$3:$G$350,MATCH(B193,منتجات!$A$3:$A$115,0)),"")</f>
        <v/>
      </c>
      <c r="G193" s="65" t="str">
        <f t="shared" si="4"/>
        <v/>
      </c>
      <c r="H193" s="70"/>
    </row>
    <row r="194" spans="1:8" x14ac:dyDescent="0.35">
      <c r="A194" s="62"/>
      <c r="B194" s="63"/>
      <c r="C194" s="63" t="str">
        <f>IFERROR(VLOOKUP(B194,منتجات!$A$3:$C$350,2,0),"")</f>
        <v/>
      </c>
      <c r="D194" s="63" t="str">
        <f>IFERROR(VLOOKUP(B194,منتجات!$A$3:$C$350,3,0),"")</f>
        <v/>
      </c>
      <c r="E194" s="63"/>
      <c r="F194" s="63" t="str">
        <f>IFERROR(INDEX(منتجات!$G$3:$G$350,MATCH(B194,منتجات!$A$3:$A$115,0)),"")</f>
        <v/>
      </c>
      <c r="G194" s="63" t="str">
        <f t="shared" si="4"/>
        <v/>
      </c>
      <c r="H194" s="69"/>
    </row>
    <row r="195" spans="1:8" x14ac:dyDescent="0.35">
      <c r="A195" s="64"/>
      <c r="B195" s="65"/>
      <c r="C195" s="65" t="str">
        <f>IFERROR(VLOOKUP(B195,منتجات!$A$3:$C$350,2,0),"")</f>
        <v/>
      </c>
      <c r="D195" s="65" t="str">
        <f>IFERROR(VLOOKUP(B195,منتجات!$A$3:$C$350,3,0),"")</f>
        <v/>
      </c>
      <c r="E195" s="65"/>
      <c r="F195" s="65" t="str">
        <f>IFERROR(INDEX(منتجات!$G$3:$G$350,MATCH(B195,منتجات!$A$3:$A$115,0)),"")</f>
        <v/>
      </c>
      <c r="G195" s="65" t="str">
        <f t="shared" si="4"/>
        <v/>
      </c>
      <c r="H195" s="70"/>
    </row>
    <row r="196" spans="1:8" x14ac:dyDescent="0.35">
      <c r="A196" s="62"/>
      <c r="B196" s="63"/>
      <c r="C196" s="63" t="str">
        <f>IFERROR(VLOOKUP(B196,منتجات!$A$3:$C$350,2,0),"")</f>
        <v/>
      </c>
      <c r="D196" s="63" t="str">
        <f>IFERROR(VLOOKUP(B196,منتجات!$A$3:$C$350,3,0),"")</f>
        <v/>
      </c>
      <c r="E196" s="63"/>
      <c r="F196" s="63" t="str">
        <f>IFERROR(INDEX(منتجات!$G$3:$G$350,MATCH(B196,منتجات!$A$3:$A$115,0)),"")</f>
        <v/>
      </c>
      <c r="G196" s="63" t="str">
        <f t="shared" si="4"/>
        <v/>
      </c>
      <c r="H196" s="69"/>
    </row>
    <row r="197" spans="1:8" x14ac:dyDescent="0.35">
      <c r="A197" s="64"/>
      <c r="B197" s="65"/>
      <c r="C197" s="65" t="str">
        <f>IFERROR(VLOOKUP(B197,منتجات!$A$3:$C$350,2,0),"")</f>
        <v/>
      </c>
      <c r="D197" s="65" t="str">
        <f>IFERROR(VLOOKUP(B197,منتجات!$A$3:$C$350,3,0),"")</f>
        <v/>
      </c>
      <c r="E197" s="65"/>
      <c r="F197" s="65" t="str">
        <f>IFERROR(INDEX(منتجات!$G$3:$G$350,MATCH(B197,منتجات!$A$3:$A$115,0)),"")</f>
        <v/>
      </c>
      <c r="G197" s="65" t="str">
        <f t="shared" si="4"/>
        <v/>
      </c>
      <c r="H197" s="70"/>
    </row>
    <row r="198" spans="1:8" x14ac:dyDescent="0.35">
      <c r="A198" s="62"/>
      <c r="B198" s="63"/>
      <c r="C198" s="63" t="str">
        <f>IFERROR(VLOOKUP(B198,منتجات!$A$3:$C$350,2,0),"")</f>
        <v/>
      </c>
      <c r="D198" s="63" t="str">
        <f>IFERROR(VLOOKUP(B198,منتجات!$A$3:$C$350,3,0),"")</f>
        <v/>
      </c>
      <c r="E198" s="63"/>
      <c r="F198" s="63" t="str">
        <f>IFERROR(INDEX(منتجات!$G$3:$G$350,MATCH(B198,منتجات!$A$3:$A$115,0)),"")</f>
        <v/>
      </c>
      <c r="G198" s="63" t="str">
        <f t="shared" ref="G198:G261" si="5">IFERROR(E198*F198*D198,"")</f>
        <v/>
      </c>
      <c r="H198" s="69"/>
    </row>
    <row r="199" spans="1:8" x14ac:dyDescent="0.35">
      <c r="A199" s="64"/>
      <c r="B199" s="65"/>
      <c r="C199" s="65" t="str">
        <f>IFERROR(VLOOKUP(B199,منتجات!$A$3:$C$350,2,0),"")</f>
        <v/>
      </c>
      <c r="D199" s="65" t="str">
        <f>IFERROR(VLOOKUP(B199,منتجات!$A$3:$C$350,3,0),"")</f>
        <v/>
      </c>
      <c r="E199" s="65"/>
      <c r="F199" s="65" t="str">
        <f>IFERROR(INDEX(منتجات!$G$3:$G$350,MATCH(B199,منتجات!$A$3:$A$115,0)),"")</f>
        <v/>
      </c>
      <c r="G199" s="65" t="str">
        <f t="shared" si="5"/>
        <v/>
      </c>
      <c r="H199" s="70"/>
    </row>
    <row r="200" spans="1:8" x14ac:dyDescent="0.35">
      <c r="A200" s="62"/>
      <c r="B200" s="63"/>
      <c r="C200" s="63" t="str">
        <f>IFERROR(VLOOKUP(B200,منتجات!$A$3:$C$350,2,0),"")</f>
        <v/>
      </c>
      <c r="D200" s="63" t="str">
        <f>IFERROR(VLOOKUP(B200,منتجات!$A$3:$C$350,3,0),"")</f>
        <v/>
      </c>
      <c r="E200" s="63"/>
      <c r="F200" s="63" t="str">
        <f>IFERROR(INDEX(منتجات!$G$3:$G$350,MATCH(B200,منتجات!$A$3:$A$115,0)),"")</f>
        <v/>
      </c>
      <c r="G200" s="63" t="str">
        <f t="shared" si="5"/>
        <v/>
      </c>
      <c r="H200" s="69"/>
    </row>
    <row r="201" spans="1:8" x14ac:dyDescent="0.35">
      <c r="A201" s="64"/>
      <c r="B201" s="65"/>
      <c r="C201" s="65" t="str">
        <f>IFERROR(VLOOKUP(B201,منتجات!$A$3:$C$350,2,0),"")</f>
        <v/>
      </c>
      <c r="D201" s="65" t="str">
        <f>IFERROR(VLOOKUP(B201,منتجات!$A$3:$C$350,3,0),"")</f>
        <v/>
      </c>
      <c r="E201" s="65"/>
      <c r="F201" s="65" t="str">
        <f>IFERROR(INDEX(منتجات!$G$3:$G$350,MATCH(B201,منتجات!$A$3:$A$115,0)),"")</f>
        <v/>
      </c>
      <c r="G201" s="65" t="str">
        <f t="shared" si="5"/>
        <v/>
      </c>
      <c r="H201" s="70"/>
    </row>
    <row r="202" spans="1:8" x14ac:dyDescent="0.35">
      <c r="A202" s="62"/>
      <c r="B202" s="63"/>
      <c r="C202" s="63" t="str">
        <f>IFERROR(VLOOKUP(B202,منتجات!$A$3:$C$350,2,0),"")</f>
        <v/>
      </c>
      <c r="D202" s="63" t="str">
        <f>IFERROR(VLOOKUP(B202,منتجات!$A$3:$C$350,3,0),"")</f>
        <v/>
      </c>
      <c r="E202" s="63"/>
      <c r="F202" s="63" t="str">
        <f>IFERROR(INDEX(منتجات!$G$3:$G$350,MATCH(B202,منتجات!$A$3:$A$115,0)),"")</f>
        <v/>
      </c>
      <c r="G202" s="63" t="str">
        <f t="shared" si="5"/>
        <v/>
      </c>
      <c r="H202" s="69"/>
    </row>
    <row r="203" spans="1:8" x14ac:dyDescent="0.35">
      <c r="A203" s="64"/>
      <c r="B203" s="65"/>
      <c r="C203" s="65" t="str">
        <f>IFERROR(VLOOKUP(B203,منتجات!$A$3:$C$350,2,0),"")</f>
        <v/>
      </c>
      <c r="D203" s="65" t="str">
        <f>IFERROR(VLOOKUP(B203,منتجات!$A$3:$C$350,3,0),"")</f>
        <v/>
      </c>
      <c r="E203" s="65"/>
      <c r="F203" s="65" t="str">
        <f>IFERROR(INDEX(منتجات!$G$3:$G$350,MATCH(B203,منتجات!$A$3:$A$115,0)),"")</f>
        <v/>
      </c>
      <c r="G203" s="65" t="str">
        <f t="shared" si="5"/>
        <v/>
      </c>
      <c r="H203" s="70"/>
    </row>
    <row r="204" spans="1:8" x14ac:dyDescent="0.35">
      <c r="A204" s="62"/>
      <c r="B204" s="63"/>
      <c r="C204" s="63" t="str">
        <f>IFERROR(VLOOKUP(B204,منتجات!$A$3:$C$350,2,0),"")</f>
        <v/>
      </c>
      <c r="D204" s="63" t="str">
        <f>IFERROR(VLOOKUP(B204,منتجات!$A$3:$C$350,3,0),"")</f>
        <v/>
      </c>
      <c r="E204" s="63"/>
      <c r="F204" s="63" t="str">
        <f>IFERROR(INDEX(منتجات!$G$3:$G$350,MATCH(B204,منتجات!$A$3:$A$115,0)),"")</f>
        <v/>
      </c>
      <c r="G204" s="63" t="str">
        <f t="shared" si="5"/>
        <v/>
      </c>
      <c r="H204" s="69"/>
    </row>
    <row r="205" spans="1:8" x14ac:dyDescent="0.35">
      <c r="A205" s="64"/>
      <c r="B205" s="65"/>
      <c r="C205" s="65" t="str">
        <f>IFERROR(VLOOKUP(B205,منتجات!$A$3:$C$350,2,0),"")</f>
        <v/>
      </c>
      <c r="D205" s="65" t="str">
        <f>IFERROR(VLOOKUP(B205,منتجات!$A$3:$C$350,3,0),"")</f>
        <v/>
      </c>
      <c r="E205" s="65"/>
      <c r="F205" s="65" t="str">
        <f>IFERROR(INDEX(منتجات!$G$3:$G$350,MATCH(B205,منتجات!$A$3:$A$115,0)),"")</f>
        <v/>
      </c>
      <c r="G205" s="65" t="str">
        <f t="shared" si="5"/>
        <v/>
      </c>
      <c r="H205" s="70"/>
    </row>
    <row r="206" spans="1:8" x14ac:dyDescent="0.35">
      <c r="A206" s="62"/>
      <c r="B206" s="63"/>
      <c r="C206" s="63" t="str">
        <f>IFERROR(VLOOKUP(B206,منتجات!$A$3:$C$350,2,0),"")</f>
        <v/>
      </c>
      <c r="D206" s="63" t="str">
        <f>IFERROR(VLOOKUP(B206,منتجات!$A$3:$C$350,3,0),"")</f>
        <v/>
      </c>
      <c r="E206" s="63"/>
      <c r="F206" s="63" t="str">
        <f>IFERROR(INDEX(منتجات!$G$3:$G$350,MATCH(B206,منتجات!$A$3:$A$115,0)),"")</f>
        <v/>
      </c>
      <c r="G206" s="63" t="str">
        <f t="shared" si="5"/>
        <v/>
      </c>
      <c r="H206" s="69"/>
    </row>
    <row r="207" spans="1:8" x14ac:dyDescent="0.35">
      <c r="A207" s="64"/>
      <c r="B207" s="65"/>
      <c r="C207" s="65" t="str">
        <f>IFERROR(VLOOKUP(B207,منتجات!$A$3:$C$350,2,0),"")</f>
        <v/>
      </c>
      <c r="D207" s="65" t="str">
        <f>IFERROR(VLOOKUP(B207,منتجات!$A$3:$C$350,3,0),"")</f>
        <v/>
      </c>
      <c r="E207" s="65"/>
      <c r="F207" s="65" t="str">
        <f>IFERROR(INDEX(منتجات!$G$3:$G$350,MATCH(B207,منتجات!$A$3:$A$115,0)),"")</f>
        <v/>
      </c>
      <c r="G207" s="65" t="str">
        <f t="shared" si="5"/>
        <v/>
      </c>
      <c r="H207" s="70"/>
    </row>
    <row r="208" spans="1:8" x14ac:dyDescent="0.35">
      <c r="A208" s="62"/>
      <c r="B208" s="63"/>
      <c r="C208" s="63" t="str">
        <f>IFERROR(VLOOKUP(B208,منتجات!$A$3:$C$350,2,0),"")</f>
        <v/>
      </c>
      <c r="D208" s="63" t="str">
        <f>IFERROR(VLOOKUP(B208,منتجات!$A$3:$C$350,3,0),"")</f>
        <v/>
      </c>
      <c r="E208" s="63"/>
      <c r="F208" s="63" t="str">
        <f>IFERROR(INDEX(منتجات!$G$3:$G$350,MATCH(B208,منتجات!$A$3:$A$115,0)),"")</f>
        <v/>
      </c>
      <c r="G208" s="63" t="str">
        <f t="shared" si="5"/>
        <v/>
      </c>
      <c r="H208" s="69"/>
    </row>
    <row r="209" spans="1:8" x14ac:dyDescent="0.35">
      <c r="A209" s="64"/>
      <c r="B209" s="65"/>
      <c r="C209" s="65" t="str">
        <f>IFERROR(VLOOKUP(B209,منتجات!$A$3:$C$350,2,0),"")</f>
        <v/>
      </c>
      <c r="D209" s="65" t="str">
        <f>IFERROR(VLOOKUP(B209,منتجات!$A$3:$C$350,3,0),"")</f>
        <v/>
      </c>
      <c r="E209" s="65"/>
      <c r="F209" s="65" t="str">
        <f>IFERROR(INDEX(منتجات!$G$3:$G$350,MATCH(B209,منتجات!$A$3:$A$115,0)),"")</f>
        <v/>
      </c>
      <c r="G209" s="65" t="str">
        <f t="shared" si="5"/>
        <v/>
      </c>
      <c r="H209" s="70"/>
    </row>
    <row r="210" spans="1:8" x14ac:dyDescent="0.35">
      <c r="A210" s="62"/>
      <c r="B210" s="63"/>
      <c r="C210" s="63" t="str">
        <f>IFERROR(VLOOKUP(B210,منتجات!$A$3:$C$350,2,0),"")</f>
        <v/>
      </c>
      <c r="D210" s="63" t="str">
        <f>IFERROR(VLOOKUP(B210,منتجات!$A$3:$C$350,3,0),"")</f>
        <v/>
      </c>
      <c r="E210" s="63"/>
      <c r="F210" s="63" t="str">
        <f>IFERROR(INDEX(منتجات!$G$3:$G$350,MATCH(B210,منتجات!$A$3:$A$115,0)),"")</f>
        <v/>
      </c>
      <c r="G210" s="63" t="str">
        <f t="shared" si="5"/>
        <v/>
      </c>
      <c r="H210" s="69"/>
    </row>
    <row r="211" spans="1:8" x14ac:dyDescent="0.35">
      <c r="A211" s="64"/>
      <c r="B211" s="65"/>
      <c r="C211" s="65" t="str">
        <f>IFERROR(VLOOKUP(B211,منتجات!$A$3:$C$350,2,0),"")</f>
        <v/>
      </c>
      <c r="D211" s="65" t="str">
        <f>IFERROR(VLOOKUP(B211,منتجات!$A$3:$C$350,3,0),"")</f>
        <v/>
      </c>
      <c r="E211" s="65"/>
      <c r="F211" s="65" t="str">
        <f>IFERROR(INDEX(منتجات!$G$3:$G$350,MATCH(B211,منتجات!$A$3:$A$115,0)),"")</f>
        <v/>
      </c>
      <c r="G211" s="65" t="str">
        <f t="shared" si="5"/>
        <v/>
      </c>
      <c r="H211" s="70"/>
    </row>
    <row r="212" spans="1:8" x14ac:dyDescent="0.35">
      <c r="A212" s="62"/>
      <c r="B212" s="63"/>
      <c r="C212" s="63" t="str">
        <f>IFERROR(VLOOKUP(B212,منتجات!$A$3:$C$350,2,0),"")</f>
        <v/>
      </c>
      <c r="D212" s="63" t="str">
        <f>IFERROR(VLOOKUP(B212,منتجات!$A$3:$C$350,3,0),"")</f>
        <v/>
      </c>
      <c r="E212" s="63"/>
      <c r="F212" s="63" t="str">
        <f>IFERROR(INDEX(منتجات!$G$3:$G$350,MATCH(B212,منتجات!$A$3:$A$115,0)),"")</f>
        <v/>
      </c>
      <c r="G212" s="63" t="str">
        <f t="shared" si="5"/>
        <v/>
      </c>
      <c r="H212" s="69"/>
    </row>
    <row r="213" spans="1:8" x14ac:dyDescent="0.35">
      <c r="A213" s="64"/>
      <c r="B213" s="65"/>
      <c r="C213" s="65" t="str">
        <f>IFERROR(VLOOKUP(B213,منتجات!$A$3:$C$350,2,0),"")</f>
        <v/>
      </c>
      <c r="D213" s="65" t="str">
        <f>IFERROR(VLOOKUP(B213,منتجات!$A$3:$C$350,3,0),"")</f>
        <v/>
      </c>
      <c r="E213" s="65"/>
      <c r="F213" s="65" t="str">
        <f>IFERROR(INDEX(منتجات!$G$3:$G$350,MATCH(B213,منتجات!$A$3:$A$115,0)),"")</f>
        <v/>
      </c>
      <c r="G213" s="65" t="str">
        <f t="shared" si="5"/>
        <v/>
      </c>
      <c r="H213" s="70"/>
    </row>
    <row r="214" spans="1:8" x14ac:dyDescent="0.35">
      <c r="A214" s="62"/>
      <c r="B214" s="63"/>
      <c r="C214" s="63" t="str">
        <f>IFERROR(VLOOKUP(B214,منتجات!$A$3:$C$350,2,0),"")</f>
        <v/>
      </c>
      <c r="D214" s="63" t="str">
        <f>IFERROR(VLOOKUP(B214,منتجات!$A$3:$C$350,3,0),"")</f>
        <v/>
      </c>
      <c r="E214" s="63"/>
      <c r="F214" s="63" t="str">
        <f>IFERROR(INDEX(منتجات!$G$3:$G$350,MATCH(B214,منتجات!$A$3:$A$115,0)),"")</f>
        <v/>
      </c>
      <c r="G214" s="63" t="str">
        <f t="shared" si="5"/>
        <v/>
      </c>
      <c r="H214" s="69"/>
    </row>
    <row r="215" spans="1:8" x14ac:dyDescent="0.35">
      <c r="A215" s="64"/>
      <c r="B215" s="65"/>
      <c r="C215" s="65" t="str">
        <f>IFERROR(VLOOKUP(B215,منتجات!$A$3:$C$350,2,0),"")</f>
        <v/>
      </c>
      <c r="D215" s="65" t="str">
        <f>IFERROR(VLOOKUP(B215,منتجات!$A$3:$C$350,3,0),"")</f>
        <v/>
      </c>
      <c r="E215" s="65"/>
      <c r="F215" s="65" t="str">
        <f>IFERROR(INDEX(منتجات!$G$3:$G$350,MATCH(B215,منتجات!$A$3:$A$115,0)),"")</f>
        <v/>
      </c>
      <c r="G215" s="65" t="str">
        <f t="shared" si="5"/>
        <v/>
      </c>
      <c r="H215" s="70"/>
    </row>
    <row r="216" spans="1:8" x14ac:dyDescent="0.35">
      <c r="A216" s="62"/>
      <c r="B216" s="63"/>
      <c r="C216" s="63" t="str">
        <f>IFERROR(VLOOKUP(B216,منتجات!$A$3:$C$350,2,0),"")</f>
        <v/>
      </c>
      <c r="D216" s="63" t="str">
        <f>IFERROR(VLOOKUP(B216,منتجات!$A$3:$C$350,3,0),"")</f>
        <v/>
      </c>
      <c r="E216" s="63"/>
      <c r="F216" s="63" t="str">
        <f>IFERROR(INDEX(منتجات!$G$3:$G$350,MATCH(B216,منتجات!$A$3:$A$115,0)),"")</f>
        <v/>
      </c>
      <c r="G216" s="63" t="str">
        <f t="shared" si="5"/>
        <v/>
      </c>
      <c r="H216" s="69"/>
    </row>
    <row r="217" spans="1:8" x14ac:dyDescent="0.35">
      <c r="A217" s="64"/>
      <c r="B217" s="65"/>
      <c r="C217" s="65" t="str">
        <f>IFERROR(VLOOKUP(B217,منتجات!$A$3:$C$350,2,0),"")</f>
        <v/>
      </c>
      <c r="D217" s="65" t="str">
        <f>IFERROR(VLOOKUP(B217,منتجات!$A$3:$C$350,3,0),"")</f>
        <v/>
      </c>
      <c r="E217" s="65"/>
      <c r="F217" s="65" t="str">
        <f>IFERROR(INDEX(منتجات!$G$3:$G$350,MATCH(B217,منتجات!$A$3:$A$115,0)),"")</f>
        <v/>
      </c>
      <c r="G217" s="65" t="str">
        <f t="shared" si="5"/>
        <v/>
      </c>
      <c r="H217" s="70"/>
    </row>
    <row r="218" spans="1:8" x14ac:dyDescent="0.35">
      <c r="A218" s="62"/>
      <c r="B218" s="63"/>
      <c r="C218" s="63" t="str">
        <f>IFERROR(VLOOKUP(B218,منتجات!$A$3:$C$350,2,0),"")</f>
        <v/>
      </c>
      <c r="D218" s="63" t="str">
        <f>IFERROR(VLOOKUP(B218,منتجات!$A$3:$C$350,3,0),"")</f>
        <v/>
      </c>
      <c r="E218" s="63"/>
      <c r="F218" s="63" t="str">
        <f>IFERROR(INDEX(منتجات!$G$3:$G$350,MATCH(B218,منتجات!$A$3:$A$115,0)),"")</f>
        <v/>
      </c>
      <c r="G218" s="63" t="str">
        <f t="shared" si="5"/>
        <v/>
      </c>
      <c r="H218" s="69"/>
    </row>
    <row r="219" spans="1:8" x14ac:dyDescent="0.35">
      <c r="A219" s="64"/>
      <c r="B219" s="65"/>
      <c r="C219" s="65" t="str">
        <f>IFERROR(VLOOKUP(B219,منتجات!$A$3:$C$350,2,0),"")</f>
        <v/>
      </c>
      <c r="D219" s="65" t="str">
        <f>IFERROR(VLOOKUP(B219,منتجات!$A$3:$C$350,3,0),"")</f>
        <v/>
      </c>
      <c r="E219" s="65"/>
      <c r="F219" s="65" t="str">
        <f>IFERROR(INDEX(منتجات!$G$3:$G$350,MATCH(B219,منتجات!$A$3:$A$115,0)),"")</f>
        <v/>
      </c>
      <c r="G219" s="65" t="str">
        <f t="shared" si="5"/>
        <v/>
      </c>
      <c r="H219" s="70"/>
    </row>
    <row r="220" spans="1:8" x14ac:dyDescent="0.35">
      <c r="A220" s="62"/>
      <c r="B220" s="63"/>
      <c r="C220" s="63" t="str">
        <f>IFERROR(VLOOKUP(B220,منتجات!$A$3:$C$350,2,0),"")</f>
        <v/>
      </c>
      <c r="D220" s="63" t="str">
        <f>IFERROR(VLOOKUP(B220,منتجات!$A$3:$C$350,3,0),"")</f>
        <v/>
      </c>
      <c r="E220" s="63"/>
      <c r="F220" s="63" t="str">
        <f>IFERROR(INDEX(منتجات!$G$3:$G$350,MATCH(B220,منتجات!$A$3:$A$115,0)),"")</f>
        <v/>
      </c>
      <c r="G220" s="63" t="str">
        <f t="shared" si="5"/>
        <v/>
      </c>
      <c r="H220" s="69"/>
    </row>
    <row r="221" spans="1:8" x14ac:dyDescent="0.35">
      <c r="A221" s="64"/>
      <c r="B221" s="65"/>
      <c r="C221" s="65" t="str">
        <f>IFERROR(VLOOKUP(B221,منتجات!$A$3:$C$350,2,0),"")</f>
        <v/>
      </c>
      <c r="D221" s="65" t="str">
        <f>IFERROR(VLOOKUP(B221,منتجات!$A$3:$C$350,3,0),"")</f>
        <v/>
      </c>
      <c r="E221" s="65"/>
      <c r="F221" s="65" t="str">
        <f>IFERROR(INDEX(منتجات!$G$3:$G$350,MATCH(B221,منتجات!$A$3:$A$115,0)),"")</f>
        <v/>
      </c>
      <c r="G221" s="65" t="str">
        <f t="shared" si="5"/>
        <v/>
      </c>
      <c r="H221" s="70"/>
    </row>
    <row r="222" spans="1:8" x14ac:dyDescent="0.35">
      <c r="A222" s="62"/>
      <c r="B222" s="63"/>
      <c r="C222" s="63" t="str">
        <f>IFERROR(VLOOKUP(B222,منتجات!$A$3:$C$350,2,0),"")</f>
        <v/>
      </c>
      <c r="D222" s="63" t="str">
        <f>IFERROR(VLOOKUP(B222,منتجات!$A$3:$C$350,3,0),"")</f>
        <v/>
      </c>
      <c r="E222" s="63"/>
      <c r="F222" s="63" t="str">
        <f>IFERROR(INDEX(منتجات!$G$3:$G$350,MATCH(B222,منتجات!$A$3:$A$115,0)),"")</f>
        <v/>
      </c>
      <c r="G222" s="63" t="str">
        <f t="shared" si="5"/>
        <v/>
      </c>
      <c r="H222" s="69"/>
    </row>
    <row r="223" spans="1:8" x14ac:dyDescent="0.35">
      <c r="A223" s="64"/>
      <c r="B223" s="65"/>
      <c r="C223" s="65" t="str">
        <f>IFERROR(VLOOKUP(B223,منتجات!$A$3:$C$350,2,0),"")</f>
        <v/>
      </c>
      <c r="D223" s="65" t="str">
        <f>IFERROR(VLOOKUP(B223,منتجات!$A$3:$C$350,3,0),"")</f>
        <v/>
      </c>
      <c r="E223" s="65"/>
      <c r="F223" s="65" t="str">
        <f>IFERROR(INDEX(منتجات!$G$3:$G$350,MATCH(B223,منتجات!$A$3:$A$115,0)),"")</f>
        <v/>
      </c>
      <c r="G223" s="65" t="str">
        <f t="shared" si="5"/>
        <v/>
      </c>
      <c r="H223" s="70"/>
    </row>
    <row r="224" spans="1:8" x14ac:dyDescent="0.35">
      <c r="A224" s="62"/>
      <c r="B224" s="63"/>
      <c r="C224" s="63" t="str">
        <f>IFERROR(VLOOKUP(B224,منتجات!$A$3:$C$350,2,0),"")</f>
        <v/>
      </c>
      <c r="D224" s="63" t="str">
        <f>IFERROR(VLOOKUP(B224,منتجات!$A$3:$C$350,3,0),"")</f>
        <v/>
      </c>
      <c r="E224" s="63"/>
      <c r="F224" s="63" t="str">
        <f>IFERROR(INDEX(منتجات!$G$3:$G$350,MATCH(B224,منتجات!$A$3:$A$115,0)),"")</f>
        <v/>
      </c>
      <c r="G224" s="63" t="str">
        <f t="shared" si="5"/>
        <v/>
      </c>
      <c r="H224" s="69"/>
    </row>
    <row r="225" spans="1:8" x14ac:dyDescent="0.35">
      <c r="A225" s="64"/>
      <c r="B225" s="65"/>
      <c r="C225" s="65" t="str">
        <f>IFERROR(VLOOKUP(B225,منتجات!$A$3:$C$350,2,0),"")</f>
        <v/>
      </c>
      <c r="D225" s="65" t="str">
        <f>IFERROR(VLOOKUP(B225,منتجات!$A$3:$C$350,3,0),"")</f>
        <v/>
      </c>
      <c r="E225" s="65"/>
      <c r="F225" s="65" t="str">
        <f>IFERROR(INDEX(منتجات!$G$3:$G$350,MATCH(B225,منتجات!$A$3:$A$115,0)),"")</f>
        <v/>
      </c>
      <c r="G225" s="65" t="str">
        <f t="shared" si="5"/>
        <v/>
      </c>
      <c r="H225" s="70"/>
    </row>
    <row r="226" spans="1:8" x14ac:dyDescent="0.35">
      <c r="A226" s="62"/>
      <c r="B226" s="63"/>
      <c r="C226" s="63" t="str">
        <f>IFERROR(VLOOKUP(B226,منتجات!$A$3:$C$350,2,0),"")</f>
        <v/>
      </c>
      <c r="D226" s="63" t="str">
        <f>IFERROR(VLOOKUP(B226,منتجات!$A$3:$C$350,3,0),"")</f>
        <v/>
      </c>
      <c r="E226" s="63"/>
      <c r="F226" s="63" t="str">
        <f>IFERROR(INDEX(منتجات!$G$3:$G$350,MATCH(B226,منتجات!$A$3:$A$115,0)),"")</f>
        <v/>
      </c>
      <c r="G226" s="63" t="str">
        <f t="shared" si="5"/>
        <v/>
      </c>
      <c r="H226" s="69"/>
    </row>
    <row r="227" spans="1:8" x14ac:dyDescent="0.35">
      <c r="A227" s="64"/>
      <c r="B227" s="65"/>
      <c r="C227" s="65" t="str">
        <f>IFERROR(VLOOKUP(B227,منتجات!$A$3:$C$350,2,0),"")</f>
        <v/>
      </c>
      <c r="D227" s="65" t="str">
        <f>IFERROR(VLOOKUP(B227,منتجات!$A$3:$C$350,3,0),"")</f>
        <v/>
      </c>
      <c r="E227" s="65"/>
      <c r="F227" s="65" t="str">
        <f>IFERROR(INDEX(منتجات!$G$3:$G$350,MATCH(B227,منتجات!$A$3:$A$115,0)),"")</f>
        <v/>
      </c>
      <c r="G227" s="65" t="str">
        <f t="shared" si="5"/>
        <v/>
      </c>
      <c r="H227" s="70"/>
    </row>
    <row r="228" spans="1:8" x14ac:dyDescent="0.35">
      <c r="A228" s="62"/>
      <c r="B228" s="63"/>
      <c r="C228" s="63" t="str">
        <f>IFERROR(VLOOKUP(B228,منتجات!$A$3:$C$350,2,0),"")</f>
        <v/>
      </c>
      <c r="D228" s="63" t="str">
        <f>IFERROR(VLOOKUP(B228,منتجات!$A$3:$C$350,3,0),"")</f>
        <v/>
      </c>
      <c r="E228" s="63"/>
      <c r="F228" s="63" t="str">
        <f>IFERROR(INDEX(منتجات!$G$3:$G$350,MATCH(B228,منتجات!$A$3:$A$115,0)),"")</f>
        <v/>
      </c>
      <c r="G228" s="63" t="str">
        <f t="shared" si="5"/>
        <v/>
      </c>
      <c r="H228" s="69"/>
    </row>
    <row r="229" spans="1:8" x14ac:dyDescent="0.35">
      <c r="A229" s="64"/>
      <c r="B229" s="65"/>
      <c r="C229" s="65" t="str">
        <f>IFERROR(VLOOKUP(B229,منتجات!$A$3:$C$350,2,0),"")</f>
        <v/>
      </c>
      <c r="D229" s="65" t="str">
        <f>IFERROR(VLOOKUP(B229,منتجات!$A$3:$C$350,3,0),"")</f>
        <v/>
      </c>
      <c r="E229" s="65"/>
      <c r="F229" s="65" t="str">
        <f>IFERROR(INDEX(منتجات!$G$3:$G$350,MATCH(B229,منتجات!$A$3:$A$115,0)),"")</f>
        <v/>
      </c>
      <c r="G229" s="65" t="str">
        <f t="shared" si="5"/>
        <v/>
      </c>
      <c r="H229" s="70"/>
    </row>
    <row r="230" spans="1:8" x14ac:dyDescent="0.35">
      <c r="A230" s="62"/>
      <c r="B230" s="63"/>
      <c r="C230" s="63" t="str">
        <f>IFERROR(VLOOKUP(B230,منتجات!$A$3:$C$350,2,0),"")</f>
        <v/>
      </c>
      <c r="D230" s="63" t="str">
        <f>IFERROR(VLOOKUP(B230,منتجات!$A$3:$C$350,3,0),"")</f>
        <v/>
      </c>
      <c r="E230" s="63"/>
      <c r="F230" s="63" t="str">
        <f>IFERROR(INDEX(منتجات!$G$3:$G$350,MATCH(B230,منتجات!$A$3:$A$115,0)),"")</f>
        <v/>
      </c>
      <c r="G230" s="63" t="str">
        <f t="shared" si="5"/>
        <v/>
      </c>
      <c r="H230" s="69"/>
    </row>
    <row r="231" spans="1:8" x14ac:dyDescent="0.35">
      <c r="A231" s="64"/>
      <c r="B231" s="65"/>
      <c r="C231" s="65" t="str">
        <f>IFERROR(VLOOKUP(B231,منتجات!$A$3:$C$350,2,0),"")</f>
        <v/>
      </c>
      <c r="D231" s="65" t="str">
        <f>IFERROR(VLOOKUP(B231,منتجات!$A$3:$C$350,3,0),"")</f>
        <v/>
      </c>
      <c r="E231" s="65"/>
      <c r="F231" s="65" t="str">
        <f>IFERROR(INDEX(منتجات!$G$3:$G$350,MATCH(B231,منتجات!$A$3:$A$115,0)),"")</f>
        <v/>
      </c>
      <c r="G231" s="65" t="str">
        <f t="shared" si="5"/>
        <v/>
      </c>
      <c r="H231" s="70"/>
    </row>
    <row r="232" spans="1:8" x14ac:dyDescent="0.35">
      <c r="A232" s="62"/>
      <c r="B232" s="63"/>
      <c r="C232" s="63" t="str">
        <f>IFERROR(VLOOKUP(B232,منتجات!$A$3:$C$350,2,0),"")</f>
        <v/>
      </c>
      <c r="D232" s="63" t="str">
        <f>IFERROR(VLOOKUP(B232,منتجات!$A$3:$C$350,3,0),"")</f>
        <v/>
      </c>
      <c r="E232" s="63"/>
      <c r="F232" s="63" t="str">
        <f>IFERROR(INDEX(منتجات!$G$3:$G$350,MATCH(B232,منتجات!$A$3:$A$115,0)),"")</f>
        <v/>
      </c>
      <c r="G232" s="63" t="str">
        <f t="shared" si="5"/>
        <v/>
      </c>
      <c r="H232" s="69"/>
    </row>
    <row r="233" spans="1:8" x14ac:dyDescent="0.35">
      <c r="A233" s="64"/>
      <c r="B233" s="65"/>
      <c r="C233" s="65" t="str">
        <f>IFERROR(VLOOKUP(B233,منتجات!$A$3:$C$350,2,0),"")</f>
        <v/>
      </c>
      <c r="D233" s="65" t="str">
        <f>IFERROR(VLOOKUP(B233,منتجات!$A$3:$C$350,3,0),"")</f>
        <v/>
      </c>
      <c r="E233" s="65"/>
      <c r="F233" s="65" t="str">
        <f>IFERROR(INDEX(منتجات!$G$3:$G$350,MATCH(B233,منتجات!$A$3:$A$115,0)),"")</f>
        <v/>
      </c>
      <c r="G233" s="65" t="str">
        <f t="shared" si="5"/>
        <v/>
      </c>
      <c r="H233" s="70"/>
    </row>
    <row r="234" spans="1:8" x14ac:dyDescent="0.35">
      <c r="A234" s="62"/>
      <c r="B234" s="63"/>
      <c r="C234" s="63" t="str">
        <f>IFERROR(VLOOKUP(B234,منتجات!$A$3:$C$350,2,0),"")</f>
        <v/>
      </c>
      <c r="D234" s="63" t="str">
        <f>IFERROR(VLOOKUP(B234,منتجات!$A$3:$C$350,3,0),"")</f>
        <v/>
      </c>
      <c r="E234" s="63"/>
      <c r="F234" s="63" t="str">
        <f>IFERROR(INDEX(منتجات!$G$3:$G$350,MATCH(B234,منتجات!$A$3:$A$115,0)),"")</f>
        <v/>
      </c>
      <c r="G234" s="63" t="str">
        <f t="shared" si="5"/>
        <v/>
      </c>
      <c r="H234" s="69"/>
    </row>
    <row r="235" spans="1:8" x14ac:dyDescent="0.35">
      <c r="A235" s="64"/>
      <c r="B235" s="65"/>
      <c r="C235" s="65" t="str">
        <f>IFERROR(VLOOKUP(B235,منتجات!$A$3:$C$350,2,0),"")</f>
        <v/>
      </c>
      <c r="D235" s="65" t="str">
        <f>IFERROR(VLOOKUP(B235,منتجات!$A$3:$C$350,3,0),"")</f>
        <v/>
      </c>
      <c r="E235" s="65"/>
      <c r="F235" s="65" t="str">
        <f>IFERROR(INDEX(منتجات!$G$3:$G$350,MATCH(B235,منتجات!$A$3:$A$115,0)),"")</f>
        <v/>
      </c>
      <c r="G235" s="65" t="str">
        <f t="shared" si="5"/>
        <v/>
      </c>
      <c r="H235" s="70"/>
    </row>
    <row r="236" spans="1:8" x14ac:dyDescent="0.35">
      <c r="A236" s="62"/>
      <c r="B236" s="63"/>
      <c r="C236" s="63" t="str">
        <f>IFERROR(VLOOKUP(B236,منتجات!$A$3:$C$350,2,0),"")</f>
        <v/>
      </c>
      <c r="D236" s="63" t="str">
        <f>IFERROR(VLOOKUP(B236,منتجات!$A$3:$C$350,3,0),"")</f>
        <v/>
      </c>
      <c r="E236" s="63"/>
      <c r="F236" s="63" t="str">
        <f>IFERROR(INDEX(منتجات!$G$3:$G$350,MATCH(B236,منتجات!$A$3:$A$115,0)),"")</f>
        <v/>
      </c>
      <c r="G236" s="63" t="str">
        <f t="shared" si="5"/>
        <v/>
      </c>
      <c r="H236" s="69"/>
    </row>
    <row r="237" spans="1:8" x14ac:dyDescent="0.35">
      <c r="A237" s="64"/>
      <c r="B237" s="65"/>
      <c r="C237" s="65" t="str">
        <f>IFERROR(VLOOKUP(B237,منتجات!$A$3:$C$350,2,0),"")</f>
        <v/>
      </c>
      <c r="D237" s="65" t="str">
        <f>IFERROR(VLOOKUP(B237,منتجات!$A$3:$C$350,3,0),"")</f>
        <v/>
      </c>
      <c r="E237" s="65"/>
      <c r="F237" s="65" t="str">
        <f>IFERROR(INDEX(منتجات!$G$3:$G$350,MATCH(B237,منتجات!$A$3:$A$115,0)),"")</f>
        <v/>
      </c>
      <c r="G237" s="65" t="str">
        <f t="shared" si="5"/>
        <v/>
      </c>
      <c r="H237" s="70"/>
    </row>
    <row r="238" spans="1:8" x14ac:dyDescent="0.35">
      <c r="A238" s="62"/>
      <c r="B238" s="63"/>
      <c r="C238" s="63" t="str">
        <f>IFERROR(VLOOKUP(B238,منتجات!$A$3:$C$350,2,0),"")</f>
        <v/>
      </c>
      <c r="D238" s="63" t="str">
        <f>IFERROR(VLOOKUP(B238,منتجات!$A$3:$C$350,3,0),"")</f>
        <v/>
      </c>
      <c r="E238" s="63"/>
      <c r="F238" s="63" t="str">
        <f>IFERROR(INDEX(منتجات!$G$3:$G$350,MATCH(B238,منتجات!$A$3:$A$115,0)),"")</f>
        <v/>
      </c>
      <c r="G238" s="63" t="str">
        <f t="shared" si="5"/>
        <v/>
      </c>
      <c r="H238" s="69"/>
    </row>
    <row r="239" spans="1:8" x14ac:dyDescent="0.35">
      <c r="A239" s="64"/>
      <c r="B239" s="65"/>
      <c r="C239" s="65" t="str">
        <f>IFERROR(VLOOKUP(B239,منتجات!$A$3:$C$350,2,0),"")</f>
        <v/>
      </c>
      <c r="D239" s="65" t="str">
        <f>IFERROR(VLOOKUP(B239,منتجات!$A$3:$C$350,3,0),"")</f>
        <v/>
      </c>
      <c r="E239" s="65"/>
      <c r="F239" s="65" t="str">
        <f>IFERROR(INDEX(منتجات!$G$3:$G$350,MATCH(B239,منتجات!$A$3:$A$115,0)),"")</f>
        <v/>
      </c>
      <c r="G239" s="65" t="str">
        <f t="shared" si="5"/>
        <v/>
      </c>
      <c r="H239" s="70"/>
    </row>
    <row r="240" spans="1:8" x14ac:dyDescent="0.35">
      <c r="A240" s="62"/>
      <c r="B240" s="63"/>
      <c r="C240" s="63" t="str">
        <f>IFERROR(VLOOKUP(B240,منتجات!$A$3:$C$350,2,0),"")</f>
        <v/>
      </c>
      <c r="D240" s="63" t="str">
        <f>IFERROR(VLOOKUP(B240,منتجات!$A$3:$C$350,3,0),"")</f>
        <v/>
      </c>
      <c r="E240" s="63"/>
      <c r="F240" s="63" t="str">
        <f>IFERROR(INDEX(منتجات!$G$3:$G$350,MATCH(B240,منتجات!$A$3:$A$115,0)),"")</f>
        <v/>
      </c>
      <c r="G240" s="63" t="str">
        <f t="shared" si="5"/>
        <v/>
      </c>
      <c r="H240" s="69"/>
    </row>
    <row r="241" spans="1:8" x14ac:dyDescent="0.35">
      <c r="A241" s="64"/>
      <c r="B241" s="65"/>
      <c r="C241" s="65" t="str">
        <f>IFERROR(VLOOKUP(B241,منتجات!$A$3:$C$350,2,0),"")</f>
        <v/>
      </c>
      <c r="D241" s="65" t="str">
        <f>IFERROR(VLOOKUP(B241,منتجات!$A$3:$C$350,3,0),"")</f>
        <v/>
      </c>
      <c r="E241" s="65"/>
      <c r="F241" s="65" t="str">
        <f>IFERROR(INDEX(منتجات!$G$3:$G$350,MATCH(B241,منتجات!$A$3:$A$115,0)),"")</f>
        <v/>
      </c>
      <c r="G241" s="65" t="str">
        <f t="shared" si="5"/>
        <v/>
      </c>
      <c r="H241" s="70"/>
    </row>
    <row r="242" spans="1:8" x14ac:dyDescent="0.35">
      <c r="A242" s="62"/>
      <c r="B242" s="63"/>
      <c r="C242" s="63" t="str">
        <f>IFERROR(VLOOKUP(B242,منتجات!$A$3:$C$350,2,0),"")</f>
        <v/>
      </c>
      <c r="D242" s="63" t="str">
        <f>IFERROR(VLOOKUP(B242,منتجات!$A$3:$C$350,3,0),"")</f>
        <v/>
      </c>
      <c r="E242" s="63"/>
      <c r="F242" s="63" t="str">
        <f>IFERROR(INDEX(منتجات!$G$3:$G$350,MATCH(B242,منتجات!$A$3:$A$115,0)),"")</f>
        <v/>
      </c>
      <c r="G242" s="63" t="str">
        <f t="shared" si="5"/>
        <v/>
      </c>
      <c r="H242" s="69"/>
    </row>
    <row r="243" spans="1:8" x14ac:dyDescent="0.35">
      <c r="A243" s="64"/>
      <c r="B243" s="65"/>
      <c r="C243" s="65" t="str">
        <f>IFERROR(VLOOKUP(B243,منتجات!$A$3:$C$350,2,0),"")</f>
        <v/>
      </c>
      <c r="D243" s="65" t="str">
        <f>IFERROR(VLOOKUP(B243,منتجات!$A$3:$C$350,3,0),"")</f>
        <v/>
      </c>
      <c r="E243" s="65"/>
      <c r="F243" s="65" t="str">
        <f>IFERROR(INDEX(منتجات!$G$3:$G$350,MATCH(B243,منتجات!$A$3:$A$115,0)),"")</f>
        <v/>
      </c>
      <c r="G243" s="65" t="str">
        <f t="shared" si="5"/>
        <v/>
      </c>
      <c r="H243" s="70"/>
    </row>
    <row r="244" spans="1:8" x14ac:dyDescent="0.35">
      <c r="A244" s="62"/>
      <c r="B244" s="63"/>
      <c r="C244" s="63" t="str">
        <f>IFERROR(VLOOKUP(B244,منتجات!$A$3:$C$350,2,0),"")</f>
        <v/>
      </c>
      <c r="D244" s="63" t="str">
        <f>IFERROR(VLOOKUP(B244,منتجات!$A$3:$C$350,3,0),"")</f>
        <v/>
      </c>
      <c r="E244" s="63"/>
      <c r="F244" s="63" t="str">
        <f>IFERROR(INDEX(منتجات!$G$3:$G$350,MATCH(B244,منتجات!$A$3:$A$115,0)),"")</f>
        <v/>
      </c>
      <c r="G244" s="63" t="str">
        <f t="shared" si="5"/>
        <v/>
      </c>
      <c r="H244" s="69"/>
    </row>
    <row r="245" spans="1:8" x14ac:dyDescent="0.35">
      <c r="A245" s="64"/>
      <c r="B245" s="65"/>
      <c r="C245" s="65" t="str">
        <f>IFERROR(VLOOKUP(B245,منتجات!$A$3:$C$350,2,0),"")</f>
        <v/>
      </c>
      <c r="D245" s="65" t="str">
        <f>IFERROR(VLOOKUP(B245,منتجات!$A$3:$C$350,3,0),"")</f>
        <v/>
      </c>
      <c r="E245" s="65"/>
      <c r="F245" s="65" t="str">
        <f>IFERROR(INDEX(منتجات!$G$3:$G$350,MATCH(B245,منتجات!$A$3:$A$115,0)),"")</f>
        <v/>
      </c>
      <c r="G245" s="65" t="str">
        <f t="shared" si="5"/>
        <v/>
      </c>
      <c r="H245" s="70"/>
    </row>
    <row r="246" spans="1:8" x14ac:dyDescent="0.35">
      <c r="A246" s="62"/>
      <c r="B246" s="63"/>
      <c r="C246" s="63" t="str">
        <f>IFERROR(VLOOKUP(B246,منتجات!$A$3:$C$350,2,0),"")</f>
        <v/>
      </c>
      <c r="D246" s="63" t="str">
        <f>IFERROR(VLOOKUP(B246,منتجات!$A$3:$C$350,3,0),"")</f>
        <v/>
      </c>
      <c r="E246" s="63"/>
      <c r="F246" s="63" t="str">
        <f>IFERROR(INDEX(منتجات!$G$3:$G$350,MATCH(B246,منتجات!$A$3:$A$115,0)),"")</f>
        <v/>
      </c>
      <c r="G246" s="63" t="str">
        <f t="shared" si="5"/>
        <v/>
      </c>
      <c r="H246" s="69"/>
    </row>
    <row r="247" spans="1:8" x14ac:dyDescent="0.35">
      <c r="A247" s="64"/>
      <c r="B247" s="65"/>
      <c r="C247" s="65" t="str">
        <f>IFERROR(VLOOKUP(B247,منتجات!$A$3:$C$350,2,0),"")</f>
        <v/>
      </c>
      <c r="D247" s="65" t="str">
        <f>IFERROR(VLOOKUP(B247,منتجات!$A$3:$C$350,3,0),"")</f>
        <v/>
      </c>
      <c r="E247" s="65"/>
      <c r="F247" s="65" t="str">
        <f>IFERROR(INDEX(منتجات!$G$3:$G$350,MATCH(B247,منتجات!$A$3:$A$115,0)),"")</f>
        <v/>
      </c>
      <c r="G247" s="65" t="str">
        <f t="shared" si="5"/>
        <v/>
      </c>
      <c r="H247" s="70"/>
    </row>
    <row r="248" spans="1:8" x14ac:dyDescent="0.35">
      <c r="A248" s="62"/>
      <c r="B248" s="63"/>
      <c r="C248" s="63" t="str">
        <f>IFERROR(VLOOKUP(B248,منتجات!$A$3:$C$350,2,0),"")</f>
        <v/>
      </c>
      <c r="D248" s="63" t="str">
        <f>IFERROR(VLOOKUP(B248,منتجات!$A$3:$C$350,3,0),"")</f>
        <v/>
      </c>
      <c r="E248" s="63"/>
      <c r="F248" s="63" t="str">
        <f>IFERROR(INDEX(منتجات!$G$3:$G$350,MATCH(B248,منتجات!$A$3:$A$115,0)),"")</f>
        <v/>
      </c>
      <c r="G248" s="63" t="str">
        <f t="shared" si="5"/>
        <v/>
      </c>
      <c r="H248" s="69"/>
    </row>
    <row r="249" spans="1:8" x14ac:dyDescent="0.35">
      <c r="A249" s="64"/>
      <c r="B249" s="65"/>
      <c r="C249" s="65" t="str">
        <f>IFERROR(VLOOKUP(B249,منتجات!$A$3:$C$350,2,0),"")</f>
        <v/>
      </c>
      <c r="D249" s="65" t="str">
        <f>IFERROR(VLOOKUP(B249,منتجات!$A$3:$C$350,3,0),"")</f>
        <v/>
      </c>
      <c r="E249" s="65"/>
      <c r="F249" s="65" t="str">
        <f>IFERROR(INDEX(منتجات!$G$3:$G$350,MATCH(B249,منتجات!$A$3:$A$115,0)),"")</f>
        <v/>
      </c>
      <c r="G249" s="65" t="str">
        <f t="shared" si="5"/>
        <v/>
      </c>
      <c r="H249" s="70"/>
    </row>
    <row r="250" spans="1:8" x14ac:dyDescent="0.35">
      <c r="A250" s="62"/>
      <c r="B250" s="63"/>
      <c r="C250" s="63" t="str">
        <f>IFERROR(VLOOKUP(B250,منتجات!$A$3:$C$350,2,0),"")</f>
        <v/>
      </c>
      <c r="D250" s="63" t="str">
        <f>IFERROR(VLOOKUP(B250,منتجات!$A$3:$C$350,3,0),"")</f>
        <v/>
      </c>
      <c r="E250" s="63"/>
      <c r="F250" s="63" t="str">
        <f>IFERROR(INDEX(منتجات!$G$3:$G$350,MATCH(B250,منتجات!$A$3:$A$115,0)),"")</f>
        <v/>
      </c>
      <c r="G250" s="63" t="str">
        <f t="shared" si="5"/>
        <v/>
      </c>
      <c r="H250" s="69"/>
    </row>
    <row r="251" spans="1:8" x14ac:dyDescent="0.35">
      <c r="A251" s="64"/>
      <c r="B251" s="65"/>
      <c r="C251" s="65" t="str">
        <f>IFERROR(VLOOKUP(B251,منتجات!$A$3:$C$350,2,0),"")</f>
        <v/>
      </c>
      <c r="D251" s="65" t="str">
        <f>IFERROR(VLOOKUP(B251,منتجات!$A$3:$C$350,3,0),"")</f>
        <v/>
      </c>
      <c r="E251" s="65"/>
      <c r="F251" s="65" t="str">
        <f>IFERROR(INDEX(منتجات!$G$3:$G$350,MATCH(B251,منتجات!$A$3:$A$115,0)),"")</f>
        <v/>
      </c>
      <c r="G251" s="65" t="str">
        <f t="shared" si="5"/>
        <v/>
      </c>
      <c r="H251" s="70"/>
    </row>
    <row r="252" spans="1:8" x14ac:dyDescent="0.35">
      <c r="A252" s="62"/>
      <c r="B252" s="63"/>
      <c r="C252" s="63" t="str">
        <f>IFERROR(VLOOKUP(B252,منتجات!$A$3:$C$350,2,0),"")</f>
        <v/>
      </c>
      <c r="D252" s="63" t="str">
        <f>IFERROR(VLOOKUP(B252,منتجات!$A$3:$C$350,3,0),"")</f>
        <v/>
      </c>
      <c r="E252" s="63"/>
      <c r="F252" s="63" t="str">
        <f>IFERROR(INDEX(منتجات!$G$3:$G$350,MATCH(B252,منتجات!$A$3:$A$115,0)),"")</f>
        <v/>
      </c>
      <c r="G252" s="63" t="str">
        <f t="shared" si="5"/>
        <v/>
      </c>
      <c r="H252" s="69"/>
    </row>
    <row r="253" spans="1:8" x14ac:dyDescent="0.35">
      <c r="A253" s="64"/>
      <c r="B253" s="65"/>
      <c r="C253" s="65" t="str">
        <f>IFERROR(VLOOKUP(B253,منتجات!$A$3:$C$350,2,0),"")</f>
        <v/>
      </c>
      <c r="D253" s="65" t="str">
        <f>IFERROR(VLOOKUP(B253,منتجات!$A$3:$C$350,3,0),"")</f>
        <v/>
      </c>
      <c r="E253" s="65"/>
      <c r="F253" s="65" t="str">
        <f>IFERROR(INDEX(منتجات!$G$3:$G$350,MATCH(B253,منتجات!$A$3:$A$115,0)),"")</f>
        <v/>
      </c>
      <c r="G253" s="65" t="str">
        <f t="shared" si="5"/>
        <v/>
      </c>
      <c r="H253" s="70"/>
    </row>
    <row r="254" spans="1:8" x14ac:dyDescent="0.35">
      <c r="A254" s="62"/>
      <c r="B254" s="63"/>
      <c r="C254" s="63" t="str">
        <f>IFERROR(VLOOKUP(B254,منتجات!$A$3:$C$350,2,0),"")</f>
        <v/>
      </c>
      <c r="D254" s="63" t="str">
        <f>IFERROR(VLOOKUP(B254,منتجات!$A$3:$C$350,3,0),"")</f>
        <v/>
      </c>
      <c r="E254" s="63"/>
      <c r="F254" s="63" t="str">
        <f>IFERROR(INDEX(منتجات!$G$3:$G$350,MATCH(B254,منتجات!$A$3:$A$115,0)),"")</f>
        <v/>
      </c>
      <c r="G254" s="63" t="str">
        <f t="shared" si="5"/>
        <v/>
      </c>
      <c r="H254" s="69"/>
    </row>
    <row r="255" spans="1:8" x14ac:dyDescent="0.35">
      <c r="A255" s="64"/>
      <c r="B255" s="65"/>
      <c r="C255" s="65" t="str">
        <f>IFERROR(VLOOKUP(B255,منتجات!$A$3:$C$350,2,0),"")</f>
        <v/>
      </c>
      <c r="D255" s="65" t="str">
        <f>IFERROR(VLOOKUP(B255,منتجات!$A$3:$C$350,3,0),"")</f>
        <v/>
      </c>
      <c r="E255" s="65"/>
      <c r="F255" s="65" t="str">
        <f>IFERROR(INDEX(منتجات!$G$3:$G$350,MATCH(B255,منتجات!$A$3:$A$115,0)),"")</f>
        <v/>
      </c>
      <c r="G255" s="65" t="str">
        <f t="shared" si="5"/>
        <v/>
      </c>
      <c r="H255" s="70"/>
    </row>
    <row r="256" spans="1:8" x14ac:dyDescent="0.35">
      <c r="A256" s="62"/>
      <c r="B256" s="63"/>
      <c r="C256" s="63" t="str">
        <f>IFERROR(VLOOKUP(B256,منتجات!$A$3:$C$350,2,0),"")</f>
        <v/>
      </c>
      <c r="D256" s="63" t="str">
        <f>IFERROR(VLOOKUP(B256,منتجات!$A$3:$C$350,3,0),"")</f>
        <v/>
      </c>
      <c r="E256" s="63"/>
      <c r="F256" s="63" t="str">
        <f>IFERROR(INDEX(منتجات!$G$3:$G$350,MATCH(B256,منتجات!$A$3:$A$115,0)),"")</f>
        <v/>
      </c>
      <c r="G256" s="63" t="str">
        <f t="shared" si="5"/>
        <v/>
      </c>
      <c r="H256" s="69"/>
    </row>
    <row r="257" spans="1:8" x14ac:dyDescent="0.35">
      <c r="A257" s="64"/>
      <c r="B257" s="65"/>
      <c r="C257" s="65" t="str">
        <f>IFERROR(VLOOKUP(B257,منتجات!$A$3:$C$350,2,0),"")</f>
        <v/>
      </c>
      <c r="D257" s="65" t="str">
        <f>IFERROR(VLOOKUP(B257,منتجات!$A$3:$C$350,3,0),"")</f>
        <v/>
      </c>
      <c r="E257" s="65"/>
      <c r="F257" s="65" t="str">
        <f>IFERROR(INDEX(منتجات!$G$3:$G$350,MATCH(B257,منتجات!$A$3:$A$115,0)),"")</f>
        <v/>
      </c>
      <c r="G257" s="65" t="str">
        <f t="shared" si="5"/>
        <v/>
      </c>
      <c r="H257" s="70"/>
    </row>
    <row r="258" spans="1:8" x14ac:dyDescent="0.35">
      <c r="A258" s="62"/>
      <c r="B258" s="63"/>
      <c r="C258" s="63" t="str">
        <f>IFERROR(VLOOKUP(B258,منتجات!$A$3:$C$350,2,0),"")</f>
        <v/>
      </c>
      <c r="D258" s="63" t="str">
        <f>IFERROR(VLOOKUP(B258,منتجات!$A$3:$C$350,3,0),"")</f>
        <v/>
      </c>
      <c r="E258" s="63"/>
      <c r="F258" s="63" t="str">
        <f>IFERROR(INDEX(منتجات!$G$3:$G$350,MATCH(B258,منتجات!$A$3:$A$115,0)),"")</f>
        <v/>
      </c>
      <c r="G258" s="63" t="str">
        <f t="shared" si="5"/>
        <v/>
      </c>
      <c r="H258" s="69"/>
    </row>
    <row r="259" spans="1:8" x14ac:dyDescent="0.35">
      <c r="A259" s="64"/>
      <c r="B259" s="65"/>
      <c r="C259" s="65" t="str">
        <f>IFERROR(VLOOKUP(B259,منتجات!$A$3:$C$350,2,0),"")</f>
        <v/>
      </c>
      <c r="D259" s="65" t="str">
        <f>IFERROR(VLOOKUP(B259,منتجات!$A$3:$C$350,3,0),"")</f>
        <v/>
      </c>
      <c r="E259" s="65"/>
      <c r="F259" s="65" t="str">
        <f>IFERROR(INDEX(منتجات!$G$3:$G$350,MATCH(B259,منتجات!$A$3:$A$115,0)),"")</f>
        <v/>
      </c>
      <c r="G259" s="65" t="str">
        <f t="shared" si="5"/>
        <v/>
      </c>
      <c r="H259" s="70"/>
    </row>
    <row r="260" spans="1:8" x14ac:dyDescent="0.35">
      <c r="A260" s="62"/>
      <c r="B260" s="63"/>
      <c r="C260" s="63" t="str">
        <f>IFERROR(VLOOKUP(B260,منتجات!$A$3:$C$350,2,0),"")</f>
        <v/>
      </c>
      <c r="D260" s="63" t="str">
        <f>IFERROR(VLOOKUP(B260,منتجات!$A$3:$C$350,3,0),"")</f>
        <v/>
      </c>
      <c r="E260" s="63"/>
      <c r="F260" s="63" t="str">
        <f>IFERROR(INDEX(منتجات!$G$3:$G$350,MATCH(B260,منتجات!$A$3:$A$115,0)),"")</f>
        <v/>
      </c>
      <c r="G260" s="63" t="str">
        <f t="shared" si="5"/>
        <v/>
      </c>
      <c r="H260" s="69"/>
    </row>
    <row r="261" spans="1:8" x14ac:dyDescent="0.35">
      <c r="A261" s="64"/>
      <c r="B261" s="65"/>
      <c r="C261" s="65" t="str">
        <f>IFERROR(VLOOKUP(B261,منتجات!$A$3:$C$350,2,0),"")</f>
        <v/>
      </c>
      <c r="D261" s="65" t="str">
        <f>IFERROR(VLOOKUP(B261,منتجات!$A$3:$C$350,3,0),"")</f>
        <v/>
      </c>
      <c r="E261" s="65"/>
      <c r="F261" s="65" t="str">
        <f>IFERROR(INDEX(منتجات!$G$3:$G$350,MATCH(B261,منتجات!$A$3:$A$115,0)),"")</f>
        <v/>
      </c>
      <c r="G261" s="65" t="str">
        <f t="shared" si="5"/>
        <v/>
      </c>
      <c r="H261" s="70"/>
    </row>
    <row r="262" spans="1:8" x14ac:dyDescent="0.35">
      <c r="A262" s="62"/>
      <c r="B262" s="63"/>
      <c r="C262" s="63" t="str">
        <f>IFERROR(VLOOKUP(B262,منتجات!$A$3:$C$350,2,0),"")</f>
        <v/>
      </c>
      <c r="D262" s="63" t="str">
        <f>IFERROR(VLOOKUP(B262,منتجات!$A$3:$C$350,3,0),"")</f>
        <v/>
      </c>
      <c r="E262" s="63"/>
      <c r="F262" s="63" t="str">
        <f>IFERROR(INDEX(منتجات!$G$3:$G$350,MATCH(B262,منتجات!$A$3:$A$115,0)),"")</f>
        <v/>
      </c>
      <c r="G262" s="63" t="str">
        <f t="shared" ref="G262:G325" si="6">IFERROR(E262*F262*D262,"")</f>
        <v/>
      </c>
      <c r="H262" s="69"/>
    </row>
    <row r="263" spans="1:8" x14ac:dyDescent="0.35">
      <c r="A263" s="64"/>
      <c r="B263" s="65"/>
      <c r="C263" s="65" t="str">
        <f>IFERROR(VLOOKUP(B263,منتجات!$A$3:$C$350,2,0),"")</f>
        <v/>
      </c>
      <c r="D263" s="65" t="str">
        <f>IFERROR(VLOOKUP(B263,منتجات!$A$3:$C$350,3,0),"")</f>
        <v/>
      </c>
      <c r="E263" s="65"/>
      <c r="F263" s="65" t="str">
        <f>IFERROR(INDEX(منتجات!$G$3:$G$350,MATCH(B263,منتجات!$A$3:$A$115,0)),"")</f>
        <v/>
      </c>
      <c r="G263" s="65" t="str">
        <f t="shared" si="6"/>
        <v/>
      </c>
      <c r="H263" s="70"/>
    </row>
    <row r="264" spans="1:8" x14ac:dyDescent="0.35">
      <c r="A264" s="62"/>
      <c r="B264" s="63"/>
      <c r="C264" s="63" t="str">
        <f>IFERROR(VLOOKUP(B264,منتجات!$A$3:$C$350,2,0),"")</f>
        <v/>
      </c>
      <c r="D264" s="63" t="str">
        <f>IFERROR(VLOOKUP(B264,منتجات!$A$3:$C$350,3,0),"")</f>
        <v/>
      </c>
      <c r="E264" s="63"/>
      <c r="F264" s="63" t="str">
        <f>IFERROR(INDEX(منتجات!$G$3:$G$350,MATCH(B264,منتجات!$A$3:$A$115,0)),"")</f>
        <v/>
      </c>
      <c r="G264" s="63" t="str">
        <f t="shared" si="6"/>
        <v/>
      </c>
      <c r="H264" s="69"/>
    </row>
    <row r="265" spans="1:8" x14ac:dyDescent="0.35">
      <c r="A265" s="64"/>
      <c r="B265" s="65"/>
      <c r="C265" s="65" t="str">
        <f>IFERROR(VLOOKUP(B265,منتجات!$A$3:$C$350,2,0),"")</f>
        <v/>
      </c>
      <c r="D265" s="65" t="str">
        <f>IFERROR(VLOOKUP(B265,منتجات!$A$3:$C$350,3,0),"")</f>
        <v/>
      </c>
      <c r="E265" s="65"/>
      <c r="F265" s="65" t="str">
        <f>IFERROR(INDEX(منتجات!$G$3:$G$350,MATCH(B265,منتجات!$A$3:$A$115,0)),"")</f>
        <v/>
      </c>
      <c r="G265" s="65" t="str">
        <f t="shared" si="6"/>
        <v/>
      </c>
      <c r="H265" s="70"/>
    </row>
    <row r="266" spans="1:8" x14ac:dyDescent="0.35">
      <c r="A266" s="62"/>
      <c r="B266" s="63"/>
      <c r="C266" s="63" t="str">
        <f>IFERROR(VLOOKUP(B266,منتجات!$A$3:$C$350,2,0),"")</f>
        <v/>
      </c>
      <c r="D266" s="63" t="str">
        <f>IFERROR(VLOOKUP(B266,منتجات!$A$3:$C$350,3,0),"")</f>
        <v/>
      </c>
      <c r="E266" s="63"/>
      <c r="F266" s="63" t="str">
        <f>IFERROR(INDEX(منتجات!$G$3:$G$350,MATCH(B266,منتجات!$A$3:$A$115,0)),"")</f>
        <v/>
      </c>
      <c r="G266" s="63" t="str">
        <f t="shared" si="6"/>
        <v/>
      </c>
      <c r="H266" s="69"/>
    </row>
    <row r="267" spans="1:8" x14ac:dyDescent="0.35">
      <c r="A267" s="64"/>
      <c r="B267" s="65"/>
      <c r="C267" s="65" t="str">
        <f>IFERROR(VLOOKUP(B267,منتجات!$A$3:$C$350,2,0),"")</f>
        <v/>
      </c>
      <c r="D267" s="65" t="str">
        <f>IFERROR(VLOOKUP(B267,منتجات!$A$3:$C$350,3,0),"")</f>
        <v/>
      </c>
      <c r="E267" s="65"/>
      <c r="F267" s="65" t="str">
        <f>IFERROR(INDEX(منتجات!$G$3:$G$350,MATCH(B267,منتجات!$A$3:$A$115,0)),"")</f>
        <v/>
      </c>
      <c r="G267" s="65" t="str">
        <f t="shared" si="6"/>
        <v/>
      </c>
      <c r="H267" s="70"/>
    </row>
    <row r="268" spans="1:8" x14ac:dyDescent="0.35">
      <c r="A268" s="62"/>
      <c r="B268" s="63"/>
      <c r="C268" s="63" t="str">
        <f>IFERROR(VLOOKUP(B268,منتجات!$A$3:$C$350,2,0),"")</f>
        <v/>
      </c>
      <c r="D268" s="63" t="str">
        <f>IFERROR(VLOOKUP(B268,منتجات!$A$3:$C$350,3,0),"")</f>
        <v/>
      </c>
      <c r="E268" s="63"/>
      <c r="F268" s="63" t="str">
        <f>IFERROR(INDEX(منتجات!$G$3:$G$350,MATCH(B268,منتجات!$A$3:$A$115,0)),"")</f>
        <v/>
      </c>
      <c r="G268" s="63" t="str">
        <f t="shared" si="6"/>
        <v/>
      </c>
      <c r="H268" s="69"/>
    </row>
    <row r="269" spans="1:8" x14ac:dyDescent="0.35">
      <c r="A269" s="64"/>
      <c r="B269" s="65"/>
      <c r="C269" s="65" t="str">
        <f>IFERROR(VLOOKUP(B269,منتجات!$A$3:$C$350,2,0),"")</f>
        <v/>
      </c>
      <c r="D269" s="65" t="str">
        <f>IFERROR(VLOOKUP(B269,منتجات!$A$3:$C$350,3,0),"")</f>
        <v/>
      </c>
      <c r="E269" s="65"/>
      <c r="F269" s="65" t="str">
        <f>IFERROR(INDEX(منتجات!$G$3:$G$350,MATCH(B269,منتجات!$A$3:$A$115,0)),"")</f>
        <v/>
      </c>
      <c r="G269" s="65" t="str">
        <f t="shared" si="6"/>
        <v/>
      </c>
      <c r="H269" s="70"/>
    </row>
    <row r="270" spans="1:8" x14ac:dyDescent="0.35">
      <c r="A270" s="62"/>
      <c r="B270" s="63"/>
      <c r="C270" s="63" t="str">
        <f>IFERROR(VLOOKUP(B270,منتجات!$A$3:$C$350,2,0),"")</f>
        <v/>
      </c>
      <c r="D270" s="63" t="str">
        <f>IFERROR(VLOOKUP(B270,منتجات!$A$3:$C$350,3,0),"")</f>
        <v/>
      </c>
      <c r="E270" s="63"/>
      <c r="F270" s="63" t="str">
        <f>IFERROR(INDEX(منتجات!$G$3:$G$350,MATCH(B270,منتجات!$A$3:$A$115,0)),"")</f>
        <v/>
      </c>
      <c r="G270" s="63" t="str">
        <f t="shared" si="6"/>
        <v/>
      </c>
      <c r="H270" s="69"/>
    </row>
    <row r="271" spans="1:8" x14ac:dyDescent="0.35">
      <c r="A271" s="64"/>
      <c r="B271" s="65"/>
      <c r="C271" s="65" t="str">
        <f>IFERROR(VLOOKUP(B271,منتجات!$A$3:$C$350,2,0),"")</f>
        <v/>
      </c>
      <c r="D271" s="65" t="str">
        <f>IFERROR(VLOOKUP(B271,منتجات!$A$3:$C$350,3,0),"")</f>
        <v/>
      </c>
      <c r="E271" s="65"/>
      <c r="F271" s="65" t="str">
        <f>IFERROR(INDEX(منتجات!$G$3:$G$350,MATCH(B271,منتجات!$A$3:$A$115,0)),"")</f>
        <v/>
      </c>
      <c r="G271" s="65" t="str">
        <f t="shared" si="6"/>
        <v/>
      </c>
      <c r="H271" s="70"/>
    </row>
    <row r="272" spans="1:8" x14ac:dyDescent="0.35">
      <c r="A272" s="62"/>
      <c r="B272" s="63"/>
      <c r="C272" s="63" t="str">
        <f>IFERROR(VLOOKUP(B272,منتجات!$A$3:$C$350,2,0),"")</f>
        <v/>
      </c>
      <c r="D272" s="63" t="str">
        <f>IFERROR(VLOOKUP(B272,منتجات!$A$3:$C$350,3,0),"")</f>
        <v/>
      </c>
      <c r="E272" s="63"/>
      <c r="F272" s="63" t="str">
        <f>IFERROR(INDEX(منتجات!$G$3:$G$350,MATCH(B272,منتجات!$A$3:$A$115,0)),"")</f>
        <v/>
      </c>
      <c r="G272" s="63" t="str">
        <f t="shared" si="6"/>
        <v/>
      </c>
      <c r="H272" s="69"/>
    </row>
    <row r="273" spans="1:8" x14ac:dyDescent="0.35">
      <c r="A273" s="64"/>
      <c r="B273" s="65"/>
      <c r="C273" s="65" t="str">
        <f>IFERROR(VLOOKUP(B273,منتجات!$A$3:$C$350,2,0),"")</f>
        <v/>
      </c>
      <c r="D273" s="65" t="str">
        <f>IFERROR(VLOOKUP(B273,منتجات!$A$3:$C$350,3,0),"")</f>
        <v/>
      </c>
      <c r="E273" s="65"/>
      <c r="F273" s="65" t="str">
        <f>IFERROR(INDEX(منتجات!$G$3:$G$350,MATCH(B273,منتجات!$A$3:$A$115,0)),"")</f>
        <v/>
      </c>
      <c r="G273" s="65" t="str">
        <f t="shared" si="6"/>
        <v/>
      </c>
      <c r="H273" s="70"/>
    </row>
    <row r="274" spans="1:8" x14ac:dyDescent="0.35">
      <c r="A274" s="62"/>
      <c r="B274" s="63"/>
      <c r="C274" s="63" t="str">
        <f>IFERROR(VLOOKUP(B274,منتجات!$A$3:$C$350,2,0),"")</f>
        <v/>
      </c>
      <c r="D274" s="63" t="str">
        <f>IFERROR(VLOOKUP(B274,منتجات!$A$3:$C$350,3,0),"")</f>
        <v/>
      </c>
      <c r="E274" s="63"/>
      <c r="F274" s="63" t="str">
        <f>IFERROR(INDEX(منتجات!$G$3:$G$350,MATCH(B274,منتجات!$A$3:$A$115,0)),"")</f>
        <v/>
      </c>
      <c r="G274" s="63" t="str">
        <f t="shared" si="6"/>
        <v/>
      </c>
      <c r="H274" s="69"/>
    </row>
    <row r="275" spans="1:8" x14ac:dyDescent="0.35">
      <c r="A275" s="64"/>
      <c r="B275" s="65"/>
      <c r="C275" s="65" t="str">
        <f>IFERROR(VLOOKUP(B275,منتجات!$A$3:$C$350,2,0),"")</f>
        <v/>
      </c>
      <c r="D275" s="65" t="str">
        <f>IFERROR(VLOOKUP(B275,منتجات!$A$3:$C$350,3,0),"")</f>
        <v/>
      </c>
      <c r="E275" s="65"/>
      <c r="F275" s="65" t="str">
        <f>IFERROR(INDEX(منتجات!$G$3:$G$350,MATCH(B275,منتجات!$A$3:$A$115,0)),"")</f>
        <v/>
      </c>
      <c r="G275" s="65" t="str">
        <f t="shared" si="6"/>
        <v/>
      </c>
      <c r="H275" s="70"/>
    </row>
    <row r="276" spans="1:8" x14ac:dyDescent="0.35">
      <c r="A276" s="62"/>
      <c r="B276" s="63"/>
      <c r="C276" s="63" t="str">
        <f>IFERROR(VLOOKUP(B276,منتجات!$A$3:$C$350,2,0),"")</f>
        <v/>
      </c>
      <c r="D276" s="63" t="str">
        <f>IFERROR(VLOOKUP(B276,منتجات!$A$3:$C$350,3,0),"")</f>
        <v/>
      </c>
      <c r="E276" s="63"/>
      <c r="F276" s="63" t="str">
        <f>IFERROR(INDEX(منتجات!$G$3:$G$350,MATCH(B276,منتجات!$A$3:$A$115,0)),"")</f>
        <v/>
      </c>
      <c r="G276" s="63" t="str">
        <f t="shared" si="6"/>
        <v/>
      </c>
      <c r="H276" s="69"/>
    </row>
    <row r="277" spans="1:8" x14ac:dyDescent="0.35">
      <c r="A277" s="64"/>
      <c r="B277" s="65"/>
      <c r="C277" s="65" t="str">
        <f>IFERROR(VLOOKUP(B277,منتجات!$A$3:$C$350,2,0),"")</f>
        <v/>
      </c>
      <c r="D277" s="65" t="str">
        <f>IFERROR(VLOOKUP(B277,منتجات!$A$3:$C$350,3,0),"")</f>
        <v/>
      </c>
      <c r="E277" s="65"/>
      <c r="F277" s="65" t="str">
        <f>IFERROR(INDEX(منتجات!$G$3:$G$350,MATCH(B277,منتجات!$A$3:$A$115,0)),"")</f>
        <v/>
      </c>
      <c r="G277" s="65" t="str">
        <f t="shared" si="6"/>
        <v/>
      </c>
      <c r="H277" s="70"/>
    </row>
    <row r="278" spans="1:8" x14ac:dyDescent="0.35">
      <c r="A278" s="62"/>
      <c r="B278" s="63"/>
      <c r="C278" s="63" t="str">
        <f>IFERROR(VLOOKUP(B278,منتجات!$A$3:$C$350,2,0),"")</f>
        <v/>
      </c>
      <c r="D278" s="63" t="str">
        <f>IFERROR(VLOOKUP(B278,منتجات!$A$3:$C$350,3,0),"")</f>
        <v/>
      </c>
      <c r="E278" s="63"/>
      <c r="F278" s="63" t="str">
        <f>IFERROR(INDEX(منتجات!$G$3:$G$350,MATCH(B278,منتجات!$A$3:$A$115,0)),"")</f>
        <v/>
      </c>
      <c r="G278" s="63" t="str">
        <f t="shared" si="6"/>
        <v/>
      </c>
      <c r="H278" s="69"/>
    </row>
    <row r="279" spans="1:8" x14ac:dyDescent="0.35">
      <c r="A279" s="64"/>
      <c r="B279" s="65"/>
      <c r="C279" s="65" t="str">
        <f>IFERROR(VLOOKUP(B279,منتجات!$A$3:$C$350,2,0),"")</f>
        <v/>
      </c>
      <c r="D279" s="65" t="str">
        <f>IFERROR(VLOOKUP(B279,منتجات!$A$3:$C$350,3,0),"")</f>
        <v/>
      </c>
      <c r="E279" s="65"/>
      <c r="F279" s="65" t="str">
        <f>IFERROR(INDEX(منتجات!$G$3:$G$350,MATCH(B279,منتجات!$A$3:$A$115,0)),"")</f>
        <v/>
      </c>
      <c r="G279" s="65" t="str">
        <f t="shared" si="6"/>
        <v/>
      </c>
      <c r="H279" s="70"/>
    </row>
    <row r="280" spans="1:8" x14ac:dyDescent="0.35">
      <c r="A280" s="62"/>
      <c r="B280" s="63"/>
      <c r="C280" s="63" t="str">
        <f>IFERROR(VLOOKUP(B280,منتجات!$A$3:$C$350,2,0),"")</f>
        <v/>
      </c>
      <c r="D280" s="63" t="str">
        <f>IFERROR(VLOOKUP(B280,منتجات!$A$3:$C$350,3,0),"")</f>
        <v/>
      </c>
      <c r="E280" s="63"/>
      <c r="F280" s="63" t="str">
        <f>IFERROR(INDEX(منتجات!$G$3:$G$350,MATCH(B280,منتجات!$A$3:$A$115,0)),"")</f>
        <v/>
      </c>
      <c r="G280" s="63" t="str">
        <f t="shared" si="6"/>
        <v/>
      </c>
      <c r="H280" s="69"/>
    </row>
    <row r="281" spans="1:8" x14ac:dyDescent="0.35">
      <c r="A281" s="64"/>
      <c r="B281" s="65"/>
      <c r="C281" s="65" t="str">
        <f>IFERROR(VLOOKUP(B281,منتجات!$A$3:$C$350,2,0),"")</f>
        <v/>
      </c>
      <c r="D281" s="65" t="str">
        <f>IFERROR(VLOOKUP(B281,منتجات!$A$3:$C$350,3,0),"")</f>
        <v/>
      </c>
      <c r="E281" s="65"/>
      <c r="F281" s="65" t="str">
        <f>IFERROR(INDEX(منتجات!$G$3:$G$350,MATCH(B281,منتجات!$A$3:$A$115,0)),"")</f>
        <v/>
      </c>
      <c r="G281" s="65" t="str">
        <f t="shared" si="6"/>
        <v/>
      </c>
      <c r="H281" s="70"/>
    </row>
    <row r="282" spans="1:8" x14ac:dyDescent="0.35">
      <c r="A282" s="62"/>
      <c r="B282" s="63"/>
      <c r="C282" s="63" t="str">
        <f>IFERROR(VLOOKUP(B282,منتجات!$A$3:$C$350,2,0),"")</f>
        <v/>
      </c>
      <c r="D282" s="63" t="str">
        <f>IFERROR(VLOOKUP(B282,منتجات!$A$3:$C$350,3,0),"")</f>
        <v/>
      </c>
      <c r="E282" s="63"/>
      <c r="F282" s="63" t="str">
        <f>IFERROR(INDEX(منتجات!$G$3:$G$350,MATCH(B282,منتجات!$A$3:$A$115,0)),"")</f>
        <v/>
      </c>
      <c r="G282" s="63" t="str">
        <f t="shared" si="6"/>
        <v/>
      </c>
      <c r="H282" s="69"/>
    </row>
    <row r="283" spans="1:8" x14ac:dyDescent="0.35">
      <c r="A283" s="64"/>
      <c r="B283" s="65"/>
      <c r="C283" s="65" t="str">
        <f>IFERROR(VLOOKUP(B283,منتجات!$A$3:$C$350,2,0),"")</f>
        <v/>
      </c>
      <c r="D283" s="65" t="str">
        <f>IFERROR(VLOOKUP(B283,منتجات!$A$3:$C$350,3,0),"")</f>
        <v/>
      </c>
      <c r="E283" s="65"/>
      <c r="F283" s="65" t="str">
        <f>IFERROR(INDEX(منتجات!$G$3:$G$350,MATCH(B283,منتجات!$A$3:$A$115,0)),"")</f>
        <v/>
      </c>
      <c r="G283" s="65" t="str">
        <f t="shared" si="6"/>
        <v/>
      </c>
      <c r="H283" s="70"/>
    </row>
    <row r="284" spans="1:8" x14ac:dyDescent="0.35">
      <c r="A284" s="62"/>
      <c r="B284" s="63"/>
      <c r="C284" s="63" t="str">
        <f>IFERROR(VLOOKUP(B284,منتجات!$A$3:$C$350,2,0),"")</f>
        <v/>
      </c>
      <c r="D284" s="63" t="str">
        <f>IFERROR(VLOOKUP(B284,منتجات!$A$3:$C$350,3,0),"")</f>
        <v/>
      </c>
      <c r="E284" s="63"/>
      <c r="F284" s="63" t="str">
        <f>IFERROR(INDEX(منتجات!$G$3:$G$350,MATCH(B284,منتجات!$A$3:$A$115,0)),"")</f>
        <v/>
      </c>
      <c r="G284" s="63" t="str">
        <f t="shared" si="6"/>
        <v/>
      </c>
      <c r="H284" s="69"/>
    </row>
    <row r="285" spans="1:8" x14ac:dyDescent="0.35">
      <c r="A285" s="64"/>
      <c r="B285" s="65"/>
      <c r="C285" s="65" t="str">
        <f>IFERROR(VLOOKUP(B285,منتجات!$A$3:$C$350,2,0),"")</f>
        <v/>
      </c>
      <c r="D285" s="65" t="str">
        <f>IFERROR(VLOOKUP(B285,منتجات!$A$3:$C$350,3,0),"")</f>
        <v/>
      </c>
      <c r="E285" s="65"/>
      <c r="F285" s="65" t="str">
        <f>IFERROR(INDEX(منتجات!$G$3:$G$350,MATCH(B285,منتجات!$A$3:$A$115,0)),"")</f>
        <v/>
      </c>
      <c r="G285" s="65" t="str">
        <f t="shared" si="6"/>
        <v/>
      </c>
      <c r="H285" s="70"/>
    </row>
    <row r="286" spans="1:8" x14ac:dyDescent="0.35">
      <c r="A286" s="62"/>
      <c r="B286" s="63"/>
      <c r="C286" s="63" t="str">
        <f>IFERROR(VLOOKUP(B286,منتجات!$A$3:$C$350,2,0),"")</f>
        <v/>
      </c>
      <c r="D286" s="63" t="str">
        <f>IFERROR(VLOOKUP(B286,منتجات!$A$3:$C$350,3,0),"")</f>
        <v/>
      </c>
      <c r="E286" s="63"/>
      <c r="F286" s="63" t="str">
        <f>IFERROR(INDEX(منتجات!$G$3:$G$350,MATCH(B286,منتجات!$A$3:$A$115,0)),"")</f>
        <v/>
      </c>
      <c r="G286" s="63" t="str">
        <f t="shared" si="6"/>
        <v/>
      </c>
      <c r="H286" s="69"/>
    </row>
    <row r="287" spans="1:8" x14ac:dyDescent="0.35">
      <c r="A287" s="64"/>
      <c r="B287" s="65"/>
      <c r="C287" s="65" t="str">
        <f>IFERROR(VLOOKUP(B287,منتجات!$A$3:$C$350,2,0),"")</f>
        <v/>
      </c>
      <c r="D287" s="65" t="str">
        <f>IFERROR(VLOOKUP(B287,منتجات!$A$3:$C$350,3,0),"")</f>
        <v/>
      </c>
      <c r="E287" s="65"/>
      <c r="F287" s="65" t="str">
        <f>IFERROR(INDEX(منتجات!$G$3:$G$350,MATCH(B287,منتجات!$A$3:$A$115,0)),"")</f>
        <v/>
      </c>
      <c r="G287" s="65" t="str">
        <f t="shared" si="6"/>
        <v/>
      </c>
      <c r="H287" s="70"/>
    </row>
    <row r="288" spans="1:8" x14ac:dyDescent="0.35">
      <c r="A288" s="62"/>
      <c r="B288" s="63"/>
      <c r="C288" s="63" t="str">
        <f>IFERROR(VLOOKUP(B288,منتجات!$A$3:$C$350,2,0),"")</f>
        <v/>
      </c>
      <c r="D288" s="63" t="str">
        <f>IFERROR(VLOOKUP(B288,منتجات!$A$3:$C$350,3,0),"")</f>
        <v/>
      </c>
      <c r="E288" s="63"/>
      <c r="F288" s="63" t="str">
        <f>IFERROR(INDEX(منتجات!$G$3:$G$350,MATCH(B288,منتجات!$A$3:$A$115,0)),"")</f>
        <v/>
      </c>
      <c r="G288" s="63" t="str">
        <f t="shared" si="6"/>
        <v/>
      </c>
      <c r="H288" s="69"/>
    </row>
    <row r="289" spans="1:8" x14ac:dyDescent="0.35">
      <c r="A289" s="64"/>
      <c r="B289" s="65"/>
      <c r="C289" s="65" t="str">
        <f>IFERROR(VLOOKUP(B289,منتجات!$A$3:$C$350,2,0),"")</f>
        <v/>
      </c>
      <c r="D289" s="65" t="str">
        <f>IFERROR(VLOOKUP(B289,منتجات!$A$3:$C$350,3,0),"")</f>
        <v/>
      </c>
      <c r="E289" s="65"/>
      <c r="F289" s="65" t="str">
        <f>IFERROR(INDEX(منتجات!$G$3:$G$350,MATCH(B289,منتجات!$A$3:$A$115,0)),"")</f>
        <v/>
      </c>
      <c r="G289" s="65" t="str">
        <f t="shared" si="6"/>
        <v/>
      </c>
      <c r="H289" s="70"/>
    </row>
    <row r="290" spans="1:8" x14ac:dyDescent="0.35">
      <c r="A290" s="62"/>
      <c r="B290" s="63"/>
      <c r="C290" s="63" t="str">
        <f>IFERROR(VLOOKUP(B290,منتجات!$A$3:$C$350,2,0),"")</f>
        <v/>
      </c>
      <c r="D290" s="63" t="str">
        <f>IFERROR(VLOOKUP(B290,منتجات!$A$3:$C$350,3,0),"")</f>
        <v/>
      </c>
      <c r="E290" s="63"/>
      <c r="F290" s="63" t="str">
        <f>IFERROR(INDEX(منتجات!$G$3:$G$350,MATCH(B290,منتجات!$A$3:$A$115,0)),"")</f>
        <v/>
      </c>
      <c r="G290" s="63" t="str">
        <f t="shared" si="6"/>
        <v/>
      </c>
      <c r="H290" s="69"/>
    </row>
    <row r="291" spans="1:8" x14ac:dyDescent="0.35">
      <c r="A291" s="64"/>
      <c r="B291" s="65"/>
      <c r="C291" s="65" t="str">
        <f>IFERROR(VLOOKUP(B291,منتجات!$A$3:$C$350,2,0),"")</f>
        <v/>
      </c>
      <c r="D291" s="65" t="str">
        <f>IFERROR(VLOOKUP(B291,منتجات!$A$3:$C$350,3,0),"")</f>
        <v/>
      </c>
      <c r="E291" s="65"/>
      <c r="F291" s="65" t="str">
        <f>IFERROR(INDEX(منتجات!$G$3:$G$350,MATCH(B291,منتجات!$A$3:$A$115,0)),"")</f>
        <v/>
      </c>
      <c r="G291" s="65" t="str">
        <f t="shared" si="6"/>
        <v/>
      </c>
      <c r="H291" s="70"/>
    </row>
    <row r="292" spans="1:8" x14ac:dyDescent="0.35">
      <c r="A292" s="62"/>
      <c r="B292" s="63"/>
      <c r="C292" s="63" t="str">
        <f>IFERROR(VLOOKUP(B292,منتجات!$A$3:$C$350,2,0),"")</f>
        <v/>
      </c>
      <c r="D292" s="63" t="str">
        <f>IFERROR(VLOOKUP(B292,منتجات!$A$3:$C$350,3,0),"")</f>
        <v/>
      </c>
      <c r="E292" s="63"/>
      <c r="F292" s="63" t="str">
        <f>IFERROR(INDEX(منتجات!$G$3:$G$350,MATCH(B292,منتجات!$A$3:$A$115,0)),"")</f>
        <v/>
      </c>
      <c r="G292" s="63" t="str">
        <f t="shared" si="6"/>
        <v/>
      </c>
      <c r="H292" s="69"/>
    </row>
    <row r="293" spans="1:8" x14ac:dyDescent="0.35">
      <c r="A293" s="64"/>
      <c r="B293" s="65"/>
      <c r="C293" s="65" t="str">
        <f>IFERROR(VLOOKUP(B293,منتجات!$A$3:$C$350,2,0),"")</f>
        <v/>
      </c>
      <c r="D293" s="65" t="str">
        <f>IFERROR(VLOOKUP(B293,منتجات!$A$3:$C$350,3,0),"")</f>
        <v/>
      </c>
      <c r="E293" s="65"/>
      <c r="F293" s="65" t="str">
        <f>IFERROR(INDEX(منتجات!$G$3:$G$350,MATCH(B293,منتجات!$A$3:$A$115,0)),"")</f>
        <v/>
      </c>
      <c r="G293" s="65" t="str">
        <f t="shared" si="6"/>
        <v/>
      </c>
      <c r="H293" s="70"/>
    </row>
    <row r="294" spans="1:8" x14ac:dyDescent="0.35">
      <c r="A294" s="62"/>
      <c r="B294" s="63"/>
      <c r="C294" s="63" t="str">
        <f>IFERROR(VLOOKUP(B294,منتجات!$A$3:$C$350,2,0),"")</f>
        <v/>
      </c>
      <c r="D294" s="63" t="str">
        <f>IFERROR(VLOOKUP(B294,منتجات!$A$3:$C$350,3,0),"")</f>
        <v/>
      </c>
      <c r="E294" s="63"/>
      <c r="F294" s="63" t="str">
        <f>IFERROR(INDEX(منتجات!$G$3:$G$350,MATCH(B294,منتجات!$A$3:$A$115,0)),"")</f>
        <v/>
      </c>
      <c r="G294" s="63" t="str">
        <f t="shared" si="6"/>
        <v/>
      </c>
      <c r="H294" s="69"/>
    </row>
    <row r="295" spans="1:8" x14ac:dyDescent="0.35">
      <c r="A295" s="64"/>
      <c r="B295" s="65"/>
      <c r="C295" s="65" t="str">
        <f>IFERROR(VLOOKUP(B295,منتجات!$A$3:$C$350,2,0),"")</f>
        <v/>
      </c>
      <c r="D295" s="65" t="str">
        <f>IFERROR(VLOOKUP(B295,منتجات!$A$3:$C$350,3,0),"")</f>
        <v/>
      </c>
      <c r="E295" s="65"/>
      <c r="F295" s="65" t="str">
        <f>IFERROR(INDEX(منتجات!$G$3:$G$350,MATCH(B295,منتجات!$A$3:$A$115,0)),"")</f>
        <v/>
      </c>
      <c r="G295" s="65" t="str">
        <f t="shared" si="6"/>
        <v/>
      </c>
      <c r="H295" s="70"/>
    </row>
    <row r="296" spans="1:8" x14ac:dyDescent="0.35">
      <c r="A296" s="62"/>
      <c r="B296" s="63"/>
      <c r="C296" s="63" t="str">
        <f>IFERROR(VLOOKUP(B296,منتجات!$A$3:$C$350,2,0),"")</f>
        <v/>
      </c>
      <c r="D296" s="63" t="str">
        <f>IFERROR(VLOOKUP(B296,منتجات!$A$3:$C$350,3,0),"")</f>
        <v/>
      </c>
      <c r="E296" s="63"/>
      <c r="F296" s="63" t="str">
        <f>IFERROR(INDEX(منتجات!$G$3:$G$350,MATCH(B296,منتجات!$A$3:$A$115,0)),"")</f>
        <v/>
      </c>
      <c r="G296" s="63" t="str">
        <f t="shared" si="6"/>
        <v/>
      </c>
      <c r="H296" s="69"/>
    </row>
    <row r="297" spans="1:8" x14ac:dyDescent="0.35">
      <c r="A297" s="64"/>
      <c r="B297" s="65"/>
      <c r="C297" s="65" t="str">
        <f>IFERROR(VLOOKUP(B297,منتجات!$A$3:$C$350,2,0),"")</f>
        <v/>
      </c>
      <c r="D297" s="65" t="str">
        <f>IFERROR(VLOOKUP(B297,منتجات!$A$3:$C$350,3,0),"")</f>
        <v/>
      </c>
      <c r="E297" s="65"/>
      <c r="F297" s="65" t="str">
        <f>IFERROR(INDEX(منتجات!$G$3:$G$350,MATCH(B297,منتجات!$A$3:$A$115,0)),"")</f>
        <v/>
      </c>
      <c r="G297" s="65" t="str">
        <f t="shared" si="6"/>
        <v/>
      </c>
      <c r="H297" s="70"/>
    </row>
    <row r="298" spans="1:8" x14ac:dyDescent="0.35">
      <c r="A298" s="62"/>
      <c r="B298" s="63"/>
      <c r="C298" s="63" t="str">
        <f>IFERROR(VLOOKUP(B298,منتجات!$A$3:$C$350,2,0),"")</f>
        <v/>
      </c>
      <c r="D298" s="63" t="str">
        <f>IFERROR(VLOOKUP(B298,منتجات!$A$3:$C$350,3,0),"")</f>
        <v/>
      </c>
      <c r="E298" s="63"/>
      <c r="F298" s="63" t="str">
        <f>IFERROR(INDEX(منتجات!$G$3:$G$350,MATCH(B298,منتجات!$A$3:$A$115,0)),"")</f>
        <v/>
      </c>
      <c r="G298" s="63" t="str">
        <f t="shared" si="6"/>
        <v/>
      </c>
      <c r="H298" s="69"/>
    </row>
    <row r="299" spans="1:8" x14ac:dyDescent="0.35">
      <c r="A299" s="64"/>
      <c r="B299" s="65"/>
      <c r="C299" s="65" t="str">
        <f>IFERROR(VLOOKUP(B299,منتجات!$A$3:$C$350,2,0),"")</f>
        <v/>
      </c>
      <c r="D299" s="65" t="str">
        <f>IFERROR(VLOOKUP(B299,منتجات!$A$3:$C$350,3,0),"")</f>
        <v/>
      </c>
      <c r="E299" s="65"/>
      <c r="F299" s="65" t="str">
        <f>IFERROR(INDEX(منتجات!$G$3:$G$350,MATCH(B299,منتجات!$A$3:$A$115,0)),"")</f>
        <v/>
      </c>
      <c r="G299" s="65" t="str">
        <f t="shared" si="6"/>
        <v/>
      </c>
      <c r="H299" s="70"/>
    </row>
    <row r="300" spans="1:8" x14ac:dyDescent="0.35">
      <c r="A300" s="62"/>
      <c r="B300" s="63"/>
      <c r="C300" s="63" t="str">
        <f>IFERROR(VLOOKUP(B300,منتجات!$A$3:$C$350,2,0),"")</f>
        <v/>
      </c>
      <c r="D300" s="63" t="str">
        <f>IFERROR(VLOOKUP(B300,منتجات!$A$3:$C$350,3,0),"")</f>
        <v/>
      </c>
      <c r="E300" s="63"/>
      <c r="F300" s="63" t="str">
        <f>IFERROR(INDEX(منتجات!$G$3:$G$350,MATCH(B300,منتجات!$A$3:$A$115,0)),"")</f>
        <v/>
      </c>
      <c r="G300" s="63" t="str">
        <f t="shared" si="6"/>
        <v/>
      </c>
      <c r="H300" s="69"/>
    </row>
    <row r="301" spans="1:8" x14ac:dyDescent="0.35">
      <c r="A301" s="64"/>
      <c r="B301" s="65"/>
      <c r="C301" s="65" t="str">
        <f>IFERROR(VLOOKUP(B301,منتجات!$A$3:$C$350,2,0),"")</f>
        <v/>
      </c>
      <c r="D301" s="65" t="str">
        <f>IFERROR(VLOOKUP(B301,منتجات!$A$3:$C$350,3,0),"")</f>
        <v/>
      </c>
      <c r="E301" s="65"/>
      <c r="F301" s="65" t="str">
        <f>IFERROR(INDEX(منتجات!$G$3:$G$350,MATCH(B301,منتجات!$A$3:$A$115,0)),"")</f>
        <v/>
      </c>
      <c r="G301" s="65" t="str">
        <f t="shared" si="6"/>
        <v/>
      </c>
      <c r="H301" s="70"/>
    </row>
    <row r="302" spans="1:8" x14ac:dyDescent="0.35">
      <c r="A302" s="62"/>
      <c r="B302" s="63"/>
      <c r="C302" s="63" t="str">
        <f>IFERROR(VLOOKUP(B302,منتجات!$A$3:$C$350,2,0),"")</f>
        <v/>
      </c>
      <c r="D302" s="63" t="str">
        <f>IFERROR(VLOOKUP(B302,منتجات!$A$3:$C$350,3,0),"")</f>
        <v/>
      </c>
      <c r="E302" s="63"/>
      <c r="F302" s="63" t="str">
        <f>IFERROR(INDEX(منتجات!$G$3:$G$350,MATCH(B302,منتجات!$A$3:$A$115,0)),"")</f>
        <v/>
      </c>
      <c r="G302" s="63" t="str">
        <f t="shared" si="6"/>
        <v/>
      </c>
      <c r="H302" s="69"/>
    </row>
    <row r="303" spans="1:8" x14ac:dyDescent="0.35">
      <c r="A303" s="64"/>
      <c r="B303" s="65"/>
      <c r="C303" s="65" t="str">
        <f>IFERROR(VLOOKUP(B303,منتجات!$A$3:$C$350,2,0),"")</f>
        <v/>
      </c>
      <c r="D303" s="65" t="str">
        <f>IFERROR(VLOOKUP(B303,منتجات!$A$3:$C$350,3,0),"")</f>
        <v/>
      </c>
      <c r="E303" s="65"/>
      <c r="F303" s="65" t="str">
        <f>IFERROR(INDEX(منتجات!$G$3:$G$350,MATCH(B303,منتجات!$A$3:$A$115,0)),"")</f>
        <v/>
      </c>
      <c r="G303" s="65" t="str">
        <f t="shared" si="6"/>
        <v/>
      </c>
      <c r="H303" s="70"/>
    </row>
    <row r="304" spans="1:8" x14ac:dyDescent="0.35">
      <c r="A304" s="62"/>
      <c r="B304" s="63"/>
      <c r="C304" s="63" t="str">
        <f>IFERROR(VLOOKUP(B304,منتجات!$A$3:$C$350,2,0),"")</f>
        <v/>
      </c>
      <c r="D304" s="63" t="str">
        <f>IFERROR(VLOOKUP(B304,منتجات!$A$3:$C$350,3,0),"")</f>
        <v/>
      </c>
      <c r="E304" s="63"/>
      <c r="F304" s="63" t="str">
        <f>IFERROR(INDEX(منتجات!$G$3:$G$350,MATCH(B304,منتجات!$A$3:$A$115,0)),"")</f>
        <v/>
      </c>
      <c r="G304" s="63" t="str">
        <f t="shared" si="6"/>
        <v/>
      </c>
      <c r="H304" s="69"/>
    </row>
    <row r="305" spans="1:8" x14ac:dyDescent="0.35">
      <c r="A305" s="64"/>
      <c r="B305" s="65"/>
      <c r="C305" s="65" t="str">
        <f>IFERROR(VLOOKUP(B305,منتجات!$A$3:$C$350,2,0),"")</f>
        <v/>
      </c>
      <c r="D305" s="65" t="str">
        <f>IFERROR(VLOOKUP(B305,منتجات!$A$3:$C$350,3,0),"")</f>
        <v/>
      </c>
      <c r="E305" s="65"/>
      <c r="F305" s="65" t="str">
        <f>IFERROR(INDEX(منتجات!$G$3:$G$350,MATCH(B305,منتجات!$A$3:$A$115,0)),"")</f>
        <v/>
      </c>
      <c r="G305" s="65" t="str">
        <f t="shared" si="6"/>
        <v/>
      </c>
      <c r="H305" s="70"/>
    </row>
    <row r="306" spans="1:8" x14ac:dyDescent="0.35">
      <c r="A306" s="62"/>
      <c r="B306" s="63"/>
      <c r="C306" s="63" t="str">
        <f>IFERROR(VLOOKUP(B306,منتجات!$A$3:$C$350,2,0),"")</f>
        <v/>
      </c>
      <c r="D306" s="63" t="str">
        <f>IFERROR(VLOOKUP(B306,منتجات!$A$3:$C$350,3,0),"")</f>
        <v/>
      </c>
      <c r="E306" s="63"/>
      <c r="F306" s="63" t="str">
        <f>IFERROR(INDEX(منتجات!$G$3:$G$350,MATCH(B306,منتجات!$A$3:$A$115,0)),"")</f>
        <v/>
      </c>
      <c r="G306" s="63" t="str">
        <f t="shared" si="6"/>
        <v/>
      </c>
      <c r="H306" s="69"/>
    </row>
    <row r="307" spans="1:8" x14ac:dyDescent="0.35">
      <c r="A307" s="64"/>
      <c r="B307" s="65"/>
      <c r="C307" s="65" t="str">
        <f>IFERROR(VLOOKUP(B307,منتجات!$A$3:$C$350,2,0),"")</f>
        <v/>
      </c>
      <c r="D307" s="65" t="str">
        <f>IFERROR(VLOOKUP(B307,منتجات!$A$3:$C$350,3,0),"")</f>
        <v/>
      </c>
      <c r="E307" s="65"/>
      <c r="F307" s="65" t="str">
        <f>IFERROR(INDEX(منتجات!$G$3:$G$350,MATCH(B307,منتجات!$A$3:$A$115,0)),"")</f>
        <v/>
      </c>
      <c r="G307" s="65" t="str">
        <f t="shared" si="6"/>
        <v/>
      </c>
      <c r="H307" s="70"/>
    </row>
    <row r="308" spans="1:8" x14ac:dyDescent="0.35">
      <c r="A308" s="62"/>
      <c r="B308" s="63"/>
      <c r="C308" s="63" t="str">
        <f>IFERROR(VLOOKUP(B308,منتجات!$A$3:$C$350,2,0),"")</f>
        <v/>
      </c>
      <c r="D308" s="63" t="str">
        <f>IFERROR(VLOOKUP(B308,منتجات!$A$3:$C$350,3,0),"")</f>
        <v/>
      </c>
      <c r="E308" s="63"/>
      <c r="F308" s="63" t="str">
        <f>IFERROR(INDEX(منتجات!$G$3:$G$350,MATCH(B308,منتجات!$A$3:$A$115,0)),"")</f>
        <v/>
      </c>
      <c r="G308" s="63" t="str">
        <f t="shared" si="6"/>
        <v/>
      </c>
      <c r="H308" s="69"/>
    </row>
    <row r="309" spans="1:8" x14ac:dyDescent="0.35">
      <c r="A309" s="64"/>
      <c r="B309" s="65"/>
      <c r="C309" s="65" t="str">
        <f>IFERROR(VLOOKUP(B309,منتجات!$A$3:$C$350,2,0),"")</f>
        <v/>
      </c>
      <c r="D309" s="65" t="str">
        <f>IFERROR(VLOOKUP(B309,منتجات!$A$3:$C$350,3,0),"")</f>
        <v/>
      </c>
      <c r="E309" s="65"/>
      <c r="F309" s="65" t="str">
        <f>IFERROR(INDEX(منتجات!$G$3:$G$350,MATCH(B309,منتجات!$A$3:$A$115,0)),"")</f>
        <v/>
      </c>
      <c r="G309" s="65" t="str">
        <f t="shared" si="6"/>
        <v/>
      </c>
      <c r="H309" s="70"/>
    </row>
    <row r="310" spans="1:8" x14ac:dyDescent="0.35">
      <c r="A310" s="62"/>
      <c r="B310" s="63"/>
      <c r="C310" s="63" t="str">
        <f>IFERROR(VLOOKUP(B310,منتجات!$A$3:$C$350,2,0),"")</f>
        <v/>
      </c>
      <c r="D310" s="63" t="str">
        <f>IFERROR(VLOOKUP(B310,منتجات!$A$3:$C$350,3,0),"")</f>
        <v/>
      </c>
      <c r="E310" s="63"/>
      <c r="F310" s="63" t="str">
        <f>IFERROR(INDEX(منتجات!$G$3:$G$350,MATCH(B310,منتجات!$A$3:$A$115,0)),"")</f>
        <v/>
      </c>
      <c r="G310" s="63" t="str">
        <f t="shared" si="6"/>
        <v/>
      </c>
      <c r="H310" s="69"/>
    </row>
    <row r="311" spans="1:8" x14ac:dyDescent="0.35">
      <c r="A311" s="64"/>
      <c r="B311" s="65"/>
      <c r="C311" s="65" t="str">
        <f>IFERROR(VLOOKUP(B311,منتجات!$A$3:$C$350,2,0),"")</f>
        <v/>
      </c>
      <c r="D311" s="65" t="str">
        <f>IFERROR(VLOOKUP(B311,منتجات!$A$3:$C$350,3,0),"")</f>
        <v/>
      </c>
      <c r="E311" s="65"/>
      <c r="F311" s="65" t="str">
        <f>IFERROR(INDEX(منتجات!$G$3:$G$350,MATCH(B311,منتجات!$A$3:$A$115,0)),"")</f>
        <v/>
      </c>
      <c r="G311" s="65" t="str">
        <f t="shared" si="6"/>
        <v/>
      </c>
      <c r="H311" s="70"/>
    </row>
    <row r="312" spans="1:8" x14ac:dyDescent="0.35">
      <c r="A312" s="62"/>
      <c r="B312" s="63"/>
      <c r="C312" s="63" t="str">
        <f>IFERROR(VLOOKUP(B312,منتجات!$A$3:$C$350,2,0),"")</f>
        <v/>
      </c>
      <c r="D312" s="63" t="str">
        <f>IFERROR(VLOOKUP(B312,منتجات!$A$3:$C$350,3,0),"")</f>
        <v/>
      </c>
      <c r="E312" s="63"/>
      <c r="F312" s="63" t="str">
        <f>IFERROR(INDEX(منتجات!$G$3:$G$350,MATCH(B312,منتجات!$A$3:$A$115,0)),"")</f>
        <v/>
      </c>
      <c r="G312" s="63" t="str">
        <f t="shared" si="6"/>
        <v/>
      </c>
      <c r="H312" s="69"/>
    </row>
    <row r="313" spans="1:8" x14ac:dyDescent="0.35">
      <c r="A313" s="64"/>
      <c r="B313" s="65"/>
      <c r="C313" s="65" t="str">
        <f>IFERROR(VLOOKUP(B313,منتجات!$A$3:$C$350,2,0),"")</f>
        <v/>
      </c>
      <c r="D313" s="65" t="str">
        <f>IFERROR(VLOOKUP(B313,منتجات!$A$3:$C$350,3,0),"")</f>
        <v/>
      </c>
      <c r="E313" s="65"/>
      <c r="F313" s="65" t="str">
        <f>IFERROR(INDEX(منتجات!$G$3:$G$350,MATCH(B313,منتجات!$A$3:$A$115,0)),"")</f>
        <v/>
      </c>
      <c r="G313" s="65" t="str">
        <f t="shared" si="6"/>
        <v/>
      </c>
      <c r="H313" s="70"/>
    </row>
    <row r="314" spans="1:8" x14ac:dyDescent="0.35">
      <c r="A314" s="62"/>
      <c r="B314" s="63"/>
      <c r="C314" s="63" t="str">
        <f>IFERROR(VLOOKUP(B314,منتجات!$A$3:$C$350,2,0),"")</f>
        <v/>
      </c>
      <c r="D314" s="63" t="str">
        <f>IFERROR(VLOOKUP(B314,منتجات!$A$3:$C$350,3,0),"")</f>
        <v/>
      </c>
      <c r="E314" s="63"/>
      <c r="F314" s="63" t="str">
        <f>IFERROR(INDEX(منتجات!$G$3:$G$350,MATCH(B314,منتجات!$A$3:$A$115,0)),"")</f>
        <v/>
      </c>
      <c r="G314" s="63" t="str">
        <f t="shared" si="6"/>
        <v/>
      </c>
      <c r="H314" s="69"/>
    </row>
    <row r="315" spans="1:8" x14ac:dyDescent="0.35">
      <c r="A315" s="64"/>
      <c r="B315" s="65"/>
      <c r="C315" s="65" t="str">
        <f>IFERROR(VLOOKUP(B315,منتجات!$A$3:$C$350,2,0),"")</f>
        <v/>
      </c>
      <c r="D315" s="65" t="str">
        <f>IFERROR(VLOOKUP(B315,منتجات!$A$3:$C$350,3,0),"")</f>
        <v/>
      </c>
      <c r="E315" s="65"/>
      <c r="F315" s="65" t="str">
        <f>IFERROR(INDEX(منتجات!$G$3:$G$350,MATCH(B315,منتجات!$A$3:$A$115,0)),"")</f>
        <v/>
      </c>
      <c r="G315" s="65" t="str">
        <f t="shared" si="6"/>
        <v/>
      </c>
      <c r="H315" s="70"/>
    </row>
    <row r="316" spans="1:8" x14ac:dyDescent="0.35">
      <c r="A316" s="62"/>
      <c r="B316" s="63"/>
      <c r="C316" s="63" t="str">
        <f>IFERROR(VLOOKUP(B316,منتجات!$A$3:$C$350,2,0),"")</f>
        <v/>
      </c>
      <c r="D316" s="63" t="str">
        <f>IFERROR(VLOOKUP(B316,منتجات!$A$3:$C$350,3,0),"")</f>
        <v/>
      </c>
      <c r="E316" s="63"/>
      <c r="F316" s="63" t="str">
        <f>IFERROR(INDEX(منتجات!$G$3:$G$350,MATCH(B316,منتجات!$A$3:$A$115,0)),"")</f>
        <v/>
      </c>
      <c r="G316" s="63" t="str">
        <f t="shared" si="6"/>
        <v/>
      </c>
      <c r="H316" s="69"/>
    </row>
    <row r="317" spans="1:8" x14ac:dyDescent="0.35">
      <c r="A317" s="64"/>
      <c r="B317" s="65"/>
      <c r="C317" s="65" t="str">
        <f>IFERROR(VLOOKUP(B317,منتجات!$A$3:$C$350,2,0),"")</f>
        <v/>
      </c>
      <c r="D317" s="65" t="str">
        <f>IFERROR(VLOOKUP(B317,منتجات!$A$3:$C$350,3,0),"")</f>
        <v/>
      </c>
      <c r="E317" s="65"/>
      <c r="F317" s="65" t="str">
        <f>IFERROR(INDEX(منتجات!$G$3:$G$350,MATCH(B317,منتجات!$A$3:$A$115,0)),"")</f>
        <v/>
      </c>
      <c r="G317" s="65" t="str">
        <f t="shared" si="6"/>
        <v/>
      </c>
      <c r="H317" s="70"/>
    </row>
    <row r="318" spans="1:8" x14ac:dyDescent="0.35">
      <c r="A318" s="62"/>
      <c r="B318" s="63"/>
      <c r="C318" s="63" t="str">
        <f>IFERROR(VLOOKUP(B318,منتجات!$A$3:$C$350,2,0),"")</f>
        <v/>
      </c>
      <c r="D318" s="63" t="str">
        <f>IFERROR(VLOOKUP(B318,منتجات!$A$3:$C$350,3,0),"")</f>
        <v/>
      </c>
      <c r="E318" s="63"/>
      <c r="F318" s="63" t="str">
        <f>IFERROR(INDEX(منتجات!$G$3:$G$350,MATCH(B318,منتجات!$A$3:$A$115,0)),"")</f>
        <v/>
      </c>
      <c r="G318" s="63" t="str">
        <f t="shared" si="6"/>
        <v/>
      </c>
      <c r="H318" s="69"/>
    </row>
    <row r="319" spans="1:8" x14ac:dyDescent="0.35">
      <c r="A319" s="64"/>
      <c r="B319" s="65"/>
      <c r="C319" s="65" t="str">
        <f>IFERROR(VLOOKUP(B319,منتجات!$A$3:$C$350,2,0),"")</f>
        <v/>
      </c>
      <c r="D319" s="65" t="str">
        <f>IFERROR(VLOOKUP(B319,منتجات!$A$3:$C$350,3,0),"")</f>
        <v/>
      </c>
      <c r="E319" s="65"/>
      <c r="F319" s="65" t="str">
        <f>IFERROR(INDEX(منتجات!$G$3:$G$350,MATCH(B319,منتجات!$A$3:$A$115,0)),"")</f>
        <v/>
      </c>
      <c r="G319" s="65" t="str">
        <f t="shared" si="6"/>
        <v/>
      </c>
      <c r="H319" s="70"/>
    </row>
    <row r="320" spans="1:8" x14ac:dyDescent="0.35">
      <c r="A320" s="62"/>
      <c r="B320" s="63"/>
      <c r="C320" s="63" t="str">
        <f>IFERROR(VLOOKUP(B320,منتجات!$A$3:$C$350,2,0),"")</f>
        <v/>
      </c>
      <c r="D320" s="63" t="str">
        <f>IFERROR(VLOOKUP(B320,منتجات!$A$3:$C$350,3,0),"")</f>
        <v/>
      </c>
      <c r="E320" s="63"/>
      <c r="F320" s="63" t="str">
        <f>IFERROR(INDEX(منتجات!$G$3:$G$350,MATCH(B320,منتجات!$A$3:$A$115,0)),"")</f>
        <v/>
      </c>
      <c r="G320" s="63" t="str">
        <f t="shared" si="6"/>
        <v/>
      </c>
      <c r="H320" s="69"/>
    </row>
    <row r="321" spans="1:8" x14ac:dyDescent="0.35">
      <c r="A321" s="64"/>
      <c r="B321" s="65"/>
      <c r="C321" s="65" t="str">
        <f>IFERROR(VLOOKUP(B321,منتجات!$A$3:$C$350,2,0),"")</f>
        <v/>
      </c>
      <c r="D321" s="65" t="str">
        <f>IFERROR(VLOOKUP(B321,منتجات!$A$3:$C$350,3,0),"")</f>
        <v/>
      </c>
      <c r="E321" s="65"/>
      <c r="F321" s="65" t="str">
        <f>IFERROR(INDEX(منتجات!$G$3:$G$350,MATCH(B321,منتجات!$A$3:$A$115,0)),"")</f>
        <v/>
      </c>
      <c r="G321" s="65" t="str">
        <f t="shared" si="6"/>
        <v/>
      </c>
      <c r="H321" s="70"/>
    </row>
    <row r="322" spans="1:8" x14ac:dyDescent="0.35">
      <c r="A322" s="62"/>
      <c r="B322" s="63"/>
      <c r="C322" s="63" t="str">
        <f>IFERROR(VLOOKUP(B322,منتجات!$A$3:$C$350,2,0),"")</f>
        <v/>
      </c>
      <c r="D322" s="63" t="str">
        <f>IFERROR(VLOOKUP(B322,منتجات!$A$3:$C$350,3,0),"")</f>
        <v/>
      </c>
      <c r="E322" s="63"/>
      <c r="F322" s="63" t="str">
        <f>IFERROR(INDEX(منتجات!$G$3:$G$350,MATCH(B322,منتجات!$A$3:$A$115,0)),"")</f>
        <v/>
      </c>
      <c r="G322" s="63" t="str">
        <f t="shared" si="6"/>
        <v/>
      </c>
      <c r="H322" s="69"/>
    </row>
    <row r="323" spans="1:8" x14ac:dyDescent="0.35">
      <c r="A323" s="64"/>
      <c r="B323" s="65"/>
      <c r="C323" s="65" t="str">
        <f>IFERROR(VLOOKUP(B323,منتجات!$A$3:$C$350,2,0),"")</f>
        <v/>
      </c>
      <c r="D323" s="65" t="str">
        <f>IFERROR(VLOOKUP(B323,منتجات!$A$3:$C$350,3,0),"")</f>
        <v/>
      </c>
      <c r="E323" s="65"/>
      <c r="F323" s="65" t="str">
        <f>IFERROR(INDEX(منتجات!$G$3:$G$350,MATCH(B323,منتجات!$A$3:$A$115,0)),"")</f>
        <v/>
      </c>
      <c r="G323" s="65" t="str">
        <f t="shared" si="6"/>
        <v/>
      </c>
      <c r="H323" s="70"/>
    </row>
    <row r="324" spans="1:8" x14ac:dyDescent="0.35">
      <c r="A324" s="62"/>
      <c r="B324" s="63"/>
      <c r="C324" s="63" t="str">
        <f>IFERROR(VLOOKUP(B324,منتجات!$A$3:$C$350,2,0),"")</f>
        <v/>
      </c>
      <c r="D324" s="63" t="str">
        <f>IFERROR(VLOOKUP(B324,منتجات!$A$3:$C$350,3,0),"")</f>
        <v/>
      </c>
      <c r="E324" s="63"/>
      <c r="F324" s="63" t="str">
        <f>IFERROR(INDEX(منتجات!$G$3:$G$350,MATCH(B324,منتجات!$A$3:$A$115,0)),"")</f>
        <v/>
      </c>
      <c r="G324" s="63" t="str">
        <f t="shared" si="6"/>
        <v/>
      </c>
      <c r="H324" s="69"/>
    </row>
    <row r="325" spans="1:8" x14ac:dyDescent="0.35">
      <c r="A325" s="64"/>
      <c r="B325" s="65"/>
      <c r="C325" s="65" t="str">
        <f>IFERROR(VLOOKUP(B325,منتجات!$A$3:$C$350,2,0),"")</f>
        <v/>
      </c>
      <c r="D325" s="65" t="str">
        <f>IFERROR(VLOOKUP(B325,منتجات!$A$3:$C$350,3,0),"")</f>
        <v/>
      </c>
      <c r="E325" s="65"/>
      <c r="F325" s="65" t="str">
        <f>IFERROR(INDEX(منتجات!$G$3:$G$350,MATCH(B325,منتجات!$A$3:$A$115,0)),"")</f>
        <v/>
      </c>
      <c r="G325" s="65" t="str">
        <f t="shared" si="6"/>
        <v/>
      </c>
      <c r="H325" s="70"/>
    </row>
    <row r="326" spans="1:8" x14ac:dyDescent="0.35">
      <c r="A326" s="62"/>
      <c r="B326" s="63"/>
      <c r="C326" s="63" t="str">
        <f>IFERROR(VLOOKUP(B326,منتجات!$A$3:$C$350,2,0),"")</f>
        <v/>
      </c>
      <c r="D326" s="63" t="str">
        <f>IFERROR(VLOOKUP(B326,منتجات!$A$3:$C$350,3,0),"")</f>
        <v/>
      </c>
      <c r="E326" s="63"/>
      <c r="F326" s="63" t="str">
        <f>IFERROR(INDEX(منتجات!$G$3:$G$350,MATCH(B326,منتجات!$A$3:$A$115,0)),"")</f>
        <v/>
      </c>
      <c r="G326" s="63" t="str">
        <f t="shared" ref="G326:G389" si="7">IFERROR(E326*F326*D326,"")</f>
        <v/>
      </c>
      <c r="H326" s="69"/>
    </row>
    <row r="327" spans="1:8" x14ac:dyDescent="0.35">
      <c r="A327" s="64"/>
      <c r="B327" s="65"/>
      <c r="C327" s="65" t="str">
        <f>IFERROR(VLOOKUP(B327,منتجات!$A$3:$C$350,2,0),"")</f>
        <v/>
      </c>
      <c r="D327" s="65" t="str">
        <f>IFERROR(VLOOKUP(B327,منتجات!$A$3:$C$350,3,0),"")</f>
        <v/>
      </c>
      <c r="E327" s="65"/>
      <c r="F327" s="65" t="str">
        <f>IFERROR(INDEX(منتجات!$G$3:$G$350,MATCH(B327,منتجات!$A$3:$A$115,0)),"")</f>
        <v/>
      </c>
      <c r="G327" s="65" t="str">
        <f t="shared" si="7"/>
        <v/>
      </c>
      <c r="H327" s="70"/>
    </row>
    <row r="328" spans="1:8" x14ac:dyDescent="0.35">
      <c r="A328" s="62"/>
      <c r="B328" s="63"/>
      <c r="C328" s="63" t="str">
        <f>IFERROR(VLOOKUP(B328,منتجات!$A$3:$C$350,2,0),"")</f>
        <v/>
      </c>
      <c r="D328" s="63" t="str">
        <f>IFERROR(VLOOKUP(B328,منتجات!$A$3:$C$350,3,0),"")</f>
        <v/>
      </c>
      <c r="E328" s="63"/>
      <c r="F328" s="63" t="str">
        <f>IFERROR(INDEX(منتجات!$G$3:$G$350,MATCH(B328,منتجات!$A$3:$A$115,0)),"")</f>
        <v/>
      </c>
      <c r="G328" s="63" t="str">
        <f t="shared" si="7"/>
        <v/>
      </c>
      <c r="H328" s="69"/>
    </row>
    <row r="329" spans="1:8" x14ac:dyDescent="0.35">
      <c r="A329" s="64"/>
      <c r="B329" s="65"/>
      <c r="C329" s="65" t="str">
        <f>IFERROR(VLOOKUP(B329,منتجات!$A$3:$C$350,2,0),"")</f>
        <v/>
      </c>
      <c r="D329" s="65" t="str">
        <f>IFERROR(VLOOKUP(B329,منتجات!$A$3:$C$350,3,0),"")</f>
        <v/>
      </c>
      <c r="E329" s="65"/>
      <c r="F329" s="65" t="str">
        <f>IFERROR(INDEX(منتجات!$G$3:$G$350,MATCH(B329,منتجات!$A$3:$A$115,0)),"")</f>
        <v/>
      </c>
      <c r="G329" s="65" t="str">
        <f t="shared" si="7"/>
        <v/>
      </c>
      <c r="H329" s="70"/>
    </row>
    <row r="330" spans="1:8" x14ac:dyDescent="0.35">
      <c r="A330" s="62"/>
      <c r="B330" s="63"/>
      <c r="C330" s="63" t="str">
        <f>IFERROR(VLOOKUP(B330,منتجات!$A$3:$C$350,2,0),"")</f>
        <v/>
      </c>
      <c r="D330" s="63" t="str">
        <f>IFERROR(VLOOKUP(B330,منتجات!$A$3:$C$350,3,0),"")</f>
        <v/>
      </c>
      <c r="E330" s="63"/>
      <c r="F330" s="63" t="str">
        <f>IFERROR(INDEX(منتجات!$G$3:$G$350,MATCH(B330,منتجات!$A$3:$A$115,0)),"")</f>
        <v/>
      </c>
      <c r="G330" s="63" t="str">
        <f t="shared" si="7"/>
        <v/>
      </c>
      <c r="H330" s="69"/>
    </row>
    <row r="331" spans="1:8" x14ac:dyDescent="0.35">
      <c r="A331" s="64"/>
      <c r="B331" s="65"/>
      <c r="C331" s="65" t="str">
        <f>IFERROR(VLOOKUP(B331,منتجات!$A$3:$C$350,2,0),"")</f>
        <v/>
      </c>
      <c r="D331" s="65" t="str">
        <f>IFERROR(VLOOKUP(B331,منتجات!$A$3:$C$350,3,0),"")</f>
        <v/>
      </c>
      <c r="E331" s="65"/>
      <c r="F331" s="65" t="str">
        <f>IFERROR(INDEX(منتجات!$G$3:$G$350,MATCH(B331,منتجات!$A$3:$A$115,0)),"")</f>
        <v/>
      </c>
      <c r="G331" s="65" t="str">
        <f t="shared" si="7"/>
        <v/>
      </c>
      <c r="H331" s="70"/>
    </row>
    <row r="332" spans="1:8" x14ac:dyDescent="0.35">
      <c r="A332" s="62"/>
      <c r="B332" s="63"/>
      <c r="C332" s="63" t="str">
        <f>IFERROR(VLOOKUP(B332,منتجات!$A$3:$C$350,2,0),"")</f>
        <v/>
      </c>
      <c r="D332" s="63" t="str">
        <f>IFERROR(VLOOKUP(B332,منتجات!$A$3:$C$350,3,0),"")</f>
        <v/>
      </c>
      <c r="E332" s="63"/>
      <c r="F332" s="63" t="str">
        <f>IFERROR(INDEX(منتجات!$G$3:$G$350,MATCH(B332,منتجات!$A$3:$A$115,0)),"")</f>
        <v/>
      </c>
      <c r="G332" s="63" t="str">
        <f t="shared" si="7"/>
        <v/>
      </c>
      <c r="H332" s="69"/>
    </row>
    <row r="333" spans="1:8" x14ac:dyDescent="0.35">
      <c r="A333" s="64"/>
      <c r="B333" s="65"/>
      <c r="C333" s="65" t="str">
        <f>IFERROR(VLOOKUP(B333,منتجات!$A$3:$C$350,2,0),"")</f>
        <v/>
      </c>
      <c r="D333" s="65" t="str">
        <f>IFERROR(VLOOKUP(B333,منتجات!$A$3:$C$350,3,0),"")</f>
        <v/>
      </c>
      <c r="E333" s="65"/>
      <c r="F333" s="65" t="str">
        <f>IFERROR(INDEX(منتجات!$G$3:$G$350,MATCH(B333,منتجات!$A$3:$A$115,0)),"")</f>
        <v/>
      </c>
      <c r="G333" s="65" t="str">
        <f t="shared" si="7"/>
        <v/>
      </c>
      <c r="H333" s="70"/>
    </row>
    <row r="334" spans="1:8" x14ac:dyDescent="0.35">
      <c r="A334" s="62"/>
      <c r="B334" s="63"/>
      <c r="C334" s="63" t="str">
        <f>IFERROR(VLOOKUP(B334,منتجات!$A$3:$C$350,2,0),"")</f>
        <v/>
      </c>
      <c r="D334" s="63" t="str">
        <f>IFERROR(VLOOKUP(B334,منتجات!$A$3:$C$350,3,0),"")</f>
        <v/>
      </c>
      <c r="E334" s="63"/>
      <c r="F334" s="63" t="str">
        <f>IFERROR(INDEX(منتجات!$G$3:$G$350,MATCH(B334,منتجات!$A$3:$A$115,0)),"")</f>
        <v/>
      </c>
      <c r="G334" s="63" t="str">
        <f t="shared" si="7"/>
        <v/>
      </c>
      <c r="H334" s="69"/>
    </row>
    <row r="335" spans="1:8" x14ac:dyDescent="0.35">
      <c r="A335" s="64"/>
      <c r="B335" s="65"/>
      <c r="C335" s="65" t="str">
        <f>IFERROR(VLOOKUP(B335,منتجات!$A$3:$C$350,2,0),"")</f>
        <v/>
      </c>
      <c r="D335" s="65" t="str">
        <f>IFERROR(VLOOKUP(B335,منتجات!$A$3:$C$350,3,0),"")</f>
        <v/>
      </c>
      <c r="E335" s="65"/>
      <c r="F335" s="65" t="str">
        <f>IFERROR(INDEX(منتجات!$G$3:$G$350,MATCH(B335,منتجات!$A$3:$A$115,0)),"")</f>
        <v/>
      </c>
      <c r="G335" s="65" t="str">
        <f t="shared" si="7"/>
        <v/>
      </c>
      <c r="H335" s="70"/>
    </row>
    <row r="336" spans="1:8" x14ac:dyDescent="0.35">
      <c r="A336" s="62"/>
      <c r="B336" s="63"/>
      <c r="C336" s="63" t="str">
        <f>IFERROR(VLOOKUP(B336,منتجات!$A$3:$C$350,2,0),"")</f>
        <v/>
      </c>
      <c r="D336" s="63" t="str">
        <f>IFERROR(VLOOKUP(B336,منتجات!$A$3:$C$350,3,0),"")</f>
        <v/>
      </c>
      <c r="E336" s="63"/>
      <c r="F336" s="63" t="str">
        <f>IFERROR(INDEX(منتجات!$G$3:$G$350,MATCH(B336,منتجات!$A$3:$A$115,0)),"")</f>
        <v/>
      </c>
      <c r="G336" s="63" t="str">
        <f t="shared" si="7"/>
        <v/>
      </c>
      <c r="H336" s="69"/>
    </row>
    <row r="337" spans="1:8" x14ac:dyDescent="0.35">
      <c r="A337" s="64"/>
      <c r="B337" s="65"/>
      <c r="C337" s="65" t="str">
        <f>IFERROR(VLOOKUP(B337,منتجات!$A$3:$C$350,2,0),"")</f>
        <v/>
      </c>
      <c r="D337" s="65" t="str">
        <f>IFERROR(VLOOKUP(B337,منتجات!$A$3:$C$350,3,0),"")</f>
        <v/>
      </c>
      <c r="E337" s="65"/>
      <c r="F337" s="65" t="str">
        <f>IFERROR(INDEX(منتجات!$G$3:$G$350,MATCH(B337,منتجات!$A$3:$A$115,0)),"")</f>
        <v/>
      </c>
      <c r="G337" s="65" t="str">
        <f t="shared" si="7"/>
        <v/>
      </c>
      <c r="H337" s="70"/>
    </row>
    <row r="338" spans="1:8" x14ac:dyDescent="0.35">
      <c r="A338" s="62"/>
      <c r="B338" s="63"/>
      <c r="C338" s="63" t="str">
        <f>IFERROR(VLOOKUP(B338,منتجات!$A$3:$C$350,2,0),"")</f>
        <v/>
      </c>
      <c r="D338" s="63" t="str">
        <f>IFERROR(VLOOKUP(B338,منتجات!$A$3:$C$350,3,0),"")</f>
        <v/>
      </c>
      <c r="E338" s="63"/>
      <c r="F338" s="63" t="str">
        <f>IFERROR(INDEX(منتجات!$G$3:$G$350,MATCH(B338,منتجات!$A$3:$A$115,0)),"")</f>
        <v/>
      </c>
      <c r="G338" s="63" t="str">
        <f t="shared" si="7"/>
        <v/>
      </c>
      <c r="H338" s="69"/>
    </row>
    <row r="339" spans="1:8" x14ac:dyDescent="0.35">
      <c r="A339" s="64"/>
      <c r="B339" s="65"/>
      <c r="C339" s="65" t="str">
        <f>IFERROR(VLOOKUP(B339,منتجات!$A$3:$C$350,2,0),"")</f>
        <v/>
      </c>
      <c r="D339" s="65" t="str">
        <f>IFERROR(VLOOKUP(B339,منتجات!$A$3:$C$350,3,0),"")</f>
        <v/>
      </c>
      <c r="E339" s="65"/>
      <c r="F339" s="65" t="str">
        <f>IFERROR(INDEX(منتجات!$G$3:$G$350,MATCH(B339,منتجات!$A$3:$A$115,0)),"")</f>
        <v/>
      </c>
      <c r="G339" s="65" t="str">
        <f t="shared" si="7"/>
        <v/>
      </c>
      <c r="H339" s="70"/>
    </row>
    <row r="340" spans="1:8" x14ac:dyDescent="0.35">
      <c r="A340" s="62"/>
      <c r="B340" s="63"/>
      <c r="C340" s="63" t="str">
        <f>IFERROR(VLOOKUP(B340,منتجات!$A$3:$C$350,2,0),"")</f>
        <v/>
      </c>
      <c r="D340" s="63" t="str">
        <f>IFERROR(VLOOKUP(B340,منتجات!$A$3:$C$350,3,0),"")</f>
        <v/>
      </c>
      <c r="E340" s="63"/>
      <c r="F340" s="63" t="str">
        <f>IFERROR(INDEX(منتجات!$G$3:$G$350,MATCH(B340,منتجات!$A$3:$A$115,0)),"")</f>
        <v/>
      </c>
      <c r="G340" s="63" t="str">
        <f t="shared" si="7"/>
        <v/>
      </c>
      <c r="H340" s="69"/>
    </row>
    <row r="341" spans="1:8" x14ac:dyDescent="0.35">
      <c r="A341" s="64"/>
      <c r="B341" s="65"/>
      <c r="C341" s="65" t="str">
        <f>IFERROR(VLOOKUP(B341,منتجات!$A$3:$C$350,2,0),"")</f>
        <v/>
      </c>
      <c r="D341" s="65" t="str">
        <f>IFERROR(VLOOKUP(B341,منتجات!$A$3:$C$350,3,0),"")</f>
        <v/>
      </c>
      <c r="E341" s="65"/>
      <c r="F341" s="65" t="str">
        <f>IFERROR(INDEX(منتجات!$G$3:$G$350,MATCH(B341,منتجات!$A$3:$A$115,0)),"")</f>
        <v/>
      </c>
      <c r="G341" s="65" t="str">
        <f t="shared" si="7"/>
        <v/>
      </c>
      <c r="H341" s="70"/>
    </row>
    <row r="342" spans="1:8" x14ac:dyDescent="0.35">
      <c r="A342" s="62"/>
      <c r="B342" s="63"/>
      <c r="C342" s="63" t="str">
        <f>IFERROR(VLOOKUP(B342,منتجات!$A$3:$C$350,2,0),"")</f>
        <v/>
      </c>
      <c r="D342" s="63" t="str">
        <f>IFERROR(VLOOKUP(B342,منتجات!$A$3:$C$350,3,0),"")</f>
        <v/>
      </c>
      <c r="E342" s="63"/>
      <c r="F342" s="63" t="str">
        <f>IFERROR(INDEX(منتجات!$G$3:$G$350,MATCH(B342,منتجات!$A$3:$A$115,0)),"")</f>
        <v/>
      </c>
      <c r="G342" s="63" t="str">
        <f t="shared" si="7"/>
        <v/>
      </c>
      <c r="H342" s="69"/>
    </row>
    <row r="343" spans="1:8" x14ac:dyDescent="0.35">
      <c r="A343" s="64"/>
      <c r="B343" s="65"/>
      <c r="C343" s="65" t="str">
        <f>IFERROR(VLOOKUP(B343,منتجات!$A$3:$C$350,2,0),"")</f>
        <v/>
      </c>
      <c r="D343" s="65" t="str">
        <f>IFERROR(VLOOKUP(B343,منتجات!$A$3:$C$350,3,0),"")</f>
        <v/>
      </c>
      <c r="E343" s="65"/>
      <c r="F343" s="65" t="str">
        <f>IFERROR(INDEX(منتجات!$G$3:$G$350,MATCH(B343,منتجات!$A$3:$A$115,0)),"")</f>
        <v/>
      </c>
      <c r="G343" s="65" t="str">
        <f t="shared" si="7"/>
        <v/>
      </c>
      <c r="H343" s="70"/>
    </row>
    <row r="344" spans="1:8" x14ac:dyDescent="0.35">
      <c r="A344" s="62"/>
      <c r="B344" s="63"/>
      <c r="C344" s="63" t="str">
        <f>IFERROR(VLOOKUP(B344,منتجات!$A$3:$C$350,2,0),"")</f>
        <v/>
      </c>
      <c r="D344" s="63" t="str">
        <f>IFERROR(VLOOKUP(B344,منتجات!$A$3:$C$350,3,0),"")</f>
        <v/>
      </c>
      <c r="E344" s="63"/>
      <c r="F344" s="63" t="str">
        <f>IFERROR(INDEX(منتجات!$G$3:$G$350,MATCH(B344,منتجات!$A$3:$A$115,0)),"")</f>
        <v/>
      </c>
      <c r="G344" s="63" t="str">
        <f t="shared" si="7"/>
        <v/>
      </c>
      <c r="H344" s="69"/>
    </row>
    <row r="345" spans="1:8" x14ac:dyDescent="0.35">
      <c r="A345" s="64"/>
      <c r="B345" s="65"/>
      <c r="C345" s="65" t="str">
        <f>IFERROR(VLOOKUP(B345,منتجات!$A$3:$C$350,2,0),"")</f>
        <v/>
      </c>
      <c r="D345" s="65" t="str">
        <f>IFERROR(VLOOKUP(B345,منتجات!$A$3:$C$350,3,0),"")</f>
        <v/>
      </c>
      <c r="E345" s="65"/>
      <c r="F345" s="65" t="str">
        <f>IFERROR(INDEX(منتجات!$G$3:$G$350,MATCH(B345,منتجات!$A$3:$A$115,0)),"")</f>
        <v/>
      </c>
      <c r="G345" s="65" t="str">
        <f t="shared" si="7"/>
        <v/>
      </c>
      <c r="H345" s="70"/>
    </row>
    <row r="346" spans="1:8" x14ac:dyDescent="0.35">
      <c r="A346" s="62"/>
      <c r="B346" s="63"/>
      <c r="C346" s="63" t="str">
        <f>IFERROR(VLOOKUP(B346,منتجات!$A$3:$C$350,2,0),"")</f>
        <v/>
      </c>
      <c r="D346" s="63" t="str">
        <f>IFERROR(VLOOKUP(B346,منتجات!$A$3:$C$350,3,0),"")</f>
        <v/>
      </c>
      <c r="E346" s="63"/>
      <c r="F346" s="63" t="str">
        <f>IFERROR(INDEX(منتجات!$G$3:$G$350,MATCH(B346,منتجات!$A$3:$A$115,0)),"")</f>
        <v/>
      </c>
      <c r="G346" s="63" t="str">
        <f t="shared" si="7"/>
        <v/>
      </c>
      <c r="H346" s="69"/>
    </row>
    <row r="347" spans="1:8" x14ac:dyDescent="0.35">
      <c r="A347" s="64"/>
      <c r="B347" s="65"/>
      <c r="C347" s="65" t="str">
        <f>IFERROR(VLOOKUP(B347,منتجات!$A$3:$C$350,2,0),"")</f>
        <v/>
      </c>
      <c r="D347" s="65" t="str">
        <f>IFERROR(VLOOKUP(B347,منتجات!$A$3:$C$350,3,0),"")</f>
        <v/>
      </c>
      <c r="E347" s="65"/>
      <c r="F347" s="65" t="str">
        <f>IFERROR(INDEX(منتجات!$G$3:$G$350,MATCH(B347,منتجات!$A$3:$A$115,0)),"")</f>
        <v/>
      </c>
      <c r="G347" s="65" t="str">
        <f t="shared" si="7"/>
        <v/>
      </c>
      <c r="H347" s="70"/>
    </row>
    <row r="348" spans="1:8" x14ac:dyDescent="0.35">
      <c r="A348" s="62"/>
      <c r="B348" s="63"/>
      <c r="C348" s="63" t="str">
        <f>IFERROR(VLOOKUP(B348,منتجات!$A$3:$C$350,2,0),"")</f>
        <v/>
      </c>
      <c r="D348" s="63" t="str">
        <f>IFERROR(VLOOKUP(B348,منتجات!$A$3:$C$350,3,0),"")</f>
        <v/>
      </c>
      <c r="E348" s="63"/>
      <c r="F348" s="63" t="str">
        <f>IFERROR(INDEX(منتجات!$G$3:$G$350,MATCH(B348,منتجات!$A$3:$A$115,0)),"")</f>
        <v/>
      </c>
      <c r="G348" s="63" t="str">
        <f t="shared" si="7"/>
        <v/>
      </c>
      <c r="H348" s="69"/>
    </row>
    <row r="349" spans="1:8" x14ac:dyDescent="0.35">
      <c r="A349" s="64"/>
      <c r="B349" s="65"/>
      <c r="C349" s="65" t="str">
        <f>IFERROR(VLOOKUP(B349,منتجات!$A$3:$C$350,2,0),"")</f>
        <v/>
      </c>
      <c r="D349" s="65" t="str">
        <f>IFERROR(VLOOKUP(B349,منتجات!$A$3:$C$350,3,0),"")</f>
        <v/>
      </c>
      <c r="E349" s="65"/>
      <c r="F349" s="65" t="str">
        <f>IFERROR(INDEX(منتجات!$G$3:$G$350,MATCH(B349,منتجات!$A$3:$A$115,0)),"")</f>
        <v/>
      </c>
      <c r="G349" s="65" t="str">
        <f t="shared" si="7"/>
        <v/>
      </c>
      <c r="H349" s="70"/>
    </row>
    <row r="350" spans="1:8" x14ac:dyDescent="0.35">
      <c r="A350" s="62"/>
      <c r="B350" s="63"/>
      <c r="C350" s="63" t="str">
        <f>IFERROR(VLOOKUP(B350,منتجات!$A$3:$C$350,2,0),"")</f>
        <v/>
      </c>
      <c r="D350" s="63" t="str">
        <f>IFERROR(VLOOKUP(B350,منتجات!$A$3:$C$350,3,0),"")</f>
        <v/>
      </c>
      <c r="E350" s="63"/>
      <c r="F350" s="63" t="str">
        <f>IFERROR(INDEX(منتجات!$G$3:$G$350,MATCH(B350,منتجات!$A$3:$A$115,0)),"")</f>
        <v/>
      </c>
      <c r="G350" s="63" t="str">
        <f t="shared" si="7"/>
        <v/>
      </c>
      <c r="H350" s="69"/>
    </row>
    <row r="351" spans="1:8" x14ac:dyDescent="0.35">
      <c r="A351" s="64"/>
      <c r="B351" s="65"/>
      <c r="C351" s="65" t="str">
        <f>IFERROR(VLOOKUP(B351,منتجات!$A$3:$C$350,2,0),"")</f>
        <v/>
      </c>
      <c r="D351" s="65" t="str">
        <f>IFERROR(VLOOKUP(B351,منتجات!$A$3:$C$350,3,0),"")</f>
        <v/>
      </c>
      <c r="E351" s="65"/>
      <c r="F351" s="65" t="str">
        <f>IFERROR(INDEX(منتجات!$G$3:$G$350,MATCH(B351,منتجات!$A$3:$A$115,0)),"")</f>
        <v/>
      </c>
      <c r="G351" s="65" t="str">
        <f t="shared" si="7"/>
        <v/>
      </c>
      <c r="H351" s="70"/>
    </row>
    <row r="352" spans="1:8" x14ac:dyDescent="0.35">
      <c r="A352" s="62"/>
      <c r="B352" s="63"/>
      <c r="C352" s="63" t="str">
        <f>IFERROR(VLOOKUP(B352,منتجات!$A$3:$C$350,2,0),"")</f>
        <v/>
      </c>
      <c r="D352" s="63" t="str">
        <f>IFERROR(VLOOKUP(B352,منتجات!$A$3:$C$350,3,0),"")</f>
        <v/>
      </c>
      <c r="E352" s="63"/>
      <c r="F352" s="63" t="str">
        <f>IFERROR(INDEX(منتجات!$G$3:$G$350,MATCH(B352,منتجات!$A$3:$A$115,0)),"")</f>
        <v/>
      </c>
      <c r="G352" s="63" t="str">
        <f t="shared" si="7"/>
        <v/>
      </c>
      <c r="H352" s="69"/>
    </row>
    <row r="353" spans="1:8" x14ac:dyDescent="0.35">
      <c r="A353" s="64"/>
      <c r="B353" s="65"/>
      <c r="C353" s="65" t="str">
        <f>IFERROR(VLOOKUP(B353,منتجات!$A$3:$C$350,2,0),"")</f>
        <v/>
      </c>
      <c r="D353" s="65" t="str">
        <f>IFERROR(VLOOKUP(B353,منتجات!$A$3:$C$350,3,0),"")</f>
        <v/>
      </c>
      <c r="E353" s="65"/>
      <c r="F353" s="65" t="str">
        <f>IFERROR(INDEX(منتجات!$G$3:$G$350,MATCH(B353,منتجات!$A$3:$A$115,0)),"")</f>
        <v/>
      </c>
      <c r="G353" s="65" t="str">
        <f t="shared" si="7"/>
        <v/>
      </c>
      <c r="H353" s="70"/>
    </row>
    <row r="354" spans="1:8" x14ac:dyDescent="0.35">
      <c r="A354" s="62"/>
      <c r="B354" s="63"/>
      <c r="C354" s="63" t="str">
        <f>IFERROR(VLOOKUP(B354,منتجات!$A$3:$C$350,2,0),"")</f>
        <v/>
      </c>
      <c r="D354" s="63" t="str">
        <f>IFERROR(VLOOKUP(B354,منتجات!$A$3:$C$350,3,0),"")</f>
        <v/>
      </c>
      <c r="E354" s="63"/>
      <c r="F354" s="63" t="str">
        <f>IFERROR(INDEX(منتجات!$G$3:$G$350,MATCH(B354,منتجات!$A$3:$A$115,0)),"")</f>
        <v/>
      </c>
      <c r="G354" s="63" t="str">
        <f t="shared" si="7"/>
        <v/>
      </c>
      <c r="H354" s="69"/>
    </row>
    <row r="355" spans="1:8" x14ac:dyDescent="0.35">
      <c r="A355" s="64"/>
      <c r="B355" s="65"/>
      <c r="C355" s="65" t="str">
        <f>IFERROR(VLOOKUP(B355,منتجات!$A$3:$C$350,2,0),"")</f>
        <v/>
      </c>
      <c r="D355" s="65" t="str">
        <f>IFERROR(VLOOKUP(B355,منتجات!$A$3:$C$350,3,0),"")</f>
        <v/>
      </c>
      <c r="E355" s="65"/>
      <c r="F355" s="65" t="str">
        <f>IFERROR(INDEX(منتجات!$G$3:$G$350,MATCH(B355,منتجات!$A$3:$A$115,0)),"")</f>
        <v/>
      </c>
      <c r="G355" s="65" t="str">
        <f t="shared" si="7"/>
        <v/>
      </c>
      <c r="H355" s="70"/>
    </row>
    <row r="356" spans="1:8" x14ac:dyDescent="0.35">
      <c r="A356" s="62"/>
      <c r="B356" s="63"/>
      <c r="C356" s="63" t="str">
        <f>IFERROR(VLOOKUP(B356,منتجات!$A$3:$C$350,2,0),"")</f>
        <v/>
      </c>
      <c r="D356" s="63" t="str">
        <f>IFERROR(VLOOKUP(B356,منتجات!$A$3:$C$350,3,0),"")</f>
        <v/>
      </c>
      <c r="E356" s="63"/>
      <c r="F356" s="63" t="str">
        <f>IFERROR(INDEX(منتجات!$G$3:$G$350,MATCH(B356,منتجات!$A$3:$A$115,0)),"")</f>
        <v/>
      </c>
      <c r="G356" s="63" t="str">
        <f t="shared" si="7"/>
        <v/>
      </c>
      <c r="H356" s="69"/>
    </row>
    <row r="357" spans="1:8" x14ac:dyDescent="0.35">
      <c r="A357" s="64"/>
      <c r="B357" s="65"/>
      <c r="C357" s="65" t="str">
        <f>IFERROR(VLOOKUP(B357,منتجات!$A$3:$C$350,2,0),"")</f>
        <v/>
      </c>
      <c r="D357" s="65" t="str">
        <f>IFERROR(VLOOKUP(B357,منتجات!$A$3:$C$350,3,0),"")</f>
        <v/>
      </c>
      <c r="E357" s="65"/>
      <c r="F357" s="65" t="str">
        <f>IFERROR(INDEX(منتجات!$G$3:$G$350,MATCH(B357,منتجات!$A$3:$A$115,0)),"")</f>
        <v/>
      </c>
      <c r="G357" s="65" t="str">
        <f t="shared" si="7"/>
        <v/>
      </c>
      <c r="H357" s="70"/>
    </row>
    <row r="358" spans="1:8" x14ac:dyDescent="0.35">
      <c r="A358" s="62"/>
      <c r="B358" s="63"/>
      <c r="C358" s="63" t="str">
        <f>IFERROR(VLOOKUP(B358,منتجات!$A$3:$C$350,2,0),"")</f>
        <v/>
      </c>
      <c r="D358" s="63" t="str">
        <f>IFERROR(VLOOKUP(B358,منتجات!$A$3:$C$350,3,0),"")</f>
        <v/>
      </c>
      <c r="E358" s="63"/>
      <c r="F358" s="63" t="str">
        <f>IFERROR(INDEX(منتجات!$G$3:$G$350,MATCH(B358,منتجات!$A$3:$A$115,0)),"")</f>
        <v/>
      </c>
      <c r="G358" s="63" t="str">
        <f t="shared" si="7"/>
        <v/>
      </c>
      <c r="H358" s="69"/>
    </row>
    <row r="359" spans="1:8" x14ac:dyDescent="0.35">
      <c r="A359" s="64"/>
      <c r="B359" s="65"/>
      <c r="C359" s="65" t="str">
        <f>IFERROR(VLOOKUP(B359,منتجات!$A$3:$C$350,2,0),"")</f>
        <v/>
      </c>
      <c r="D359" s="65" t="str">
        <f>IFERROR(VLOOKUP(B359,منتجات!$A$3:$C$350,3,0),"")</f>
        <v/>
      </c>
      <c r="E359" s="65"/>
      <c r="F359" s="65" t="str">
        <f>IFERROR(INDEX(منتجات!$G$3:$G$350,MATCH(B359,منتجات!$A$3:$A$115,0)),"")</f>
        <v/>
      </c>
      <c r="G359" s="65" t="str">
        <f t="shared" si="7"/>
        <v/>
      </c>
      <c r="H359" s="70"/>
    </row>
    <row r="360" spans="1:8" x14ac:dyDescent="0.35">
      <c r="A360" s="62"/>
      <c r="B360" s="63"/>
      <c r="C360" s="63" t="str">
        <f>IFERROR(VLOOKUP(B360,منتجات!$A$3:$C$350,2,0),"")</f>
        <v/>
      </c>
      <c r="D360" s="63" t="str">
        <f>IFERROR(VLOOKUP(B360,منتجات!$A$3:$C$350,3,0),"")</f>
        <v/>
      </c>
      <c r="E360" s="63"/>
      <c r="F360" s="63" t="str">
        <f>IFERROR(INDEX(منتجات!$G$3:$G$350,MATCH(B360,منتجات!$A$3:$A$115,0)),"")</f>
        <v/>
      </c>
      <c r="G360" s="63" t="str">
        <f t="shared" si="7"/>
        <v/>
      </c>
      <c r="H360" s="69"/>
    </row>
    <row r="361" spans="1:8" x14ac:dyDescent="0.35">
      <c r="A361" s="64"/>
      <c r="B361" s="65"/>
      <c r="C361" s="65" t="str">
        <f>IFERROR(VLOOKUP(B361,منتجات!$A$3:$C$350,2,0),"")</f>
        <v/>
      </c>
      <c r="D361" s="65" t="str">
        <f>IFERROR(VLOOKUP(B361,منتجات!$A$3:$C$350,3,0),"")</f>
        <v/>
      </c>
      <c r="E361" s="65"/>
      <c r="F361" s="65" t="str">
        <f>IFERROR(INDEX(منتجات!$G$3:$G$350,MATCH(B361,منتجات!$A$3:$A$115,0)),"")</f>
        <v/>
      </c>
      <c r="G361" s="65" t="str">
        <f t="shared" si="7"/>
        <v/>
      </c>
      <c r="H361" s="70"/>
    </row>
    <row r="362" spans="1:8" x14ac:dyDescent="0.35">
      <c r="A362" s="62"/>
      <c r="B362" s="63"/>
      <c r="C362" s="63" t="str">
        <f>IFERROR(VLOOKUP(B362,منتجات!$A$3:$C$350,2,0),"")</f>
        <v/>
      </c>
      <c r="D362" s="63" t="str">
        <f>IFERROR(VLOOKUP(B362,منتجات!$A$3:$C$350,3,0),"")</f>
        <v/>
      </c>
      <c r="E362" s="63"/>
      <c r="F362" s="63" t="str">
        <f>IFERROR(INDEX(منتجات!$G$3:$G$350,MATCH(B362,منتجات!$A$3:$A$115,0)),"")</f>
        <v/>
      </c>
      <c r="G362" s="63" t="str">
        <f t="shared" si="7"/>
        <v/>
      </c>
      <c r="H362" s="69"/>
    </row>
    <row r="363" spans="1:8" x14ac:dyDescent="0.35">
      <c r="A363" s="64"/>
      <c r="B363" s="65"/>
      <c r="C363" s="65" t="str">
        <f>IFERROR(VLOOKUP(B363,منتجات!$A$3:$C$350,2,0),"")</f>
        <v/>
      </c>
      <c r="D363" s="65" t="str">
        <f>IFERROR(VLOOKUP(B363,منتجات!$A$3:$C$350,3,0),"")</f>
        <v/>
      </c>
      <c r="E363" s="65"/>
      <c r="F363" s="65" t="str">
        <f>IFERROR(INDEX(منتجات!$G$3:$G$350,MATCH(B363,منتجات!$A$3:$A$115,0)),"")</f>
        <v/>
      </c>
      <c r="G363" s="65" t="str">
        <f t="shared" si="7"/>
        <v/>
      </c>
      <c r="H363" s="70"/>
    </row>
    <row r="364" spans="1:8" x14ac:dyDescent="0.35">
      <c r="A364" s="62"/>
      <c r="B364" s="63"/>
      <c r="C364" s="63" t="str">
        <f>IFERROR(VLOOKUP(B364,منتجات!$A$3:$C$350,2,0),"")</f>
        <v/>
      </c>
      <c r="D364" s="63" t="str">
        <f>IFERROR(VLOOKUP(B364,منتجات!$A$3:$C$350,3,0),"")</f>
        <v/>
      </c>
      <c r="E364" s="63"/>
      <c r="F364" s="63" t="str">
        <f>IFERROR(INDEX(منتجات!$G$3:$G$350,MATCH(B364,منتجات!$A$3:$A$115,0)),"")</f>
        <v/>
      </c>
      <c r="G364" s="63" t="str">
        <f t="shared" si="7"/>
        <v/>
      </c>
      <c r="H364" s="69"/>
    </row>
    <row r="365" spans="1:8" x14ac:dyDescent="0.35">
      <c r="A365" s="64"/>
      <c r="B365" s="65"/>
      <c r="C365" s="65" t="str">
        <f>IFERROR(VLOOKUP(B365,منتجات!$A$3:$C$350,2,0),"")</f>
        <v/>
      </c>
      <c r="D365" s="65" t="str">
        <f>IFERROR(VLOOKUP(B365,منتجات!$A$3:$C$350,3,0),"")</f>
        <v/>
      </c>
      <c r="E365" s="65"/>
      <c r="F365" s="65" t="str">
        <f>IFERROR(INDEX(منتجات!$G$3:$G$350,MATCH(B365,منتجات!$A$3:$A$115,0)),"")</f>
        <v/>
      </c>
      <c r="G365" s="65" t="str">
        <f t="shared" si="7"/>
        <v/>
      </c>
      <c r="H365" s="70"/>
    </row>
    <row r="366" spans="1:8" x14ac:dyDescent="0.35">
      <c r="A366" s="62"/>
      <c r="B366" s="63"/>
      <c r="C366" s="63" t="str">
        <f>IFERROR(VLOOKUP(B366,منتجات!$A$3:$C$350,2,0),"")</f>
        <v/>
      </c>
      <c r="D366" s="63" t="str">
        <f>IFERROR(VLOOKUP(B366,منتجات!$A$3:$C$350,3,0),"")</f>
        <v/>
      </c>
      <c r="E366" s="63"/>
      <c r="F366" s="63" t="str">
        <f>IFERROR(INDEX(منتجات!$G$3:$G$350,MATCH(B366,منتجات!$A$3:$A$115,0)),"")</f>
        <v/>
      </c>
      <c r="G366" s="63" t="str">
        <f t="shared" si="7"/>
        <v/>
      </c>
      <c r="H366" s="69"/>
    </row>
    <row r="367" spans="1:8" x14ac:dyDescent="0.35">
      <c r="A367" s="64"/>
      <c r="B367" s="65"/>
      <c r="C367" s="65" t="str">
        <f>IFERROR(VLOOKUP(B367,منتجات!$A$3:$C$350,2,0),"")</f>
        <v/>
      </c>
      <c r="D367" s="65" t="str">
        <f>IFERROR(VLOOKUP(B367,منتجات!$A$3:$C$350,3,0),"")</f>
        <v/>
      </c>
      <c r="E367" s="65"/>
      <c r="F367" s="65" t="str">
        <f>IFERROR(INDEX(منتجات!$G$3:$G$350,MATCH(B367,منتجات!$A$3:$A$115,0)),"")</f>
        <v/>
      </c>
      <c r="G367" s="65" t="str">
        <f t="shared" si="7"/>
        <v/>
      </c>
      <c r="H367" s="70"/>
    </row>
    <row r="368" spans="1:8" x14ac:dyDescent="0.35">
      <c r="A368" s="62"/>
      <c r="B368" s="63"/>
      <c r="C368" s="63" t="str">
        <f>IFERROR(VLOOKUP(B368,منتجات!$A$3:$C$350,2,0),"")</f>
        <v/>
      </c>
      <c r="D368" s="63" t="str">
        <f>IFERROR(VLOOKUP(B368,منتجات!$A$3:$C$350,3,0),"")</f>
        <v/>
      </c>
      <c r="E368" s="63"/>
      <c r="F368" s="63" t="str">
        <f>IFERROR(INDEX(منتجات!$G$3:$G$350,MATCH(B368,منتجات!$A$3:$A$115,0)),"")</f>
        <v/>
      </c>
      <c r="G368" s="63" t="str">
        <f t="shared" si="7"/>
        <v/>
      </c>
      <c r="H368" s="69"/>
    </row>
    <row r="369" spans="1:8" x14ac:dyDescent="0.35">
      <c r="A369" s="64"/>
      <c r="B369" s="65"/>
      <c r="C369" s="65" t="str">
        <f>IFERROR(VLOOKUP(B369,منتجات!$A$3:$C$350,2,0),"")</f>
        <v/>
      </c>
      <c r="D369" s="65" t="str">
        <f>IFERROR(VLOOKUP(B369,منتجات!$A$3:$C$350,3,0),"")</f>
        <v/>
      </c>
      <c r="E369" s="65"/>
      <c r="F369" s="65" t="str">
        <f>IFERROR(INDEX(منتجات!$G$3:$G$350,MATCH(B369,منتجات!$A$3:$A$115,0)),"")</f>
        <v/>
      </c>
      <c r="G369" s="65" t="str">
        <f t="shared" si="7"/>
        <v/>
      </c>
      <c r="H369" s="70"/>
    </row>
    <row r="370" spans="1:8" x14ac:dyDescent="0.35">
      <c r="A370" s="62"/>
      <c r="B370" s="63"/>
      <c r="C370" s="63" t="str">
        <f>IFERROR(VLOOKUP(B370,منتجات!$A$3:$C$350,2,0),"")</f>
        <v/>
      </c>
      <c r="D370" s="63" t="str">
        <f>IFERROR(VLOOKUP(B370,منتجات!$A$3:$C$350,3,0),"")</f>
        <v/>
      </c>
      <c r="E370" s="63"/>
      <c r="F370" s="63" t="str">
        <f>IFERROR(INDEX(منتجات!$G$3:$G$350,MATCH(B370,منتجات!$A$3:$A$115,0)),"")</f>
        <v/>
      </c>
      <c r="G370" s="63" t="str">
        <f t="shared" si="7"/>
        <v/>
      </c>
      <c r="H370" s="69"/>
    </row>
    <row r="371" spans="1:8" x14ac:dyDescent="0.35">
      <c r="A371" s="64"/>
      <c r="B371" s="65"/>
      <c r="C371" s="65" t="str">
        <f>IFERROR(VLOOKUP(B371,منتجات!$A$3:$C$350,2,0),"")</f>
        <v/>
      </c>
      <c r="D371" s="65" t="str">
        <f>IFERROR(VLOOKUP(B371,منتجات!$A$3:$C$350,3,0),"")</f>
        <v/>
      </c>
      <c r="E371" s="65"/>
      <c r="F371" s="65" t="str">
        <f>IFERROR(INDEX(منتجات!$G$3:$G$350,MATCH(B371,منتجات!$A$3:$A$115,0)),"")</f>
        <v/>
      </c>
      <c r="G371" s="65" t="str">
        <f t="shared" si="7"/>
        <v/>
      </c>
      <c r="H371" s="70"/>
    </row>
    <row r="372" spans="1:8" x14ac:dyDescent="0.35">
      <c r="A372" s="62"/>
      <c r="B372" s="63"/>
      <c r="C372" s="63" t="str">
        <f>IFERROR(VLOOKUP(B372,منتجات!$A$3:$C$350,2,0),"")</f>
        <v/>
      </c>
      <c r="D372" s="63" t="str">
        <f>IFERROR(VLOOKUP(B372,منتجات!$A$3:$C$350,3,0),"")</f>
        <v/>
      </c>
      <c r="E372" s="63"/>
      <c r="F372" s="63" t="str">
        <f>IFERROR(INDEX(منتجات!$G$3:$G$350,MATCH(B372,منتجات!$A$3:$A$115,0)),"")</f>
        <v/>
      </c>
      <c r="G372" s="63" t="str">
        <f t="shared" si="7"/>
        <v/>
      </c>
      <c r="H372" s="69"/>
    </row>
    <row r="373" spans="1:8" x14ac:dyDescent="0.35">
      <c r="A373" s="64"/>
      <c r="B373" s="65"/>
      <c r="C373" s="65" t="str">
        <f>IFERROR(VLOOKUP(B373,منتجات!$A$3:$C$350,2,0),"")</f>
        <v/>
      </c>
      <c r="D373" s="65" t="str">
        <f>IFERROR(VLOOKUP(B373,منتجات!$A$3:$C$350,3,0),"")</f>
        <v/>
      </c>
      <c r="E373" s="65"/>
      <c r="F373" s="65" t="str">
        <f>IFERROR(INDEX(منتجات!$G$3:$G$350,MATCH(B373,منتجات!$A$3:$A$115,0)),"")</f>
        <v/>
      </c>
      <c r="G373" s="65" t="str">
        <f t="shared" si="7"/>
        <v/>
      </c>
      <c r="H373" s="70"/>
    </row>
    <row r="374" spans="1:8" x14ac:dyDescent="0.35">
      <c r="A374" s="62"/>
      <c r="B374" s="63"/>
      <c r="C374" s="63" t="str">
        <f>IFERROR(VLOOKUP(B374,منتجات!$A$3:$C$350,2,0),"")</f>
        <v/>
      </c>
      <c r="D374" s="63" t="str">
        <f>IFERROR(VLOOKUP(B374,منتجات!$A$3:$C$350,3,0),"")</f>
        <v/>
      </c>
      <c r="E374" s="63"/>
      <c r="F374" s="63" t="str">
        <f>IFERROR(INDEX(منتجات!$G$3:$G$350,MATCH(B374,منتجات!$A$3:$A$115,0)),"")</f>
        <v/>
      </c>
      <c r="G374" s="63" t="str">
        <f t="shared" si="7"/>
        <v/>
      </c>
      <c r="H374" s="69"/>
    </row>
    <row r="375" spans="1:8" x14ac:dyDescent="0.35">
      <c r="A375" s="64"/>
      <c r="B375" s="65"/>
      <c r="C375" s="65" t="str">
        <f>IFERROR(VLOOKUP(B375,منتجات!$A$3:$C$350,2,0),"")</f>
        <v/>
      </c>
      <c r="D375" s="65" t="str">
        <f>IFERROR(VLOOKUP(B375,منتجات!$A$3:$C$350,3,0),"")</f>
        <v/>
      </c>
      <c r="E375" s="65"/>
      <c r="F375" s="65" t="str">
        <f>IFERROR(INDEX(منتجات!$G$3:$G$350,MATCH(B375,منتجات!$A$3:$A$115,0)),"")</f>
        <v/>
      </c>
      <c r="G375" s="65" t="str">
        <f t="shared" si="7"/>
        <v/>
      </c>
      <c r="H375" s="70"/>
    </row>
    <row r="376" spans="1:8" x14ac:dyDescent="0.35">
      <c r="A376" s="62"/>
      <c r="B376" s="63"/>
      <c r="C376" s="63" t="str">
        <f>IFERROR(VLOOKUP(B376,منتجات!$A$3:$C$350,2,0),"")</f>
        <v/>
      </c>
      <c r="D376" s="63" t="str">
        <f>IFERROR(VLOOKUP(B376,منتجات!$A$3:$C$350,3,0),"")</f>
        <v/>
      </c>
      <c r="E376" s="63"/>
      <c r="F376" s="63" t="str">
        <f>IFERROR(INDEX(منتجات!$G$3:$G$350,MATCH(B376,منتجات!$A$3:$A$115,0)),"")</f>
        <v/>
      </c>
      <c r="G376" s="63" t="str">
        <f t="shared" si="7"/>
        <v/>
      </c>
      <c r="H376" s="69"/>
    </row>
    <row r="377" spans="1:8" x14ac:dyDescent="0.35">
      <c r="A377" s="64"/>
      <c r="B377" s="65"/>
      <c r="C377" s="65" t="str">
        <f>IFERROR(VLOOKUP(B377,منتجات!$A$3:$C$350,2,0),"")</f>
        <v/>
      </c>
      <c r="D377" s="65" t="str">
        <f>IFERROR(VLOOKUP(B377,منتجات!$A$3:$C$350,3,0),"")</f>
        <v/>
      </c>
      <c r="E377" s="65"/>
      <c r="F377" s="65" t="str">
        <f>IFERROR(INDEX(منتجات!$G$3:$G$350,MATCH(B377,منتجات!$A$3:$A$115,0)),"")</f>
        <v/>
      </c>
      <c r="G377" s="65" t="str">
        <f t="shared" si="7"/>
        <v/>
      </c>
      <c r="H377" s="70"/>
    </row>
    <row r="378" spans="1:8" x14ac:dyDescent="0.35">
      <c r="A378" s="62"/>
      <c r="B378" s="63"/>
      <c r="C378" s="63" t="str">
        <f>IFERROR(VLOOKUP(B378,منتجات!$A$3:$C$350,2,0),"")</f>
        <v/>
      </c>
      <c r="D378" s="63" t="str">
        <f>IFERROR(VLOOKUP(B378,منتجات!$A$3:$C$350,3,0),"")</f>
        <v/>
      </c>
      <c r="E378" s="63"/>
      <c r="F378" s="63" t="str">
        <f>IFERROR(INDEX(منتجات!$G$3:$G$350,MATCH(B378,منتجات!$A$3:$A$115,0)),"")</f>
        <v/>
      </c>
      <c r="G378" s="63" t="str">
        <f t="shared" si="7"/>
        <v/>
      </c>
      <c r="H378" s="69"/>
    </row>
    <row r="379" spans="1:8" x14ac:dyDescent="0.35">
      <c r="A379" s="64"/>
      <c r="B379" s="65"/>
      <c r="C379" s="65" t="str">
        <f>IFERROR(VLOOKUP(B379,منتجات!$A$3:$C$350,2,0),"")</f>
        <v/>
      </c>
      <c r="D379" s="65" t="str">
        <f>IFERROR(VLOOKUP(B379,منتجات!$A$3:$C$350,3,0),"")</f>
        <v/>
      </c>
      <c r="E379" s="65"/>
      <c r="F379" s="65" t="str">
        <f>IFERROR(INDEX(منتجات!$G$3:$G$350,MATCH(B379,منتجات!$A$3:$A$115,0)),"")</f>
        <v/>
      </c>
      <c r="G379" s="65" t="str">
        <f t="shared" si="7"/>
        <v/>
      </c>
      <c r="H379" s="70"/>
    </row>
    <row r="380" spans="1:8" x14ac:dyDescent="0.35">
      <c r="A380" s="62"/>
      <c r="B380" s="63"/>
      <c r="C380" s="63" t="str">
        <f>IFERROR(VLOOKUP(B380,منتجات!$A$3:$C$350,2,0),"")</f>
        <v/>
      </c>
      <c r="D380" s="63" t="str">
        <f>IFERROR(VLOOKUP(B380,منتجات!$A$3:$C$350,3,0),"")</f>
        <v/>
      </c>
      <c r="E380" s="63"/>
      <c r="F380" s="63" t="str">
        <f>IFERROR(INDEX(منتجات!$G$3:$G$350,MATCH(B380,منتجات!$A$3:$A$115,0)),"")</f>
        <v/>
      </c>
      <c r="G380" s="63" t="str">
        <f t="shared" si="7"/>
        <v/>
      </c>
      <c r="H380" s="69"/>
    </row>
    <row r="381" spans="1:8" x14ac:dyDescent="0.35">
      <c r="A381" s="64"/>
      <c r="B381" s="65"/>
      <c r="C381" s="65" t="str">
        <f>IFERROR(VLOOKUP(B381,منتجات!$A$3:$C$350,2,0),"")</f>
        <v/>
      </c>
      <c r="D381" s="65" t="str">
        <f>IFERROR(VLOOKUP(B381,منتجات!$A$3:$C$350,3,0),"")</f>
        <v/>
      </c>
      <c r="E381" s="65"/>
      <c r="F381" s="65" t="str">
        <f>IFERROR(INDEX(منتجات!$G$3:$G$350,MATCH(B381,منتجات!$A$3:$A$115,0)),"")</f>
        <v/>
      </c>
      <c r="G381" s="65" t="str">
        <f t="shared" si="7"/>
        <v/>
      </c>
      <c r="H381" s="70"/>
    </row>
    <row r="382" spans="1:8" x14ac:dyDescent="0.35">
      <c r="A382" s="62"/>
      <c r="B382" s="63"/>
      <c r="C382" s="63" t="str">
        <f>IFERROR(VLOOKUP(B382,منتجات!$A$3:$C$350,2,0),"")</f>
        <v/>
      </c>
      <c r="D382" s="63" t="str">
        <f>IFERROR(VLOOKUP(B382,منتجات!$A$3:$C$350,3,0),"")</f>
        <v/>
      </c>
      <c r="E382" s="63"/>
      <c r="F382" s="63" t="str">
        <f>IFERROR(INDEX(منتجات!$G$3:$G$350,MATCH(B382,منتجات!$A$3:$A$115,0)),"")</f>
        <v/>
      </c>
      <c r="G382" s="63" t="str">
        <f t="shared" si="7"/>
        <v/>
      </c>
      <c r="H382" s="69"/>
    </row>
    <row r="383" spans="1:8" x14ac:dyDescent="0.35">
      <c r="A383" s="64"/>
      <c r="B383" s="65"/>
      <c r="C383" s="65" t="str">
        <f>IFERROR(VLOOKUP(B383,منتجات!$A$3:$C$350,2,0),"")</f>
        <v/>
      </c>
      <c r="D383" s="65" t="str">
        <f>IFERROR(VLOOKUP(B383,منتجات!$A$3:$C$350,3,0),"")</f>
        <v/>
      </c>
      <c r="E383" s="65"/>
      <c r="F383" s="65" t="str">
        <f>IFERROR(INDEX(منتجات!$G$3:$G$350,MATCH(B383,منتجات!$A$3:$A$115,0)),"")</f>
        <v/>
      </c>
      <c r="G383" s="65" t="str">
        <f t="shared" si="7"/>
        <v/>
      </c>
      <c r="H383" s="70"/>
    </row>
    <row r="384" spans="1:8" x14ac:dyDescent="0.35">
      <c r="A384" s="62"/>
      <c r="B384" s="63"/>
      <c r="C384" s="63" t="str">
        <f>IFERROR(VLOOKUP(B384,منتجات!$A$3:$C$350,2,0),"")</f>
        <v/>
      </c>
      <c r="D384" s="63" t="str">
        <f>IFERROR(VLOOKUP(B384,منتجات!$A$3:$C$350,3,0),"")</f>
        <v/>
      </c>
      <c r="E384" s="63"/>
      <c r="F384" s="63" t="str">
        <f>IFERROR(INDEX(منتجات!$G$3:$G$350,MATCH(B384,منتجات!$A$3:$A$115,0)),"")</f>
        <v/>
      </c>
      <c r="G384" s="63" t="str">
        <f t="shared" si="7"/>
        <v/>
      </c>
      <c r="H384" s="69"/>
    </row>
    <row r="385" spans="1:8" x14ac:dyDescent="0.35">
      <c r="A385" s="64"/>
      <c r="B385" s="65"/>
      <c r="C385" s="65" t="str">
        <f>IFERROR(VLOOKUP(B385,منتجات!$A$3:$C$350,2,0),"")</f>
        <v/>
      </c>
      <c r="D385" s="65" t="str">
        <f>IFERROR(VLOOKUP(B385,منتجات!$A$3:$C$350,3,0),"")</f>
        <v/>
      </c>
      <c r="E385" s="65"/>
      <c r="F385" s="65" t="str">
        <f>IFERROR(INDEX(منتجات!$G$3:$G$350,MATCH(B385,منتجات!$A$3:$A$115,0)),"")</f>
        <v/>
      </c>
      <c r="G385" s="65" t="str">
        <f t="shared" si="7"/>
        <v/>
      </c>
      <c r="H385" s="70"/>
    </row>
    <row r="386" spans="1:8" x14ac:dyDescent="0.35">
      <c r="A386" s="62"/>
      <c r="B386" s="63"/>
      <c r="C386" s="63" t="str">
        <f>IFERROR(VLOOKUP(B386,منتجات!$A$3:$C$350,2,0),"")</f>
        <v/>
      </c>
      <c r="D386" s="63" t="str">
        <f>IFERROR(VLOOKUP(B386,منتجات!$A$3:$C$350,3,0),"")</f>
        <v/>
      </c>
      <c r="E386" s="63"/>
      <c r="F386" s="63" t="str">
        <f>IFERROR(INDEX(منتجات!$G$3:$G$350,MATCH(B386,منتجات!$A$3:$A$115,0)),"")</f>
        <v/>
      </c>
      <c r="G386" s="63" t="str">
        <f t="shared" si="7"/>
        <v/>
      </c>
      <c r="H386" s="69"/>
    </row>
    <row r="387" spans="1:8" x14ac:dyDescent="0.35">
      <c r="A387" s="64"/>
      <c r="B387" s="65"/>
      <c r="C387" s="65" t="str">
        <f>IFERROR(VLOOKUP(B387,منتجات!$A$3:$C$350,2,0),"")</f>
        <v/>
      </c>
      <c r="D387" s="65" t="str">
        <f>IFERROR(VLOOKUP(B387,منتجات!$A$3:$C$350,3,0),"")</f>
        <v/>
      </c>
      <c r="E387" s="65"/>
      <c r="F387" s="65" t="str">
        <f>IFERROR(INDEX(منتجات!$G$3:$G$350,MATCH(B387,منتجات!$A$3:$A$115,0)),"")</f>
        <v/>
      </c>
      <c r="G387" s="65" t="str">
        <f t="shared" si="7"/>
        <v/>
      </c>
      <c r="H387" s="70"/>
    </row>
    <row r="388" spans="1:8" x14ac:dyDescent="0.35">
      <c r="A388" s="62"/>
      <c r="B388" s="63"/>
      <c r="C388" s="63" t="str">
        <f>IFERROR(VLOOKUP(B388,منتجات!$A$3:$C$350,2,0),"")</f>
        <v/>
      </c>
      <c r="D388" s="63" t="str">
        <f>IFERROR(VLOOKUP(B388,منتجات!$A$3:$C$350,3,0),"")</f>
        <v/>
      </c>
      <c r="E388" s="63"/>
      <c r="F388" s="63" t="str">
        <f>IFERROR(INDEX(منتجات!$G$3:$G$350,MATCH(B388,منتجات!$A$3:$A$115,0)),"")</f>
        <v/>
      </c>
      <c r="G388" s="63" t="str">
        <f t="shared" si="7"/>
        <v/>
      </c>
      <c r="H388" s="69"/>
    </row>
    <row r="389" spans="1:8" x14ac:dyDescent="0.35">
      <c r="A389" s="64"/>
      <c r="B389" s="65"/>
      <c r="C389" s="65" t="str">
        <f>IFERROR(VLOOKUP(B389,منتجات!$A$3:$C$350,2,0),"")</f>
        <v/>
      </c>
      <c r="D389" s="65" t="str">
        <f>IFERROR(VLOOKUP(B389,منتجات!$A$3:$C$350,3,0),"")</f>
        <v/>
      </c>
      <c r="E389" s="65"/>
      <c r="F389" s="65" t="str">
        <f>IFERROR(INDEX(منتجات!$G$3:$G$350,MATCH(B389,منتجات!$A$3:$A$115,0)),"")</f>
        <v/>
      </c>
      <c r="G389" s="65" t="str">
        <f t="shared" si="7"/>
        <v/>
      </c>
      <c r="H389" s="70"/>
    </row>
    <row r="390" spans="1:8" x14ac:dyDescent="0.35">
      <c r="A390" s="62"/>
      <c r="B390" s="63"/>
      <c r="C390" s="63" t="str">
        <f>IFERROR(VLOOKUP(B390,منتجات!$A$3:$C$350,2,0),"")</f>
        <v/>
      </c>
      <c r="D390" s="63" t="str">
        <f>IFERROR(VLOOKUP(B390,منتجات!$A$3:$C$350,3,0),"")</f>
        <v/>
      </c>
      <c r="E390" s="63"/>
      <c r="F390" s="63" t="str">
        <f>IFERROR(INDEX(منتجات!$G$3:$G$350,MATCH(B390,منتجات!$A$3:$A$115,0)),"")</f>
        <v/>
      </c>
      <c r="G390" s="63" t="str">
        <f t="shared" ref="G390:G453" si="8">IFERROR(E390*F390*D390,"")</f>
        <v/>
      </c>
      <c r="H390" s="69"/>
    </row>
    <row r="391" spans="1:8" x14ac:dyDescent="0.35">
      <c r="A391" s="64"/>
      <c r="B391" s="65"/>
      <c r="C391" s="65" t="str">
        <f>IFERROR(VLOOKUP(B391,منتجات!$A$3:$C$350,2,0),"")</f>
        <v/>
      </c>
      <c r="D391" s="65" t="str">
        <f>IFERROR(VLOOKUP(B391,منتجات!$A$3:$C$350,3,0),"")</f>
        <v/>
      </c>
      <c r="E391" s="65"/>
      <c r="F391" s="65" t="str">
        <f>IFERROR(INDEX(منتجات!$G$3:$G$350,MATCH(B391,منتجات!$A$3:$A$115,0)),"")</f>
        <v/>
      </c>
      <c r="G391" s="65" t="str">
        <f t="shared" si="8"/>
        <v/>
      </c>
      <c r="H391" s="70"/>
    </row>
    <row r="392" spans="1:8" x14ac:dyDescent="0.35">
      <c r="A392" s="62"/>
      <c r="B392" s="63"/>
      <c r="C392" s="63" t="str">
        <f>IFERROR(VLOOKUP(B392,منتجات!$A$3:$C$350,2,0),"")</f>
        <v/>
      </c>
      <c r="D392" s="63" t="str">
        <f>IFERROR(VLOOKUP(B392,منتجات!$A$3:$C$350,3,0),"")</f>
        <v/>
      </c>
      <c r="E392" s="63"/>
      <c r="F392" s="63" t="str">
        <f>IFERROR(INDEX(منتجات!$G$3:$G$350,MATCH(B392,منتجات!$A$3:$A$115,0)),"")</f>
        <v/>
      </c>
      <c r="G392" s="63" t="str">
        <f t="shared" si="8"/>
        <v/>
      </c>
      <c r="H392" s="69"/>
    </row>
    <row r="393" spans="1:8" x14ac:dyDescent="0.35">
      <c r="A393" s="64"/>
      <c r="B393" s="65"/>
      <c r="C393" s="65" t="str">
        <f>IFERROR(VLOOKUP(B393,منتجات!$A$3:$C$350,2,0),"")</f>
        <v/>
      </c>
      <c r="D393" s="65" t="str">
        <f>IFERROR(VLOOKUP(B393,منتجات!$A$3:$C$350,3,0),"")</f>
        <v/>
      </c>
      <c r="E393" s="65"/>
      <c r="F393" s="65" t="str">
        <f>IFERROR(INDEX(منتجات!$G$3:$G$350,MATCH(B393,منتجات!$A$3:$A$115,0)),"")</f>
        <v/>
      </c>
      <c r="G393" s="65" t="str">
        <f t="shared" si="8"/>
        <v/>
      </c>
      <c r="H393" s="70"/>
    </row>
    <row r="394" spans="1:8" x14ac:dyDescent="0.35">
      <c r="A394" s="62"/>
      <c r="B394" s="63"/>
      <c r="C394" s="63" t="str">
        <f>IFERROR(VLOOKUP(B394,منتجات!$A$3:$C$350,2,0),"")</f>
        <v/>
      </c>
      <c r="D394" s="63" t="str">
        <f>IFERROR(VLOOKUP(B394,منتجات!$A$3:$C$350,3,0),"")</f>
        <v/>
      </c>
      <c r="E394" s="63"/>
      <c r="F394" s="63" t="str">
        <f>IFERROR(INDEX(منتجات!$G$3:$G$350,MATCH(B394,منتجات!$A$3:$A$115,0)),"")</f>
        <v/>
      </c>
      <c r="G394" s="63" t="str">
        <f t="shared" si="8"/>
        <v/>
      </c>
      <c r="H394" s="69"/>
    </row>
    <row r="395" spans="1:8" x14ac:dyDescent="0.35">
      <c r="A395" s="64"/>
      <c r="B395" s="65"/>
      <c r="C395" s="65" t="str">
        <f>IFERROR(VLOOKUP(B395,منتجات!$A$3:$C$350,2,0),"")</f>
        <v/>
      </c>
      <c r="D395" s="65" t="str">
        <f>IFERROR(VLOOKUP(B395,منتجات!$A$3:$C$350,3,0),"")</f>
        <v/>
      </c>
      <c r="E395" s="65"/>
      <c r="F395" s="65" t="str">
        <f>IFERROR(INDEX(منتجات!$G$3:$G$350,MATCH(B395,منتجات!$A$3:$A$115,0)),"")</f>
        <v/>
      </c>
      <c r="G395" s="65" t="str">
        <f t="shared" si="8"/>
        <v/>
      </c>
      <c r="H395" s="70"/>
    </row>
    <row r="396" spans="1:8" x14ac:dyDescent="0.35">
      <c r="A396" s="62"/>
      <c r="B396" s="63"/>
      <c r="C396" s="63" t="str">
        <f>IFERROR(VLOOKUP(B396,منتجات!$A$3:$C$350,2,0),"")</f>
        <v/>
      </c>
      <c r="D396" s="63" t="str">
        <f>IFERROR(VLOOKUP(B396,منتجات!$A$3:$C$350,3,0),"")</f>
        <v/>
      </c>
      <c r="E396" s="63"/>
      <c r="F396" s="63" t="str">
        <f>IFERROR(INDEX(منتجات!$G$3:$G$350,MATCH(B396,منتجات!$A$3:$A$115,0)),"")</f>
        <v/>
      </c>
      <c r="G396" s="63" t="str">
        <f t="shared" si="8"/>
        <v/>
      </c>
      <c r="H396" s="69"/>
    </row>
    <row r="397" spans="1:8" x14ac:dyDescent="0.35">
      <c r="A397" s="64"/>
      <c r="B397" s="65"/>
      <c r="C397" s="65" t="str">
        <f>IFERROR(VLOOKUP(B397,منتجات!$A$3:$C$350,2,0),"")</f>
        <v/>
      </c>
      <c r="D397" s="65" t="str">
        <f>IFERROR(VLOOKUP(B397,منتجات!$A$3:$C$350,3,0),"")</f>
        <v/>
      </c>
      <c r="E397" s="65"/>
      <c r="F397" s="65" t="str">
        <f>IFERROR(INDEX(منتجات!$G$3:$G$350,MATCH(B397,منتجات!$A$3:$A$115,0)),"")</f>
        <v/>
      </c>
      <c r="G397" s="65" t="str">
        <f t="shared" si="8"/>
        <v/>
      </c>
      <c r="H397" s="70"/>
    </row>
    <row r="398" spans="1:8" x14ac:dyDescent="0.35">
      <c r="A398" s="62"/>
      <c r="B398" s="63"/>
      <c r="C398" s="63" t="str">
        <f>IFERROR(VLOOKUP(B398,منتجات!$A$3:$C$350,2,0),"")</f>
        <v/>
      </c>
      <c r="D398" s="63" t="str">
        <f>IFERROR(VLOOKUP(B398,منتجات!$A$3:$C$350,3,0),"")</f>
        <v/>
      </c>
      <c r="E398" s="63"/>
      <c r="F398" s="63" t="str">
        <f>IFERROR(INDEX(منتجات!$G$3:$G$350,MATCH(B398,منتجات!$A$3:$A$115,0)),"")</f>
        <v/>
      </c>
      <c r="G398" s="63" t="str">
        <f t="shared" si="8"/>
        <v/>
      </c>
      <c r="H398" s="69"/>
    </row>
    <row r="399" spans="1:8" x14ac:dyDescent="0.35">
      <c r="A399" s="64"/>
      <c r="B399" s="65"/>
      <c r="C399" s="65" t="str">
        <f>IFERROR(VLOOKUP(B399,منتجات!$A$3:$C$350,2,0),"")</f>
        <v/>
      </c>
      <c r="D399" s="65" t="str">
        <f>IFERROR(VLOOKUP(B399,منتجات!$A$3:$C$350,3,0),"")</f>
        <v/>
      </c>
      <c r="E399" s="65"/>
      <c r="F399" s="65" t="str">
        <f>IFERROR(INDEX(منتجات!$G$3:$G$350,MATCH(B399,منتجات!$A$3:$A$115,0)),"")</f>
        <v/>
      </c>
      <c r="G399" s="65" t="str">
        <f t="shared" si="8"/>
        <v/>
      </c>
      <c r="H399" s="70"/>
    </row>
    <row r="400" spans="1:8" x14ac:dyDescent="0.35">
      <c r="A400" s="62"/>
      <c r="B400" s="63"/>
      <c r="C400" s="63" t="str">
        <f>IFERROR(VLOOKUP(B400,منتجات!$A$3:$C$350,2,0),"")</f>
        <v/>
      </c>
      <c r="D400" s="63" t="str">
        <f>IFERROR(VLOOKUP(B400,منتجات!$A$3:$C$350,3,0),"")</f>
        <v/>
      </c>
      <c r="E400" s="63"/>
      <c r="F400" s="63" t="str">
        <f>IFERROR(INDEX(منتجات!$G$3:$G$350,MATCH(B400,منتجات!$A$3:$A$115,0)),"")</f>
        <v/>
      </c>
      <c r="G400" s="63" t="str">
        <f t="shared" si="8"/>
        <v/>
      </c>
      <c r="H400" s="69"/>
    </row>
    <row r="401" spans="1:8" x14ac:dyDescent="0.35">
      <c r="A401" s="64"/>
      <c r="B401" s="65"/>
      <c r="C401" s="65" t="str">
        <f>IFERROR(VLOOKUP(B401,منتجات!$A$3:$C$350,2,0),"")</f>
        <v/>
      </c>
      <c r="D401" s="65" t="str">
        <f>IFERROR(VLOOKUP(B401,منتجات!$A$3:$C$350,3,0),"")</f>
        <v/>
      </c>
      <c r="E401" s="65"/>
      <c r="F401" s="65" t="str">
        <f>IFERROR(INDEX(منتجات!$G$3:$G$350,MATCH(B401,منتجات!$A$3:$A$115,0)),"")</f>
        <v/>
      </c>
      <c r="G401" s="65" t="str">
        <f t="shared" si="8"/>
        <v/>
      </c>
      <c r="H401" s="70"/>
    </row>
    <row r="402" spans="1:8" x14ac:dyDescent="0.35">
      <c r="A402" s="62"/>
      <c r="B402" s="63"/>
      <c r="C402" s="63" t="str">
        <f>IFERROR(VLOOKUP(B402,منتجات!$A$3:$C$350,2,0),"")</f>
        <v/>
      </c>
      <c r="D402" s="63" t="str">
        <f>IFERROR(VLOOKUP(B402,منتجات!$A$3:$C$350,3,0),"")</f>
        <v/>
      </c>
      <c r="E402" s="63"/>
      <c r="F402" s="63" t="str">
        <f>IFERROR(INDEX(منتجات!$G$3:$G$350,MATCH(B402,منتجات!$A$3:$A$115,0)),"")</f>
        <v/>
      </c>
      <c r="G402" s="63" t="str">
        <f t="shared" si="8"/>
        <v/>
      </c>
      <c r="H402" s="69"/>
    </row>
    <row r="403" spans="1:8" x14ac:dyDescent="0.35">
      <c r="A403" s="64"/>
      <c r="B403" s="65"/>
      <c r="C403" s="65" t="str">
        <f>IFERROR(VLOOKUP(B403,منتجات!$A$3:$C$350,2,0),"")</f>
        <v/>
      </c>
      <c r="D403" s="65" t="str">
        <f>IFERROR(VLOOKUP(B403,منتجات!$A$3:$C$350,3,0),"")</f>
        <v/>
      </c>
      <c r="E403" s="65"/>
      <c r="F403" s="65" t="str">
        <f>IFERROR(INDEX(منتجات!$G$3:$G$350,MATCH(B403,منتجات!$A$3:$A$115,0)),"")</f>
        <v/>
      </c>
      <c r="G403" s="65" t="str">
        <f t="shared" si="8"/>
        <v/>
      </c>
      <c r="H403" s="70"/>
    </row>
    <row r="404" spans="1:8" x14ac:dyDescent="0.35">
      <c r="A404" s="62"/>
      <c r="B404" s="63"/>
      <c r="C404" s="63" t="str">
        <f>IFERROR(VLOOKUP(B404,منتجات!$A$3:$C$350,2,0),"")</f>
        <v/>
      </c>
      <c r="D404" s="63" t="str">
        <f>IFERROR(VLOOKUP(B404,منتجات!$A$3:$C$350,3,0),"")</f>
        <v/>
      </c>
      <c r="E404" s="63"/>
      <c r="F404" s="63" t="str">
        <f>IFERROR(INDEX(منتجات!$G$3:$G$350,MATCH(B404,منتجات!$A$3:$A$115,0)),"")</f>
        <v/>
      </c>
      <c r="G404" s="63" t="str">
        <f t="shared" si="8"/>
        <v/>
      </c>
      <c r="H404" s="69"/>
    </row>
    <row r="405" spans="1:8" x14ac:dyDescent="0.35">
      <c r="A405" s="64"/>
      <c r="B405" s="65"/>
      <c r="C405" s="65" t="str">
        <f>IFERROR(VLOOKUP(B405,منتجات!$A$3:$C$350,2,0),"")</f>
        <v/>
      </c>
      <c r="D405" s="65" t="str">
        <f>IFERROR(VLOOKUP(B405,منتجات!$A$3:$C$350,3,0),"")</f>
        <v/>
      </c>
      <c r="E405" s="65"/>
      <c r="F405" s="65" t="str">
        <f>IFERROR(INDEX(منتجات!$G$3:$G$350,MATCH(B405,منتجات!$A$3:$A$115,0)),"")</f>
        <v/>
      </c>
      <c r="G405" s="65" t="str">
        <f t="shared" si="8"/>
        <v/>
      </c>
      <c r="H405" s="70"/>
    </row>
    <row r="406" spans="1:8" x14ac:dyDescent="0.35">
      <c r="A406" s="62"/>
      <c r="B406" s="63"/>
      <c r="C406" s="63" t="str">
        <f>IFERROR(VLOOKUP(B406,منتجات!$A$3:$C$350,2,0),"")</f>
        <v/>
      </c>
      <c r="D406" s="63" t="str">
        <f>IFERROR(VLOOKUP(B406,منتجات!$A$3:$C$350,3,0),"")</f>
        <v/>
      </c>
      <c r="E406" s="63"/>
      <c r="F406" s="63" t="str">
        <f>IFERROR(INDEX(منتجات!$G$3:$G$350,MATCH(B406,منتجات!$A$3:$A$115,0)),"")</f>
        <v/>
      </c>
      <c r="G406" s="63" t="str">
        <f t="shared" si="8"/>
        <v/>
      </c>
      <c r="H406" s="69"/>
    </row>
    <row r="407" spans="1:8" x14ac:dyDescent="0.35">
      <c r="A407" s="64"/>
      <c r="B407" s="65"/>
      <c r="C407" s="65" t="str">
        <f>IFERROR(VLOOKUP(B407,منتجات!$A$3:$C$350,2,0),"")</f>
        <v/>
      </c>
      <c r="D407" s="65" t="str">
        <f>IFERROR(VLOOKUP(B407,منتجات!$A$3:$C$350,3,0),"")</f>
        <v/>
      </c>
      <c r="E407" s="65"/>
      <c r="F407" s="65" t="str">
        <f>IFERROR(INDEX(منتجات!$G$3:$G$350,MATCH(B407,منتجات!$A$3:$A$115,0)),"")</f>
        <v/>
      </c>
      <c r="G407" s="65" t="str">
        <f t="shared" si="8"/>
        <v/>
      </c>
      <c r="H407" s="70"/>
    </row>
    <row r="408" spans="1:8" x14ac:dyDescent="0.35">
      <c r="A408" s="62"/>
      <c r="B408" s="63"/>
      <c r="C408" s="63" t="str">
        <f>IFERROR(VLOOKUP(B408,منتجات!$A$3:$C$350,2,0),"")</f>
        <v/>
      </c>
      <c r="D408" s="63" t="str">
        <f>IFERROR(VLOOKUP(B408,منتجات!$A$3:$C$350,3,0),"")</f>
        <v/>
      </c>
      <c r="E408" s="63"/>
      <c r="F408" s="63" t="str">
        <f>IFERROR(INDEX(منتجات!$G$3:$G$350,MATCH(B408,منتجات!$A$3:$A$115,0)),"")</f>
        <v/>
      </c>
      <c r="G408" s="63" t="str">
        <f t="shared" si="8"/>
        <v/>
      </c>
      <c r="H408" s="69"/>
    </row>
    <row r="409" spans="1:8" x14ac:dyDescent="0.35">
      <c r="A409" s="64"/>
      <c r="B409" s="65"/>
      <c r="C409" s="65" t="str">
        <f>IFERROR(VLOOKUP(B409,منتجات!$A$3:$C$350,2,0),"")</f>
        <v/>
      </c>
      <c r="D409" s="65" t="str">
        <f>IFERROR(VLOOKUP(B409,منتجات!$A$3:$C$350,3,0),"")</f>
        <v/>
      </c>
      <c r="E409" s="65"/>
      <c r="F409" s="65" t="str">
        <f>IFERROR(INDEX(منتجات!$G$3:$G$350,MATCH(B409,منتجات!$A$3:$A$115,0)),"")</f>
        <v/>
      </c>
      <c r="G409" s="65" t="str">
        <f t="shared" si="8"/>
        <v/>
      </c>
      <c r="H409" s="70"/>
    </row>
    <row r="410" spans="1:8" x14ac:dyDescent="0.35">
      <c r="A410" s="62"/>
      <c r="B410" s="63"/>
      <c r="C410" s="63" t="str">
        <f>IFERROR(VLOOKUP(B410,منتجات!$A$3:$C$350,2,0),"")</f>
        <v/>
      </c>
      <c r="D410" s="63" t="str">
        <f>IFERROR(VLOOKUP(B410,منتجات!$A$3:$C$350,3,0),"")</f>
        <v/>
      </c>
      <c r="E410" s="63"/>
      <c r="F410" s="63" t="str">
        <f>IFERROR(INDEX(منتجات!$G$3:$G$350,MATCH(B410,منتجات!$A$3:$A$115,0)),"")</f>
        <v/>
      </c>
      <c r="G410" s="63" t="str">
        <f t="shared" si="8"/>
        <v/>
      </c>
      <c r="H410" s="69"/>
    </row>
    <row r="411" spans="1:8" x14ac:dyDescent="0.35">
      <c r="A411" s="64"/>
      <c r="B411" s="65"/>
      <c r="C411" s="65" t="str">
        <f>IFERROR(VLOOKUP(B411,منتجات!$A$3:$C$350,2,0),"")</f>
        <v/>
      </c>
      <c r="D411" s="65" t="str">
        <f>IFERROR(VLOOKUP(B411,منتجات!$A$3:$C$350,3,0),"")</f>
        <v/>
      </c>
      <c r="E411" s="65"/>
      <c r="F411" s="65" t="str">
        <f>IFERROR(INDEX(منتجات!$G$3:$G$350,MATCH(B411,منتجات!$A$3:$A$115,0)),"")</f>
        <v/>
      </c>
      <c r="G411" s="65" t="str">
        <f t="shared" si="8"/>
        <v/>
      </c>
      <c r="H411" s="70"/>
    </row>
    <row r="412" spans="1:8" x14ac:dyDescent="0.35">
      <c r="A412" s="62"/>
      <c r="B412" s="63"/>
      <c r="C412" s="63" t="str">
        <f>IFERROR(VLOOKUP(B412,منتجات!$A$3:$C$350,2,0),"")</f>
        <v/>
      </c>
      <c r="D412" s="63" t="str">
        <f>IFERROR(VLOOKUP(B412,منتجات!$A$3:$C$350,3,0),"")</f>
        <v/>
      </c>
      <c r="E412" s="63"/>
      <c r="F412" s="63" t="str">
        <f>IFERROR(INDEX(منتجات!$G$3:$G$350,MATCH(B412,منتجات!$A$3:$A$115,0)),"")</f>
        <v/>
      </c>
      <c r="G412" s="63" t="str">
        <f t="shared" si="8"/>
        <v/>
      </c>
      <c r="H412" s="69"/>
    </row>
    <row r="413" spans="1:8" x14ac:dyDescent="0.35">
      <c r="A413" s="64"/>
      <c r="B413" s="65"/>
      <c r="C413" s="65" t="str">
        <f>IFERROR(VLOOKUP(B413,منتجات!$A$3:$C$350,2,0),"")</f>
        <v/>
      </c>
      <c r="D413" s="65" t="str">
        <f>IFERROR(VLOOKUP(B413,منتجات!$A$3:$C$350,3,0),"")</f>
        <v/>
      </c>
      <c r="E413" s="65"/>
      <c r="F413" s="65" t="str">
        <f>IFERROR(INDEX(منتجات!$G$3:$G$350,MATCH(B413,منتجات!$A$3:$A$115,0)),"")</f>
        <v/>
      </c>
      <c r="G413" s="65" t="str">
        <f t="shared" si="8"/>
        <v/>
      </c>
      <c r="H413" s="70"/>
    </row>
    <row r="414" spans="1:8" x14ac:dyDescent="0.35">
      <c r="A414" s="62"/>
      <c r="B414" s="63"/>
      <c r="C414" s="63" t="str">
        <f>IFERROR(VLOOKUP(B414,منتجات!$A$3:$C$350,2,0),"")</f>
        <v/>
      </c>
      <c r="D414" s="63" t="str">
        <f>IFERROR(VLOOKUP(B414,منتجات!$A$3:$C$350,3,0),"")</f>
        <v/>
      </c>
      <c r="E414" s="63"/>
      <c r="F414" s="63" t="str">
        <f>IFERROR(INDEX(منتجات!$G$3:$G$350,MATCH(B414,منتجات!$A$3:$A$115,0)),"")</f>
        <v/>
      </c>
      <c r="G414" s="63" t="str">
        <f t="shared" si="8"/>
        <v/>
      </c>
      <c r="H414" s="69"/>
    </row>
    <row r="415" spans="1:8" x14ac:dyDescent="0.35">
      <c r="A415" s="64"/>
      <c r="B415" s="65"/>
      <c r="C415" s="65" t="str">
        <f>IFERROR(VLOOKUP(B415,منتجات!$A$3:$C$350,2,0),"")</f>
        <v/>
      </c>
      <c r="D415" s="65" t="str">
        <f>IFERROR(VLOOKUP(B415,منتجات!$A$3:$C$350,3,0),"")</f>
        <v/>
      </c>
      <c r="E415" s="65"/>
      <c r="F415" s="65" t="str">
        <f>IFERROR(INDEX(منتجات!$G$3:$G$350,MATCH(B415,منتجات!$A$3:$A$115,0)),"")</f>
        <v/>
      </c>
      <c r="G415" s="65" t="str">
        <f t="shared" si="8"/>
        <v/>
      </c>
      <c r="H415" s="70"/>
    </row>
    <row r="416" spans="1:8" x14ac:dyDescent="0.35">
      <c r="A416" s="62"/>
      <c r="B416" s="63"/>
      <c r="C416" s="63" t="str">
        <f>IFERROR(VLOOKUP(B416,منتجات!$A$3:$C$350,2,0),"")</f>
        <v/>
      </c>
      <c r="D416" s="63" t="str">
        <f>IFERROR(VLOOKUP(B416,منتجات!$A$3:$C$350,3,0),"")</f>
        <v/>
      </c>
      <c r="E416" s="63"/>
      <c r="F416" s="63" t="str">
        <f>IFERROR(INDEX(منتجات!$G$3:$G$350,MATCH(B416,منتجات!$A$3:$A$115,0)),"")</f>
        <v/>
      </c>
      <c r="G416" s="63" t="str">
        <f t="shared" si="8"/>
        <v/>
      </c>
      <c r="H416" s="69"/>
    </row>
    <row r="417" spans="1:8" x14ac:dyDescent="0.35">
      <c r="A417" s="64"/>
      <c r="B417" s="65"/>
      <c r="C417" s="65" t="str">
        <f>IFERROR(VLOOKUP(B417,منتجات!$A$3:$C$350,2,0),"")</f>
        <v/>
      </c>
      <c r="D417" s="65" t="str">
        <f>IFERROR(VLOOKUP(B417,منتجات!$A$3:$C$350,3,0),"")</f>
        <v/>
      </c>
      <c r="E417" s="65"/>
      <c r="F417" s="65" t="str">
        <f>IFERROR(INDEX(منتجات!$G$3:$G$350,MATCH(B417,منتجات!$A$3:$A$115,0)),"")</f>
        <v/>
      </c>
      <c r="G417" s="65" t="str">
        <f t="shared" si="8"/>
        <v/>
      </c>
      <c r="H417" s="70"/>
    </row>
    <row r="418" spans="1:8" x14ac:dyDescent="0.35">
      <c r="A418" s="62"/>
      <c r="B418" s="63"/>
      <c r="C418" s="63" t="str">
        <f>IFERROR(VLOOKUP(B418,منتجات!$A$3:$C$350,2,0),"")</f>
        <v/>
      </c>
      <c r="D418" s="63" t="str">
        <f>IFERROR(VLOOKUP(B418,منتجات!$A$3:$C$350,3,0),"")</f>
        <v/>
      </c>
      <c r="E418" s="63"/>
      <c r="F418" s="63" t="str">
        <f>IFERROR(INDEX(منتجات!$G$3:$G$350,MATCH(B418,منتجات!$A$3:$A$115,0)),"")</f>
        <v/>
      </c>
      <c r="G418" s="63" t="str">
        <f t="shared" si="8"/>
        <v/>
      </c>
      <c r="H418" s="69"/>
    </row>
    <row r="419" spans="1:8" x14ac:dyDescent="0.35">
      <c r="A419" s="64"/>
      <c r="B419" s="65"/>
      <c r="C419" s="65" t="str">
        <f>IFERROR(VLOOKUP(B419,منتجات!$A$3:$C$350,2,0),"")</f>
        <v/>
      </c>
      <c r="D419" s="65" t="str">
        <f>IFERROR(VLOOKUP(B419,منتجات!$A$3:$C$350,3,0),"")</f>
        <v/>
      </c>
      <c r="E419" s="65"/>
      <c r="F419" s="65" t="str">
        <f>IFERROR(INDEX(منتجات!$G$3:$G$350,MATCH(B419,منتجات!$A$3:$A$115,0)),"")</f>
        <v/>
      </c>
      <c r="G419" s="65" t="str">
        <f t="shared" si="8"/>
        <v/>
      </c>
      <c r="H419" s="70"/>
    </row>
    <row r="420" spans="1:8" x14ac:dyDescent="0.35">
      <c r="A420" s="62"/>
      <c r="B420" s="63"/>
      <c r="C420" s="63" t="str">
        <f>IFERROR(VLOOKUP(B420,منتجات!$A$3:$C$350,2,0),"")</f>
        <v/>
      </c>
      <c r="D420" s="63" t="str">
        <f>IFERROR(VLOOKUP(B420,منتجات!$A$3:$C$350,3,0),"")</f>
        <v/>
      </c>
      <c r="E420" s="63"/>
      <c r="F420" s="63" t="str">
        <f>IFERROR(INDEX(منتجات!$G$3:$G$350,MATCH(B420,منتجات!$A$3:$A$115,0)),"")</f>
        <v/>
      </c>
      <c r="G420" s="63" t="str">
        <f t="shared" si="8"/>
        <v/>
      </c>
      <c r="H420" s="69"/>
    </row>
    <row r="421" spans="1:8" x14ac:dyDescent="0.35">
      <c r="A421" s="64"/>
      <c r="B421" s="65"/>
      <c r="C421" s="65" t="str">
        <f>IFERROR(VLOOKUP(B421,منتجات!$A$3:$C$350,2,0),"")</f>
        <v/>
      </c>
      <c r="D421" s="65" t="str">
        <f>IFERROR(VLOOKUP(B421,منتجات!$A$3:$C$350,3,0),"")</f>
        <v/>
      </c>
      <c r="E421" s="65"/>
      <c r="F421" s="65" t="str">
        <f>IFERROR(INDEX(منتجات!$G$3:$G$350,MATCH(B421,منتجات!$A$3:$A$115,0)),"")</f>
        <v/>
      </c>
      <c r="G421" s="65" t="str">
        <f t="shared" si="8"/>
        <v/>
      </c>
      <c r="H421" s="70"/>
    </row>
    <row r="422" spans="1:8" x14ac:dyDescent="0.35">
      <c r="A422" s="62"/>
      <c r="B422" s="63"/>
      <c r="C422" s="63" t="str">
        <f>IFERROR(VLOOKUP(B422,منتجات!$A$3:$C$350,2,0),"")</f>
        <v/>
      </c>
      <c r="D422" s="63" t="str">
        <f>IFERROR(VLOOKUP(B422,منتجات!$A$3:$C$350,3,0),"")</f>
        <v/>
      </c>
      <c r="E422" s="63"/>
      <c r="F422" s="63" t="str">
        <f>IFERROR(INDEX(منتجات!$G$3:$G$350,MATCH(B422,منتجات!$A$3:$A$115,0)),"")</f>
        <v/>
      </c>
      <c r="G422" s="63" t="str">
        <f t="shared" si="8"/>
        <v/>
      </c>
      <c r="H422" s="69"/>
    </row>
    <row r="423" spans="1:8" x14ac:dyDescent="0.35">
      <c r="A423" s="64"/>
      <c r="B423" s="65"/>
      <c r="C423" s="65" t="str">
        <f>IFERROR(VLOOKUP(B423,منتجات!$A$3:$C$350,2,0),"")</f>
        <v/>
      </c>
      <c r="D423" s="65" t="str">
        <f>IFERROR(VLOOKUP(B423,منتجات!$A$3:$C$350,3,0),"")</f>
        <v/>
      </c>
      <c r="E423" s="65"/>
      <c r="F423" s="65" t="str">
        <f>IFERROR(INDEX(منتجات!$G$3:$G$350,MATCH(B423,منتجات!$A$3:$A$115,0)),"")</f>
        <v/>
      </c>
      <c r="G423" s="65" t="str">
        <f t="shared" si="8"/>
        <v/>
      </c>
      <c r="H423" s="70"/>
    </row>
    <row r="424" spans="1:8" x14ac:dyDescent="0.35">
      <c r="A424" s="62"/>
      <c r="B424" s="63"/>
      <c r="C424" s="63" t="str">
        <f>IFERROR(VLOOKUP(B424,منتجات!$A$3:$C$350,2,0),"")</f>
        <v/>
      </c>
      <c r="D424" s="63" t="str">
        <f>IFERROR(VLOOKUP(B424,منتجات!$A$3:$C$350,3,0),"")</f>
        <v/>
      </c>
      <c r="E424" s="63"/>
      <c r="F424" s="63" t="str">
        <f>IFERROR(INDEX(منتجات!$G$3:$G$350,MATCH(B424,منتجات!$A$3:$A$115,0)),"")</f>
        <v/>
      </c>
      <c r="G424" s="63" t="str">
        <f t="shared" si="8"/>
        <v/>
      </c>
      <c r="H424" s="69"/>
    </row>
    <row r="425" spans="1:8" x14ac:dyDescent="0.35">
      <c r="A425" s="64"/>
      <c r="B425" s="65"/>
      <c r="C425" s="65" t="str">
        <f>IFERROR(VLOOKUP(B425,منتجات!$A$3:$C$350,2,0),"")</f>
        <v/>
      </c>
      <c r="D425" s="65" t="str">
        <f>IFERROR(VLOOKUP(B425,منتجات!$A$3:$C$350,3,0),"")</f>
        <v/>
      </c>
      <c r="E425" s="65"/>
      <c r="F425" s="65" t="str">
        <f>IFERROR(INDEX(منتجات!$G$3:$G$350,MATCH(B425,منتجات!$A$3:$A$115,0)),"")</f>
        <v/>
      </c>
      <c r="G425" s="65" t="str">
        <f t="shared" si="8"/>
        <v/>
      </c>
      <c r="H425" s="70"/>
    </row>
    <row r="426" spans="1:8" x14ac:dyDescent="0.35">
      <c r="A426" s="62"/>
      <c r="B426" s="63"/>
      <c r="C426" s="63" t="str">
        <f>IFERROR(VLOOKUP(B426,منتجات!$A$3:$C$350,2,0),"")</f>
        <v/>
      </c>
      <c r="D426" s="63" t="str">
        <f>IFERROR(VLOOKUP(B426,منتجات!$A$3:$C$350,3,0),"")</f>
        <v/>
      </c>
      <c r="E426" s="63"/>
      <c r="F426" s="63" t="str">
        <f>IFERROR(INDEX(منتجات!$G$3:$G$350,MATCH(B426,منتجات!$A$3:$A$115,0)),"")</f>
        <v/>
      </c>
      <c r="G426" s="63" t="str">
        <f t="shared" si="8"/>
        <v/>
      </c>
      <c r="H426" s="69"/>
    </row>
    <row r="427" spans="1:8" x14ac:dyDescent="0.35">
      <c r="A427" s="64"/>
      <c r="B427" s="65"/>
      <c r="C427" s="65" t="str">
        <f>IFERROR(VLOOKUP(B427,منتجات!$A$3:$C$350,2,0),"")</f>
        <v/>
      </c>
      <c r="D427" s="65" t="str">
        <f>IFERROR(VLOOKUP(B427,منتجات!$A$3:$C$350,3,0),"")</f>
        <v/>
      </c>
      <c r="E427" s="65"/>
      <c r="F427" s="65" t="str">
        <f>IFERROR(INDEX(منتجات!$G$3:$G$350,MATCH(B427,منتجات!$A$3:$A$115,0)),"")</f>
        <v/>
      </c>
      <c r="G427" s="65" t="str">
        <f t="shared" si="8"/>
        <v/>
      </c>
      <c r="H427" s="70"/>
    </row>
    <row r="428" spans="1:8" x14ac:dyDescent="0.35">
      <c r="A428" s="62"/>
      <c r="B428" s="63"/>
      <c r="C428" s="63" t="str">
        <f>IFERROR(VLOOKUP(B428,منتجات!$A$3:$C$350,2,0),"")</f>
        <v/>
      </c>
      <c r="D428" s="63" t="str">
        <f>IFERROR(VLOOKUP(B428,منتجات!$A$3:$C$350,3,0),"")</f>
        <v/>
      </c>
      <c r="E428" s="63"/>
      <c r="F428" s="63" t="str">
        <f>IFERROR(INDEX(منتجات!$G$3:$G$350,MATCH(B428,منتجات!$A$3:$A$115,0)),"")</f>
        <v/>
      </c>
      <c r="G428" s="63" t="str">
        <f t="shared" si="8"/>
        <v/>
      </c>
      <c r="H428" s="69"/>
    </row>
    <row r="429" spans="1:8" x14ac:dyDescent="0.35">
      <c r="A429" s="64"/>
      <c r="B429" s="65"/>
      <c r="C429" s="65" t="str">
        <f>IFERROR(VLOOKUP(B429,منتجات!$A$3:$C$350,2,0),"")</f>
        <v/>
      </c>
      <c r="D429" s="65" t="str">
        <f>IFERROR(VLOOKUP(B429,منتجات!$A$3:$C$350,3,0),"")</f>
        <v/>
      </c>
      <c r="E429" s="65"/>
      <c r="F429" s="65" t="str">
        <f>IFERROR(INDEX(منتجات!$G$3:$G$350,MATCH(B429,منتجات!$A$3:$A$115,0)),"")</f>
        <v/>
      </c>
      <c r="G429" s="65" t="str">
        <f t="shared" si="8"/>
        <v/>
      </c>
      <c r="H429" s="70"/>
    </row>
    <row r="430" spans="1:8" x14ac:dyDescent="0.35">
      <c r="A430" s="62"/>
      <c r="B430" s="63"/>
      <c r="C430" s="63" t="str">
        <f>IFERROR(VLOOKUP(B430,منتجات!$A$3:$C$350,2,0),"")</f>
        <v/>
      </c>
      <c r="D430" s="63" t="str">
        <f>IFERROR(VLOOKUP(B430,منتجات!$A$3:$C$350,3,0),"")</f>
        <v/>
      </c>
      <c r="E430" s="63"/>
      <c r="F430" s="63" t="str">
        <f>IFERROR(INDEX(منتجات!$G$3:$G$350,MATCH(B430,منتجات!$A$3:$A$115,0)),"")</f>
        <v/>
      </c>
      <c r="G430" s="63" t="str">
        <f t="shared" si="8"/>
        <v/>
      </c>
      <c r="H430" s="69"/>
    </row>
    <row r="431" spans="1:8" x14ac:dyDescent="0.35">
      <c r="A431" s="64"/>
      <c r="B431" s="65"/>
      <c r="C431" s="65" t="str">
        <f>IFERROR(VLOOKUP(B431,منتجات!$A$3:$C$350,2,0),"")</f>
        <v/>
      </c>
      <c r="D431" s="65" t="str">
        <f>IFERROR(VLOOKUP(B431,منتجات!$A$3:$C$350,3,0),"")</f>
        <v/>
      </c>
      <c r="E431" s="65"/>
      <c r="F431" s="65" t="str">
        <f>IFERROR(INDEX(منتجات!$G$3:$G$350,MATCH(B431,منتجات!$A$3:$A$115,0)),"")</f>
        <v/>
      </c>
      <c r="G431" s="65" t="str">
        <f t="shared" si="8"/>
        <v/>
      </c>
      <c r="H431" s="70"/>
    </row>
    <row r="432" spans="1:8" x14ac:dyDescent="0.35">
      <c r="A432" s="62"/>
      <c r="B432" s="63"/>
      <c r="C432" s="63" t="str">
        <f>IFERROR(VLOOKUP(B432,منتجات!$A$3:$C$350,2,0),"")</f>
        <v/>
      </c>
      <c r="D432" s="63" t="str">
        <f>IFERROR(VLOOKUP(B432,منتجات!$A$3:$C$350,3,0),"")</f>
        <v/>
      </c>
      <c r="E432" s="63"/>
      <c r="F432" s="63" t="str">
        <f>IFERROR(INDEX(منتجات!$G$3:$G$350,MATCH(B432,منتجات!$A$3:$A$115,0)),"")</f>
        <v/>
      </c>
      <c r="G432" s="63" t="str">
        <f t="shared" si="8"/>
        <v/>
      </c>
      <c r="H432" s="69"/>
    </row>
    <row r="433" spans="1:8" x14ac:dyDescent="0.35">
      <c r="A433" s="64"/>
      <c r="B433" s="65"/>
      <c r="C433" s="65" t="str">
        <f>IFERROR(VLOOKUP(B433,منتجات!$A$3:$C$350,2,0),"")</f>
        <v/>
      </c>
      <c r="D433" s="65" t="str">
        <f>IFERROR(VLOOKUP(B433,منتجات!$A$3:$C$350,3,0),"")</f>
        <v/>
      </c>
      <c r="E433" s="65"/>
      <c r="F433" s="65" t="str">
        <f>IFERROR(INDEX(منتجات!$G$3:$G$350,MATCH(B433,منتجات!$A$3:$A$115,0)),"")</f>
        <v/>
      </c>
      <c r="G433" s="65" t="str">
        <f t="shared" si="8"/>
        <v/>
      </c>
      <c r="H433" s="70"/>
    </row>
    <row r="434" spans="1:8" x14ac:dyDescent="0.35">
      <c r="A434" s="62"/>
      <c r="B434" s="63"/>
      <c r="C434" s="63" t="str">
        <f>IFERROR(VLOOKUP(B434,منتجات!$A$3:$C$350,2,0),"")</f>
        <v/>
      </c>
      <c r="D434" s="63" t="str">
        <f>IFERROR(VLOOKUP(B434,منتجات!$A$3:$C$350,3,0),"")</f>
        <v/>
      </c>
      <c r="E434" s="63"/>
      <c r="F434" s="63" t="str">
        <f>IFERROR(INDEX(منتجات!$G$3:$G$350,MATCH(B434,منتجات!$A$3:$A$115,0)),"")</f>
        <v/>
      </c>
      <c r="G434" s="63" t="str">
        <f t="shared" si="8"/>
        <v/>
      </c>
      <c r="H434" s="69"/>
    </row>
    <row r="435" spans="1:8" x14ac:dyDescent="0.35">
      <c r="A435" s="64"/>
      <c r="B435" s="65"/>
      <c r="C435" s="65" t="str">
        <f>IFERROR(VLOOKUP(B435,منتجات!$A$3:$C$350,2,0),"")</f>
        <v/>
      </c>
      <c r="D435" s="65" t="str">
        <f>IFERROR(VLOOKUP(B435,منتجات!$A$3:$C$350,3,0),"")</f>
        <v/>
      </c>
      <c r="E435" s="65"/>
      <c r="F435" s="65" t="str">
        <f>IFERROR(INDEX(منتجات!$G$3:$G$350,MATCH(B435,منتجات!$A$3:$A$115,0)),"")</f>
        <v/>
      </c>
      <c r="G435" s="65" t="str">
        <f t="shared" si="8"/>
        <v/>
      </c>
      <c r="H435" s="70"/>
    </row>
    <row r="436" spans="1:8" x14ac:dyDescent="0.35">
      <c r="A436" s="62"/>
      <c r="B436" s="63"/>
      <c r="C436" s="63" t="str">
        <f>IFERROR(VLOOKUP(B436,منتجات!$A$3:$C$350,2,0),"")</f>
        <v/>
      </c>
      <c r="D436" s="63" t="str">
        <f>IFERROR(VLOOKUP(B436,منتجات!$A$3:$C$350,3,0),"")</f>
        <v/>
      </c>
      <c r="E436" s="63"/>
      <c r="F436" s="63" t="str">
        <f>IFERROR(INDEX(منتجات!$G$3:$G$350,MATCH(B436,منتجات!$A$3:$A$115,0)),"")</f>
        <v/>
      </c>
      <c r="G436" s="63" t="str">
        <f t="shared" si="8"/>
        <v/>
      </c>
      <c r="H436" s="69"/>
    </row>
    <row r="437" spans="1:8" x14ac:dyDescent="0.35">
      <c r="A437" s="64"/>
      <c r="B437" s="65"/>
      <c r="C437" s="65" t="str">
        <f>IFERROR(VLOOKUP(B437,منتجات!$A$3:$C$350,2,0),"")</f>
        <v/>
      </c>
      <c r="D437" s="65" t="str">
        <f>IFERROR(VLOOKUP(B437,منتجات!$A$3:$C$350,3,0),"")</f>
        <v/>
      </c>
      <c r="E437" s="65"/>
      <c r="F437" s="65" t="str">
        <f>IFERROR(INDEX(منتجات!$G$3:$G$350,MATCH(B437,منتجات!$A$3:$A$115,0)),"")</f>
        <v/>
      </c>
      <c r="G437" s="65" t="str">
        <f t="shared" si="8"/>
        <v/>
      </c>
      <c r="H437" s="70"/>
    </row>
    <row r="438" spans="1:8" x14ac:dyDescent="0.35">
      <c r="A438" s="62"/>
      <c r="B438" s="63"/>
      <c r="C438" s="63" t="str">
        <f>IFERROR(VLOOKUP(B438,منتجات!$A$3:$C$350,2,0),"")</f>
        <v/>
      </c>
      <c r="D438" s="63" t="str">
        <f>IFERROR(VLOOKUP(B438,منتجات!$A$3:$C$350,3,0),"")</f>
        <v/>
      </c>
      <c r="E438" s="63"/>
      <c r="F438" s="63" t="str">
        <f>IFERROR(INDEX(منتجات!$G$3:$G$350,MATCH(B438,منتجات!$A$3:$A$115,0)),"")</f>
        <v/>
      </c>
      <c r="G438" s="63" t="str">
        <f t="shared" si="8"/>
        <v/>
      </c>
      <c r="H438" s="69"/>
    </row>
    <row r="439" spans="1:8" x14ac:dyDescent="0.35">
      <c r="A439" s="64"/>
      <c r="B439" s="65"/>
      <c r="C439" s="65" t="str">
        <f>IFERROR(VLOOKUP(B439,منتجات!$A$3:$C$350,2,0),"")</f>
        <v/>
      </c>
      <c r="D439" s="65" t="str">
        <f>IFERROR(VLOOKUP(B439,منتجات!$A$3:$C$350,3,0),"")</f>
        <v/>
      </c>
      <c r="E439" s="65"/>
      <c r="F439" s="65" t="str">
        <f>IFERROR(INDEX(منتجات!$G$3:$G$350,MATCH(B439,منتجات!$A$3:$A$115,0)),"")</f>
        <v/>
      </c>
      <c r="G439" s="65" t="str">
        <f t="shared" si="8"/>
        <v/>
      </c>
      <c r="H439" s="70"/>
    </row>
    <row r="440" spans="1:8" x14ac:dyDescent="0.35">
      <c r="A440" s="62"/>
      <c r="B440" s="63"/>
      <c r="C440" s="63" t="str">
        <f>IFERROR(VLOOKUP(B440,منتجات!$A$3:$C$350,2,0),"")</f>
        <v/>
      </c>
      <c r="D440" s="63" t="str">
        <f>IFERROR(VLOOKUP(B440,منتجات!$A$3:$C$350,3,0),"")</f>
        <v/>
      </c>
      <c r="E440" s="63"/>
      <c r="F440" s="63" t="str">
        <f>IFERROR(INDEX(منتجات!$G$3:$G$350,MATCH(B440,منتجات!$A$3:$A$115,0)),"")</f>
        <v/>
      </c>
      <c r="G440" s="63" t="str">
        <f t="shared" si="8"/>
        <v/>
      </c>
      <c r="H440" s="69"/>
    </row>
    <row r="441" spans="1:8" x14ac:dyDescent="0.35">
      <c r="A441" s="64"/>
      <c r="B441" s="65"/>
      <c r="C441" s="65" t="str">
        <f>IFERROR(VLOOKUP(B441,منتجات!$A$3:$C$350,2,0),"")</f>
        <v/>
      </c>
      <c r="D441" s="65" t="str">
        <f>IFERROR(VLOOKUP(B441,منتجات!$A$3:$C$350,3,0),"")</f>
        <v/>
      </c>
      <c r="E441" s="65"/>
      <c r="F441" s="65" t="str">
        <f>IFERROR(INDEX(منتجات!$G$3:$G$350,MATCH(B441,منتجات!$A$3:$A$115,0)),"")</f>
        <v/>
      </c>
      <c r="G441" s="65" t="str">
        <f t="shared" si="8"/>
        <v/>
      </c>
      <c r="H441" s="70"/>
    </row>
    <row r="442" spans="1:8" x14ac:dyDescent="0.35">
      <c r="A442" s="62"/>
      <c r="B442" s="63"/>
      <c r="C442" s="63" t="str">
        <f>IFERROR(VLOOKUP(B442,منتجات!$A$3:$C$350,2,0),"")</f>
        <v/>
      </c>
      <c r="D442" s="63" t="str">
        <f>IFERROR(VLOOKUP(B442,منتجات!$A$3:$C$350,3,0),"")</f>
        <v/>
      </c>
      <c r="E442" s="63"/>
      <c r="F442" s="63" t="str">
        <f>IFERROR(INDEX(منتجات!$G$3:$G$350,MATCH(B442,منتجات!$A$3:$A$115,0)),"")</f>
        <v/>
      </c>
      <c r="G442" s="63" t="str">
        <f t="shared" si="8"/>
        <v/>
      </c>
      <c r="H442" s="69"/>
    </row>
    <row r="443" spans="1:8" x14ac:dyDescent="0.35">
      <c r="A443" s="64"/>
      <c r="B443" s="65"/>
      <c r="C443" s="65" t="str">
        <f>IFERROR(VLOOKUP(B443,منتجات!$A$3:$C$350,2,0),"")</f>
        <v/>
      </c>
      <c r="D443" s="65" t="str">
        <f>IFERROR(VLOOKUP(B443,منتجات!$A$3:$C$350,3,0),"")</f>
        <v/>
      </c>
      <c r="E443" s="65"/>
      <c r="F443" s="65" t="str">
        <f>IFERROR(INDEX(منتجات!$G$3:$G$350,MATCH(B443,منتجات!$A$3:$A$115,0)),"")</f>
        <v/>
      </c>
      <c r="G443" s="65" t="str">
        <f t="shared" si="8"/>
        <v/>
      </c>
      <c r="H443" s="70"/>
    </row>
    <row r="444" spans="1:8" x14ac:dyDescent="0.35">
      <c r="A444" s="62"/>
      <c r="B444" s="63"/>
      <c r="C444" s="63" t="str">
        <f>IFERROR(VLOOKUP(B444,منتجات!$A$3:$C$350,2,0),"")</f>
        <v/>
      </c>
      <c r="D444" s="63" t="str">
        <f>IFERROR(VLOOKUP(B444,منتجات!$A$3:$C$350,3,0),"")</f>
        <v/>
      </c>
      <c r="E444" s="63"/>
      <c r="F444" s="63" t="str">
        <f>IFERROR(INDEX(منتجات!$G$3:$G$350,MATCH(B444,منتجات!$A$3:$A$115,0)),"")</f>
        <v/>
      </c>
      <c r="G444" s="63" t="str">
        <f t="shared" si="8"/>
        <v/>
      </c>
      <c r="H444" s="69"/>
    </row>
    <row r="445" spans="1:8" x14ac:dyDescent="0.35">
      <c r="A445" s="64"/>
      <c r="B445" s="65"/>
      <c r="C445" s="65" t="str">
        <f>IFERROR(VLOOKUP(B445,منتجات!$A$3:$C$350,2,0),"")</f>
        <v/>
      </c>
      <c r="D445" s="65" t="str">
        <f>IFERROR(VLOOKUP(B445,منتجات!$A$3:$C$350,3,0),"")</f>
        <v/>
      </c>
      <c r="E445" s="65"/>
      <c r="F445" s="65" t="str">
        <f>IFERROR(INDEX(منتجات!$G$3:$G$350,MATCH(B445,منتجات!$A$3:$A$115,0)),"")</f>
        <v/>
      </c>
      <c r="G445" s="65" t="str">
        <f t="shared" si="8"/>
        <v/>
      </c>
      <c r="H445" s="70"/>
    </row>
    <row r="446" spans="1:8" x14ac:dyDescent="0.35">
      <c r="A446" s="62"/>
      <c r="B446" s="63"/>
      <c r="C446" s="63" t="str">
        <f>IFERROR(VLOOKUP(B446,منتجات!$A$3:$C$350,2,0),"")</f>
        <v/>
      </c>
      <c r="D446" s="63" t="str">
        <f>IFERROR(VLOOKUP(B446,منتجات!$A$3:$C$350,3,0),"")</f>
        <v/>
      </c>
      <c r="E446" s="63"/>
      <c r="F446" s="63" t="str">
        <f>IFERROR(INDEX(منتجات!$G$3:$G$350,MATCH(B446,منتجات!$A$3:$A$115,0)),"")</f>
        <v/>
      </c>
      <c r="G446" s="63" t="str">
        <f t="shared" si="8"/>
        <v/>
      </c>
      <c r="H446" s="69"/>
    </row>
    <row r="447" spans="1:8" x14ac:dyDescent="0.35">
      <c r="A447" s="64"/>
      <c r="B447" s="65"/>
      <c r="C447" s="65" t="str">
        <f>IFERROR(VLOOKUP(B447,منتجات!$A$3:$C$350,2,0),"")</f>
        <v/>
      </c>
      <c r="D447" s="65" t="str">
        <f>IFERROR(VLOOKUP(B447,منتجات!$A$3:$C$350,3,0),"")</f>
        <v/>
      </c>
      <c r="E447" s="65"/>
      <c r="F447" s="65" t="str">
        <f>IFERROR(INDEX(منتجات!$G$3:$G$350,MATCH(B447,منتجات!$A$3:$A$115,0)),"")</f>
        <v/>
      </c>
      <c r="G447" s="65" t="str">
        <f t="shared" si="8"/>
        <v/>
      </c>
      <c r="H447" s="70"/>
    </row>
    <row r="448" spans="1:8" x14ac:dyDescent="0.35">
      <c r="A448" s="62"/>
      <c r="B448" s="63"/>
      <c r="C448" s="63" t="str">
        <f>IFERROR(VLOOKUP(B448,منتجات!$A$3:$C$350,2,0),"")</f>
        <v/>
      </c>
      <c r="D448" s="63" t="str">
        <f>IFERROR(VLOOKUP(B448,منتجات!$A$3:$C$350,3,0),"")</f>
        <v/>
      </c>
      <c r="E448" s="63"/>
      <c r="F448" s="63" t="str">
        <f>IFERROR(INDEX(منتجات!$G$3:$G$350,MATCH(B448,منتجات!$A$3:$A$115,0)),"")</f>
        <v/>
      </c>
      <c r="G448" s="63" t="str">
        <f t="shared" si="8"/>
        <v/>
      </c>
      <c r="H448" s="69"/>
    </row>
    <row r="449" spans="1:8" x14ac:dyDescent="0.35">
      <c r="A449" s="64"/>
      <c r="B449" s="65"/>
      <c r="C449" s="65" t="str">
        <f>IFERROR(VLOOKUP(B449,منتجات!$A$3:$C$350,2,0),"")</f>
        <v/>
      </c>
      <c r="D449" s="65" t="str">
        <f>IFERROR(VLOOKUP(B449,منتجات!$A$3:$C$350,3,0),"")</f>
        <v/>
      </c>
      <c r="E449" s="65"/>
      <c r="F449" s="65" t="str">
        <f>IFERROR(INDEX(منتجات!$G$3:$G$350,MATCH(B449,منتجات!$A$3:$A$115,0)),"")</f>
        <v/>
      </c>
      <c r="G449" s="65" t="str">
        <f t="shared" si="8"/>
        <v/>
      </c>
      <c r="H449" s="70"/>
    </row>
    <row r="450" spans="1:8" x14ac:dyDescent="0.35">
      <c r="A450" s="62"/>
      <c r="B450" s="63"/>
      <c r="C450" s="63" t="str">
        <f>IFERROR(VLOOKUP(B450,منتجات!$A$3:$C$350,2,0),"")</f>
        <v/>
      </c>
      <c r="D450" s="63" t="str">
        <f>IFERROR(VLOOKUP(B450,منتجات!$A$3:$C$350,3,0),"")</f>
        <v/>
      </c>
      <c r="E450" s="63"/>
      <c r="F450" s="63" t="str">
        <f>IFERROR(INDEX(منتجات!$G$3:$G$350,MATCH(B450,منتجات!$A$3:$A$115,0)),"")</f>
        <v/>
      </c>
      <c r="G450" s="63" t="str">
        <f t="shared" si="8"/>
        <v/>
      </c>
      <c r="H450" s="69"/>
    </row>
    <row r="451" spans="1:8" x14ac:dyDescent="0.35">
      <c r="A451" s="64"/>
      <c r="B451" s="65"/>
      <c r="C451" s="65" t="str">
        <f>IFERROR(VLOOKUP(B451,منتجات!$A$3:$C$350,2,0),"")</f>
        <v/>
      </c>
      <c r="D451" s="65" t="str">
        <f>IFERROR(VLOOKUP(B451,منتجات!$A$3:$C$350,3,0),"")</f>
        <v/>
      </c>
      <c r="E451" s="65"/>
      <c r="F451" s="65" t="str">
        <f>IFERROR(INDEX(منتجات!$G$3:$G$350,MATCH(B451,منتجات!$A$3:$A$115,0)),"")</f>
        <v/>
      </c>
      <c r="G451" s="65" t="str">
        <f t="shared" si="8"/>
        <v/>
      </c>
      <c r="H451" s="70"/>
    </row>
    <row r="452" spans="1:8" x14ac:dyDescent="0.35">
      <c r="A452" s="62"/>
      <c r="B452" s="63"/>
      <c r="C452" s="63" t="str">
        <f>IFERROR(VLOOKUP(B452,منتجات!$A$3:$C$350,2,0),"")</f>
        <v/>
      </c>
      <c r="D452" s="63" t="str">
        <f>IFERROR(VLOOKUP(B452,منتجات!$A$3:$C$350,3,0),"")</f>
        <v/>
      </c>
      <c r="E452" s="63"/>
      <c r="F452" s="63" t="str">
        <f>IFERROR(INDEX(منتجات!$G$3:$G$350,MATCH(B452,منتجات!$A$3:$A$115,0)),"")</f>
        <v/>
      </c>
      <c r="G452" s="63" t="str">
        <f t="shared" si="8"/>
        <v/>
      </c>
      <c r="H452" s="69"/>
    </row>
    <row r="453" spans="1:8" x14ac:dyDescent="0.35">
      <c r="A453" s="64"/>
      <c r="B453" s="65"/>
      <c r="C453" s="65" t="str">
        <f>IFERROR(VLOOKUP(B453,منتجات!$A$3:$C$350,2,0),"")</f>
        <v/>
      </c>
      <c r="D453" s="65" t="str">
        <f>IFERROR(VLOOKUP(B453,منتجات!$A$3:$C$350,3,0),"")</f>
        <v/>
      </c>
      <c r="E453" s="65"/>
      <c r="F453" s="65" t="str">
        <f>IFERROR(INDEX(منتجات!$G$3:$G$350,MATCH(B453,منتجات!$A$3:$A$115,0)),"")</f>
        <v/>
      </c>
      <c r="G453" s="65" t="str">
        <f t="shared" si="8"/>
        <v/>
      </c>
      <c r="H453" s="70"/>
    </row>
    <row r="454" spans="1:8" x14ac:dyDescent="0.35">
      <c r="A454" s="62"/>
      <c r="B454" s="63"/>
      <c r="C454" s="63" t="str">
        <f>IFERROR(VLOOKUP(B454,منتجات!$A$3:$C$350,2,0),"")</f>
        <v/>
      </c>
      <c r="D454" s="63" t="str">
        <f>IFERROR(VLOOKUP(B454,منتجات!$A$3:$C$350,3,0),"")</f>
        <v/>
      </c>
      <c r="E454" s="63"/>
      <c r="F454" s="63" t="str">
        <f>IFERROR(INDEX(منتجات!$G$3:$G$350,MATCH(B454,منتجات!$A$3:$A$115,0)),"")</f>
        <v/>
      </c>
      <c r="G454" s="63" t="str">
        <f t="shared" ref="G454:G517" si="9">IFERROR(E454*F454*D454,"")</f>
        <v/>
      </c>
      <c r="H454" s="69"/>
    </row>
    <row r="455" spans="1:8" x14ac:dyDescent="0.35">
      <c r="A455" s="64"/>
      <c r="B455" s="65"/>
      <c r="C455" s="65" t="str">
        <f>IFERROR(VLOOKUP(B455,منتجات!$A$3:$C$350,2,0),"")</f>
        <v/>
      </c>
      <c r="D455" s="65" t="str">
        <f>IFERROR(VLOOKUP(B455,منتجات!$A$3:$C$350,3,0),"")</f>
        <v/>
      </c>
      <c r="E455" s="65"/>
      <c r="F455" s="65" t="str">
        <f>IFERROR(INDEX(منتجات!$G$3:$G$350,MATCH(B455,منتجات!$A$3:$A$115,0)),"")</f>
        <v/>
      </c>
      <c r="G455" s="65" t="str">
        <f t="shared" si="9"/>
        <v/>
      </c>
      <c r="H455" s="70"/>
    </row>
    <row r="456" spans="1:8" x14ac:dyDescent="0.35">
      <c r="A456" s="62"/>
      <c r="B456" s="63"/>
      <c r="C456" s="63" t="str">
        <f>IFERROR(VLOOKUP(B456,منتجات!$A$3:$C$350,2,0),"")</f>
        <v/>
      </c>
      <c r="D456" s="63" t="str">
        <f>IFERROR(VLOOKUP(B456,منتجات!$A$3:$C$350,3,0),"")</f>
        <v/>
      </c>
      <c r="E456" s="63"/>
      <c r="F456" s="63" t="str">
        <f>IFERROR(INDEX(منتجات!$G$3:$G$350,MATCH(B456,منتجات!$A$3:$A$115,0)),"")</f>
        <v/>
      </c>
      <c r="G456" s="63" t="str">
        <f t="shared" si="9"/>
        <v/>
      </c>
      <c r="H456" s="69"/>
    </row>
    <row r="457" spans="1:8" x14ac:dyDescent="0.35">
      <c r="A457" s="64"/>
      <c r="B457" s="65"/>
      <c r="C457" s="65" t="str">
        <f>IFERROR(VLOOKUP(B457,منتجات!$A$3:$C$350,2,0),"")</f>
        <v/>
      </c>
      <c r="D457" s="65" t="str">
        <f>IFERROR(VLOOKUP(B457,منتجات!$A$3:$C$350,3,0),"")</f>
        <v/>
      </c>
      <c r="E457" s="65"/>
      <c r="F457" s="65" t="str">
        <f>IFERROR(INDEX(منتجات!$G$3:$G$350,MATCH(B457,منتجات!$A$3:$A$115,0)),"")</f>
        <v/>
      </c>
      <c r="G457" s="65" t="str">
        <f t="shared" si="9"/>
        <v/>
      </c>
      <c r="H457" s="70"/>
    </row>
    <row r="458" spans="1:8" x14ac:dyDescent="0.35">
      <c r="A458" s="62"/>
      <c r="B458" s="63"/>
      <c r="C458" s="63" t="str">
        <f>IFERROR(VLOOKUP(B458,منتجات!$A$3:$C$350,2,0),"")</f>
        <v/>
      </c>
      <c r="D458" s="63" t="str">
        <f>IFERROR(VLOOKUP(B458,منتجات!$A$3:$C$350,3,0),"")</f>
        <v/>
      </c>
      <c r="E458" s="63"/>
      <c r="F458" s="63" t="str">
        <f>IFERROR(INDEX(منتجات!$G$3:$G$350,MATCH(B458,منتجات!$A$3:$A$115,0)),"")</f>
        <v/>
      </c>
      <c r="G458" s="63" t="str">
        <f t="shared" si="9"/>
        <v/>
      </c>
      <c r="H458" s="69"/>
    </row>
    <row r="459" spans="1:8" x14ac:dyDescent="0.35">
      <c r="A459" s="64"/>
      <c r="B459" s="65"/>
      <c r="C459" s="65" t="str">
        <f>IFERROR(VLOOKUP(B459,منتجات!$A$3:$C$350,2,0),"")</f>
        <v/>
      </c>
      <c r="D459" s="65" t="str">
        <f>IFERROR(VLOOKUP(B459,منتجات!$A$3:$C$350,3,0),"")</f>
        <v/>
      </c>
      <c r="E459" s="65"/>
      <c r="F459" s="65" t="str">
        <f>IFERROR(INDEX(منتجات!$G$3:$G$350,MATCH(B459,منتجات!$A$3:$A$115,0)),"")</f>
        <v/>
      </c>
      <c r="G459" s="65" t="str">
        <f t="shared" si="9"/>
        <v/>
      </c>
      <c r="H459" s="70"/>
    </row>
    <row r="460" spans="1:8" x14ac:dyDescent="0.35">
      <c r="A460" s="62"/>
      <c r="B460" s="63"/>
      <c r="C460" s="63" t="str">
        <f>IFERROR(VLOOKUP(B460,منتجات!$A$3:$C$350,2,0),"")</f>
        <v/>
      </c>
      <c r="D460" s="63" t="str">
        <f>IFERROR(VLOOKUP(B460,منتجات!$A$3:$C$350,3,0),"")</f>
        <v/>
      </c>
      <c r="E460" s="63"/>
      <c r="F460" s="63" t="str">
        <f>IFERROR(INDEX(منتجات!$G$3:$G$350,MATCH(B460,منتجات!$A$3:$A$115,0)),"")</f>
        <v/>
      </c>
      <c r="G460" s="63" t="str">
        <f t="shared" si="9"/>
        <v/>
      </c>
      <c r="H460" s="69"/>
    </row>
    <row r="461" spans="1:8" x14ac:dyDescent="0.35">
      <c r="A461" s="64"/>
      <c r="B461" s="65"/>
      <c r="C461" s="65" t="str">
        <f>IFERROR(VLOOKUP(B461,منتجات!$A$3:$C$350,2,0),"")</f>
        <v/>
      </c>
      <c r="D461" s="65" t="str">
        <f>IFERROR(VLOOKUP(B461,منتجات!$A$3:$C$350,3,0),"")</f>
        <v/>
      </c>
      <c r="E461" s="65"/>
      <c r="F461" s="65" t="str">
        <f>IFERROR(INDEX(منتجات!$G$3:$G$350,MATCH(B461,منتجات!$A$3:$A$115,0)),"")</f>
        <v/>
      </c>
      <c r="G461" s="65" t="str">
        <f t="shared" si="9"/>
        <v/>
      </c>
      <c r="H461" s="70"/>
    </row>
    <row r="462" spans="1:8" x14ac:dyDescent="0.35">
      <c r="A462" s="62"/>
      <c r="B462" s="63"/>
      <c r="C462" s="63" t="str">
        <f>IFERROR(VLOOKUP(B462,منتجات!$A$3:$C$350,2,0),"")</f>
        <v/>
      </c>
      <c r="D462" s="63" t="str">
        <f>IFERROR(VLOOKUP(B462,منتجات!$A$3:$C$350,3,0),"")</f>
        <v/>
      </c>
      <c r="E462" s="63"/>
      <c r="F462" s="63" t="str">
        <f>IFERROR(INDEX(منتجات!$G$3:$G$350,MATCH(B462,منتجات!$A$3:$A$115,0)),"")</f>
        <v/>
      </c>
      <c r="G462" s="63" t="str">
        <f t="shared" si="9"/>
        <v/>
      </c>
      <c r="H462" s="69"/>
    </row>
    <row r="463" spans="1:8" x14ac:dyDescent="0.35">
      <c r="A463" s="64"/>
      <c r="B463" s="65"/>
      <c r="C463" s="65" t="str">
        <f>IFERROR(VLOOKUP(B463,منتجات!$A$3:$C$350,2,0),"")</f>
        <v/>
      </c>
      <c r="D463" s="65" t="str">
        <f>IFERROR(VLOOKUP(B463,منتجات!$A$3:$C$350,3,0),"")</f>
        <v/>
      </c>
      <c r="E463" s="65"/>
      <c r="F463" s="65" t="str">
        <f>IFERROR(INDEX(منتجات!$G$3:$G$350,MATCH(B463,منتجات!$A$3:$A$115,0)),"")</f>
        <v/>
      </c>
      <c r="G463" s="65" t="str">
        <f t="shared" si="9"/>
        <v/>
      </c>
      <c r="H463" s="70"/>
    </row>
    <row r="464" spans="1:8" x14ac:dyDescent="0.35">
      <c r="A464" s="62"/>
      <c r="B464" s="63"/>
      <c r="C464" s="63" t="str">
        <f>IFERROR(VLOOKUP(B464,منتجات!$A$3:$C$350,2,0),"")</f>
        <v/>
      </c>
      <c r="D464" s="63" t="str">
        <f>IFERROR(VLOOKUP(B464,منتجات!$A$3:$C$350,3,0),"")</f>
        <v/>
      </c>
      <c r="E464" s="63"/>
      <c r="F464" s="63" t="str">
        <f>IFERROR(INDEX(منتجات!$G$3:$G$350,MATCH(B464,منتجات!$A$3:$A$115,0)),"")</f>
        <v/>
      </c>
      <c r="G464" s="63" t="str">
        <f t="shared" si="9"/>
        <v/>
      </c>
      <c r="H464" s="69"/>
    </row>
    <row r="465" spans="1:8" x14ac:dyDescent="0.35">
      <c r="A465" s="64"/>
      <c r="B465" s="65"/>
      <c r="C465" s="65" t="str">
        <f>IFERROR(VLOOKUP(B465,منتجات!$A$3:$C$350,2,0),"")</f>
        <v/>
      </c>
      <c r="D465" s="65" t="str">
        <f>IFERROR(VLOOKUP(B465,منتجات!$A$3:$C$350,3,0),"")</f>
        <v/>
      </c>
      <c r="E465" s="65"/>
      <c r="F465" s="65" t="str">
        <f>IFERROR(INDEX(منتجات!$G$3:$G$350,MATCH(B465,منتجات!$A$3:$A$115,0)),"")</f>
        <v/>
      </c>
      <c r="G465" s="65" t="str">
        <f t="shared" si="9"/>
        <v/>
      </c>
      <c r="H465" s="70"/>
    </row>
    <row r="466" spans="1:8" x14ac:dyDescent="0.35">
      <c r="A466" s="62"/>
      <c r="B466" s="63"/>
      <c r="C466" s="63" t="str">
        <f>IFERROR(VLOOKUP(B466,منتجات!$A$3:$C$350,2,0),"")</f>
        <v/>
      </c>
      <c r="D466" s="63" t="str">
        <f>IFERROR(VLOOKUP(B466,منتجات!$A$3:$C$350,3,0),"")</f>
        <v/>
      </c>
      <c r="E466" s="63"/>
      <c r="F466" s="63" t="str">
        <f>IFERROR(INDEX(منتجات!$G$3:$G$350,MATCH(B466,منتجات!$A$3:$A$115,0)),"")</f>
        <v/>
      </c>
      <c r="G466" s="63" t="str">
        <f t="shared" si="9"/>
        <v/>
      </c>
      <c r="H466" s="69"/>
    </row>
    <row r="467" spans="1:8" x14ac:dyDescent="0.35">
      <c r="A467" s="64"/>
      <c r="B467" s="65"/>
      <c r="C467" s="65" t="str">
        <f>IFERROR(VLOOKUP(B467,منتجات!$A$3:$C$350,2,0),"")</f>
        <v/>
      </c>
      <c r="D467" s="65" t="str">
        <f>IFERROR(VLOOKUP(B467,منتجات!$A$3:$C$350,3,0),"")</f>
        <v/>
      </c>
      <c r="E467" s="65"/>
      <c r="F467" s="65" t="str">
        <f>IFERROR(INDEX(منتجات!$G$3:$G$350,MATCH(B467,منتجات!$A$3:$A$115,0)),"")</f>
        <v/>
      </c>
      <c r="G467" s="65" t="str">
        <f t="shared" si="9"/>
        <v/>
      </c>
      <c r="H467" s="70"/>
    </row>
    <row r="468" spans="1:8" x14ac:dyDescent="0.35">
      <c r="A468" s="62"/>
      <c r="B468" s="63"/>
      <c r="C468" s="63" t="str">
        <f>IFERROR(VLOOKUP(B468,منتجات!$A$3:$C$350,2,0),"")</f>
        <v/>
      </c>
      <c r="D468" s="63" t="str">
        <f>IFERROR(VLOOKUP(B468,منتجات!$A$3:$C$350,3,0),"")</f>
        <v/>
      </c>
      <c r="E468" s="63"/>
      <c r="F468" s="63" t="str">
        <f>IFERROR(INDEX(منتجات!$G$3:$G$350,MATCH(B468,منتجات!$A$3:$A$115,0)),"")</f>
        <v/>
      </c>
      <c r="G468" s="63" t="str">
        <f t="shared" si="9"/>
        <v/>
      </c>
      <c r="H468" s="69"/>
    </row>
    <row r="469" spans="1:8" x14ac:dyDescent="0.35">
      <c r="A469" s="64"/>
      <c r="B469" s="65"/>
      <c r="C469" s="65" t="str">
        <f>IFERROR(VLOOKUP(B469,منتجات!$A$3:$C$350,2,0),"")</f>
        <v/>
      </c>
      <c r="D469" s="65" t="str">
        <f>IFERROR(VLOOKUP(B469,منتجات!$A$3:$C$350,3,0),"")</f>
        <v/>
      </c>
      <c r="E469" s="65"/>
      <c r="F469" s="65" t="str">
        <f>IFERROR(INDEX(منتجات!$G$3:$G$350,MATCH(B469,منتجات!$A$3:$A$115,0)),"")</f>
        <v/>
      </c>
      <c r="G469" s="65" t="str">
        <f t="shared" si="9"/>
        <v/>
      </c>
      <c r="H469" s="70"/>
    </row>
    <row r="470" spans="1:8" x14ac:dyDescent="0.35">
      <c r="A470" s="62"/>
      <c r="B470" s="63"/>
      <c r="C470" s="63" t="str">
        <f>IFERROR(VLOOKUP(B470,منتجات!$A$3:$C$350,2,0),"")</f>
        <v/>
      </c>
      <c r="D470" s="63" t="str">
        <f>IFERROR(VLOOKUP(B470,منتجات!$A$3:$C$350,3,0),"")</f>
        <v/>
      </c>
      <c r="E470" s="63"/>
      <c r="F470" s="63" t="str">
        <f>IFERROR(INDEX(منتجات!$G$3:$G$350,MATCH(B470,منتجات!$A$3:$A$115,0)),"")</f>
        <v/>
      </c>
      <c r="G470" s="63" t="str">
        <f t="shared" si="9"/>
        <v/>
      </c>
      <c r="H470" s="69"/>
    </row>
    <row r="471" spans="1:8" x14ac:dyDescent="0.35">
      <c r="A471" s="64"/>
      <c r="B471" s="65"/>
      <c r="C471" s="65" t="str">
        <f>IFERROR(VLOOKUP(B471,منتجات!$A$3:$C$350,2,0),"")</f>
        <v/>
      </c>
      <c r="D471" s="65" t="str">
        <f>IFERROR(VLOOKUP(B471,منتجات!$A$3:$C$350,3,0),"")</f>
        <v/>
      </c>
      <c r="E471" s="65"/>
      <c r="F471" s="65" t="str">
        <f>IFERROR(INDEX(منتجات!$G$3:$G$350,MATCH(B471,منتجات!$A$3:$A$115,0)),"")</f>
        <v/>
      </c>
      <c r="G471" s="65" t="str">
        <f t="shared" si="9"/>
        <v/>
      </c>
      <c r="H471" s="70"/>
    </row>
    <row r="472" spans="1:8" x14ac:dyDescent="0.35">
      <c r="A472" s="62"/>
      <c r="B472" s="63"/>
      <c r="C472" s="63" t="str">
        <f>IFERROR(VLOOKUP(B472,منتجات!$A$3:$C$350,2,0),"")</f>
        <v/>
      </c>
      <c r="D472" s="63" t="str">
        <f>IFERROR(VLOOKUP(B472,منتجات!$A$3:$C$350,3,0),"")</f>
        <v/>
      </c>
      <c r="E472" s="63"/>
      <c r="F472" s="63" t="str">
        <f>IFERROR(INDEX(منتجات!$G$3:$G$350,MATCH(B472,منتجات!$A$3:$A$115,0)),"")</f>
        <v/>
      </c>
      <c r="G472" s="63" t="str">
        <f t="shared" si="9"/>
        <v/>
      </c>
      <c r="H472" s="69"/>
    </row>
    <row r="473" spans="1:8" x14ac:dyDescent="0.35">
      <c r="A473" s="64"/>
      <c r="B473" s="65"/>
      <c r="C473" s="65" t="str">
        <f>IFERROR(VLOOKUP(B473,منتجات!$A$3:$C$350,2,0),"")</f>
        <v/>
      </c>
      <c r="D473" s="65" t="str">
        <f>IFERROR(VLOOKUP(B473,منتجات!$A$3:$C$350,3,0),"")</f>
        <v/>
      </c>
      <c r="E473" s="65"/>
      <c r="F473" s="65" t="str">
        <f>IFERROR(INDEX(منتجات!$G$3:$G$350,MATCH(B473,منتجات!$A$3:$A$115,0)),"")</f>
        <v/>
      </c>
      <c r="G473" s="65" t="str">
        <f t="shared" si="9"/>
        <v/>
      </c>
      <c r="H473" s="70"/>
    </row>
    <row r="474" spans="1:8" x14ac:dyDescent="0.35">
      <c r="A474" s="62"/>
      <c r="B474" s="63"/>
      <c r="C474" s="63" t="str">
        <f>IFERROR(VLOOKUP(B474,منتجات!$A$3:$C$350,2,0),"")</f>
        <v/>
      </c>
      <c r="D474" s="63" t="str">
        <f>IFERROR(VLOOKUP(B474,منتجات!$A$3:$C$350,3,0),"")</f>
        <v/>
      </c>
      <c r="E474" s="63"/>
      <c r="F474" s="63" t="str">
        <f>IFERROR(INDEX(منتجات!$G$3:$G$350,MATCH(B474,منتجات!$A$3:$A$115,0)),"")</f>
        <v/>
      </c>
      <c r="G474" s="63" t="str">
        <f t="shared" si="9"/>
        <v/>
      </c>
      <c r="H474" s="69"/>
    </row>
    <row r="475" spans="1:8" x14ac:dyDescent="0.35">
      <c r="A475" s="64"/>
      <c r="B475" s="65"/>
      <c r="C475" s="65" t="str">
        <f>IFERROR(VLOOKUP(B475,منتجات!$A$3:$C$350,2,0),"")</f>
        <v/>
      </c>
      <c r="D475" s="65" t="str">
        <f>IFERROR(VLOOKUP(B475,منتجات!$A$3:$C$350,3,0),"")</f>
        <v/>
      </c>
      <c r="E475" s="65"/>
      <c r="F475" s="65" t="str">
        <f>IFERROR(INDEX(منتجات!$G$3:$G$350,MATCH(B475,منتجات!$A$3:$A$115,0)),"")</f>
        <v/>
      </c>
      <c r="G475" s="65" t="str">
        <f t="shared" si="9"/>
        <v/>
      </c>
      <c r="H475" s="70"/>
    </row>
    <row r="476" spans="1:8" x14ac:dyDescent="0.35">
      <c r="A476" s="62"/>
      <c r="B476" s="63"/>
      <c r="C476" s="63" t="str">
        <f>IFERROR(VLOOKUP(B476,منتجات!$A$3:$C$350,2,0),"")</f>
        <v/>
      </c>
      <c r="D476" s="63" t="str">
        <f>IFERROR(VLOOKUP(B476,منتجات!$A$3:$C$350,3,0),"")</f>
        <v/>
      </c>
      <c r="E476" s="63"/>
      <c r="F476" s="63" t="str">
        <f>IFERROR(INDEX(منتجات!$G$3:$G$350,MATCH(B476,منتجات!$A$3:$A$115,0)),"")</f>
        <v/>
      </c>
      <c r="G476" s="63" t="str">
        <f t="shared" si="9"/>
        <v/>
      </c>
      <c r="H476" s="69"/>
    </row>
    <row r="477" spans="1:8" x14ac:dyDescent="0.35">
      <c r="A477" s="64"/>
      <c r="B477" s="65"/>
      <c r="C477" s="65" t="str">
        <f>IFERROR(VLOOKUP(B477,منتجات!$A$3:$C$350,2,0),"")</f>
        <v/>
      </c>
      <c r="D477" s="65" t="str">
        <f>IFERROR(VLOOKUP(B477,منتجات!$A$3:$C$350,3,0),"")</f>
        <v/>
      </c>
      <c r="E477" s="65"/>
      <c r="F477" s="65" t="str">
        <f>IFERROR(INDEX(منتجات!$G$3:$G$350,MATCH(B477,منتجات!$A$3:$A$115,0)),"")</f>
        <v/>
      </c>
      <c r="G477" s="65" t="str">
        <f t="shared" si="9"/>
        <v/>
      </c>
      <c r="H477" s="70"/>
    </row>
    <row r="478" spans="1:8" x14ac:dyDescent="0.35">
      <c r="A478" s="62"/>
      <c r="B478" s="63"/>
      <c r="C478" s="63" t="str">
        <f>IFERROR(VLOOKUP(B478,منتجات!$A$3:$C$350,2,0),"")</f>
        <v/>
      </c>
      <c r="D478" s="63" t="str">
        <f>IFERROR(VLOOKUP(B478,منتجات!$A$3:$C$350,3,0),"")</f>
        <v/>
      </c>
      <c r="E478" s="63"/>
      <c r="F478" s="63" t="str">
        <f>IFERROR(INDEX(منتجات!$G$3:$G$350,MATCH(B478,منتجات!$A$3:$A$115,0)),"")</f>
        <v/>
      </c>
      <c r="G478" s="63" t="str">
        <f t="shared" si="9"/>
        <v/>
      </c>
      <c r="H478" s="69"/>
    </row>
    <row r="479" spans="1:8" x14ac:dyDescent="0.35">
      <c r="A479" s="64"/>
      <c r="B479" s="65"/>
      <c r="C479" s="65" t="str">
        <f>IFERROR(VLOOKUP(B479,منتجات!$A$3:$C$350,2,0),"")</f>
        <v/>
      </c>
      <c r="D479" s="65" t="str">
        <f>IFERROR(VLOOKUP(B479,منتجات!$A$3:$C$350,3,0),"")</f>
        <v/>
      </c>
      <c r="E479" s="65"/>
      <c r="F479" s="65" t="str">
        <f>IFERROR(INDEX(منتجات!$G$3:$G$350,MATCH(B479,منتجات!$A$3:$A$115,0)),"")</f>
        <v/>
      </c>
      <c r="G479" s="65" t="str">
        <f t="shared" si="9"/>
        <v/>
      </c>
      <c r="H479" s="70"/>
    </row>
    <row r="480" spans="1:8" x14ac:dyDescent="0.35">
      <c r="A480" s="62"/>
      <c r="B480" s="63"/>
      <c r="C480" s="63" t="str">
        <f>IFERROR(VLOOKUP(B480,منتجات!$A$3:$C$350,2,0),"")</f>
        <v/>
      </c>
      <c r="D480" s="63" t="str">
        <f>IFERROR(VLOOKUP(B480,منتجات!$A$3:$C$350,3,0),"")</f>
        <v/>
      </c>
      <c r="E480" s="63"/>
      <c r="F480" s="63" t="str">
        <f>IFERROR(INDEX(منتجات!$G$3:$G$350,MATCH(B480,منتجات!$A$3:$A$115,0)),"")</f>
        <v/>
      </c>
      <c r="G480" s="63" t="str">
        <f t="shared" si="9"/>
        <v/>
      </c>
      <c r="H480" s="69"/>
    </row>
    <row r="481" spans="1:8" x14ac:dyDescent="0.35">
      <c r="A481" s="64"/>
      <c r="B481" s="65"/>
      <c r="C481" s="65" t="str">
        <f>IFERROR(VLOOKUP(B481,منتجات!$A$3:$C$350,2,0),"")</f>
        <v/>
      </c>
      <c r="D481" s="65" t="str">
        <f>IFERROR(VLOOKUP(B481,منتجات!$A$3:$C$350,3,0),"")</f>
        <v/>
      </c>
      <c r="E481" s="65"/>
      <c r="F481" s="65" t="str">
        <f>IFERROR(INDEX(منتجات!$G$3:$G$350,MATCH(B481,منتجات!$A$3:$A$115,0)),"")</f>
        <v/>
      </c>
      <c r="G481" s="65" t="str">
        <f t="shared" si="9"/>
        <v/>
      </c>
      <c r="H481" s="70"/>
    </row>
    <row r="482" spans="1:8" x14ac:dyDescent="0.35">
      <c r="A482" s="62"/>
      <c r="B482" s="63"/>
      <c r="C482" s="63" t="str">
        <f>IFERROR(VLOOKUP(B482,منتجات!$A$3:$C$350,2,0),"")</f>
        <v/>
      </c>
      <c r="D482" s="63" t="str">
        <f>IFERROR(VLOOKUP(B482,منتجات!$A$3:$C$350,3,0),"")</f>
        <v/>
      </c>
      <c r="E482" s="63"/>
      <c r="F482" s="63" t="str">
        <f>IFERROR(INDEX(منتجات!$G$3:$G$350,MATCH(B482,منتجات!$A$3:$A$115,0)),"")</f>
        <v/>
      </c>
      <c r="G482" s="63" t="str">
        <f t="shared" si="9"/>
        <v/>
      </c>
      <c r="H482" s="69"/>
    </row>
    <row r="483" spans="1:8" x14ac:dyDescent="0.35">
      <c r="A483" s="64"/>
      <c r="B483" s="65"/>
      <c r="C483" s="65" t="str">
        <f>IFERROR(VLOOKUP(B483,منتجات!$A$3:$C$350,2,0),"")</f>
        <v/>
      </c>
      <c r="D483" s="65" t="str">
        <f>IFERROR(VLOOKUP(B483,منتجات!$A$3:$C$350,3,0),"")</f>
        <v/>
      </c>
      <c r="E483" s="65"/>
      <c r="F483" s="65" t="str">
        <f>IFERROR(INDEX(منتجات!$G$3:$G$350,MATCH(B483,منتجات!$A$3:$A$115,0)),"")</f>
        <v/>
      </c>
      <c r="G483" s="65" t="str">
        <f t="shared" si="9"/>
        <v/>
      </c>
      <c r="H483" s="70"/>
    </row>
    <row r="484" spans="1:8" x14ac:dyDescent="0.35">
      <c r="A484" s="62"/>
      <c r="B484" s="63"/>
      <c r="C484" s="63" t="str">
        <f>IFERROR(VLOOKUP(B484,منتجات!$A$3:$C$350,2,0),"")</f>
        <v/>
      </c>
      <c r="D484" s="63" t="str">
        <f>IFERROR(VLOOKUP(B484,منتجات!$A$3:$C$350,3,0),"")</f>
        <v/>
      </c>
      <c r="E484" s="63"/>
      <c r="F484" s="63" t="str">
        <f>IFERROR(INDEX(منتجات!$G$3:$G$350,MATCH(B484,منتجات!$A$3:$A$115,0)),"")</f>
        <v/>
      </c>
      <c r="G484" s="63" t="str">
        <f t="shared" si="9"/>
        <v/>
      </c>
      <c r="H484" s="69"/>
    </row>
    <row r="485" spans="1:8" x14ac:dyDescent="0.35">
      <c r="A485" s="64"/>
      <c r="B485" s="65"/>
      <c r="C485" s="65" t="str">
        <f>IFERROR(VLOOKUP(B485,منتجات!$A$3:$C$350,2,0),"")</f>
        <v/>
      </c>
      <c r="D485" s="65" t="str">
        <f>IFERROR(VLOOKUP(B485,منتجات!$A$3:$C$350,3,0),"")</f>
        <v/>
      </c>
      <c r="E485" s="65"/>
      <c r="F485" s="65" t="str">
        <f>IFERROR(INDEX(منتجات!$G$3:$G$350,MATCH(B485,منتجات!$A$3:$A$115,0)),"")</f>
        <v/>
      </c>
      <c r="G485" s="65" t="str">
        <f t="shared" si="9"/>
        <v/>
      </c>
      <c r="H485" s="70"/>
    </row>
    <row r="486" spans="1:8" x14ac:dyDescent="0.35">
      <c r="A486" s="62"/>
      <c r="B486" s="63"/>
      <c r="C486" s="63" t="str">
        <f>IFERROR(VLOOKUP(B486,منتجات!$A$3:$C$350,2,0),"")</f>
        <v/>
      </c>
      <c r="D486" s="63" t="str">
        <f>IFERROR(VLOOKUP(B486,منتجات!$A$3:$C$350,3,0),"")</f>
        <v/>
      </c>
      <c r="E486" s="63"/>
      <c r="F486" s="63" t="str">
        <f>IFERROR(INDEX(منتجات!$G$3:$G$350,MATCH(B486,منتجات!$A$3:$A$115,0)),"")</f>
        <v/>
      </c>
      <c r="G486" s="63" t="str">
        <f t="shared" si="9"/>
        <v/>
      </c>
      <c r="H486" s="69"/>
    </row>
    <row r="487" spans="1:8" x14ac:dyDescent="0.35">
      <c r="A487" s="64"/>
      <c r="B487" s="65"/>
      <c r="C487" s="65" t="str">
        <f>IFERROR(VLOOKUP(B487,منتجات!$A$3:$C$350,2,0),"")</f>
        <v/>
      </c>
      <c r="D487" s="65" t="str">
        <f>IFERROR(VLOOKUP(B487,منتجات!$A$3:$C$350,3,0),"")</f>
        <v/>
      </c>
      <c r="E487" s="65"/>
      <c r="F487" s="65" t="str">
        <f>IFERROR(INDEX(منتجات!$G$3:$G$350,MATCH(B487,منتجات!$A$3:$A$115,0)),"")</f>
        <v/>
      </c>
      <c r="G487" s="65" t="str">
        <f t="shared" si="9"/>
        <v/>
      </c>
      <c r="H487" s="70"/>
    </row>
    <row r="488" spans="1:8" x14ac:dyDescent="0.35">
      <c r="A488" s="62"/>
      <c r="B488" s="63"/>
      <c r="C488" s="63" t="str">
        <f>IFERROR(VLOOKUP(B488,منتجات!$A$3:$C$350,2,0),"")</f>
        <v/>
      </c>
      <c r="D488" s="63" t="str">
        <f>IFERROR(VLOOKUP(B488,منتجات!$A$3:$C$350,3,0),"")</f>
        <v/>
      </c>
      <c r="E488" s="63"/>
      <c r="F488" s="63" t="str">
        <f>IFERROR(INDEX(منتجات!$G$3:$G$350,MATCH(B488,منتجات!$A$3:$A$115,0)),"")</f>
        <v/>
      </c>
      <c r="G488" s="63" t="str">
        <f t="shared" si="9"/>
        <v/>
      </c>
      <c r="H488" s="69"/>
    </row>
    <row r="489" spans="1:8" x14ac:dyDescent="0.35">
      <c r="A489" s="64"/>
      <c r="B489" s="65"/>
      <c r="C489" s="65" t="str">
        <f>IFERROR(VLOOKUP(B489,منتجات!$A$3:$C$350,2,0),"")</f>
        <v/>
      </c>
      <c r="D489" s="65" t="str">
        <f>IFERROR(VLOOKUP(B489,منتجات!$A$3:$C$350,3,0),"")</f>
        <v/>
      </c>
      <c r="E489" s="65"/>
      <c r="F489" s="65" t="str">
        <f>IFERROR(INDEX(منتجات!$G$3:$G$350,MATCH(B489,منتجات!$A$3:$A$115,0)),"")</f>
        <v/>
      </c>
      <c r="G489" s="65" t="str">
        <f t="shared" si="9"/>
        <v/>
      </c>
      <c r="H489" s="70"/>
    </row>
    <row r="490" spans="1:8" x14ac:dyDescent="0.35">
      <c r="A490" s="62"/>
      <c r="B490" s="63"/>
      <c r="C490" s="63" t="str">
        <f>IFERROR(VLOOKUP(B490,منتجات!$A$3:$C$350,2,0),"")</f>
        <v/>
      </c>
      <c r="D490" s="63" t="str">
        <f>IFERROR(VLOOKUP(B490,منتجات!$A$3:$C$350,3,0),"")</f>
        <v/>
      </c>
      <c r="E490" s="63"/>
      <c r="F490" s="63" t="str">
        <f>IFERROR(INDEX(منتجات!$G$3:$G$350,MATCH(B490,منتجات!$A$3:$A$115,0)),"")</f>
        <v/>
      </c>
      <c r="G490" s="63" t="str">
        <f t="shared" si="9"/>
        <v/>
      </c>
      <c r="H490" s="69"/>
    </row>
    <row r="491" spans="1:8" x14ac:dyDescent="0.35">
      <c r="A491" s="64"/>
      <c r="B491" s="65"/>
      <c r="C491" s="65" t="str">
        <f>IFERROR(VLOOKUP(B491,منتجات!$A$3:$C$350,2,0),"")</f>
        <v/>
      </c>
      <c r="D491" s="65" t="str">
        <f>IFERROR(VLOOKUP(B491,منتجات!$A$3:$C$350,3,0),"")</f>
        <v/>
      </c>
      <c r="E491" s="65"/>
      <c r="F491" s="65" t="str">
        <f>IFERROR(INDEX(منتجات!$G$3:$G$350,MATCH(B491,منتجات!$A$3:$A$115,0)),"")</f>
        <v/>
      </c>
      <c r="G491" s="65" t="str">
        <f t="shared" si="9"/>
        <v/>
      </c>
      <c r="H491" s="70"/>
    </row>
    <row r="492" spans="1:8" x14ac:dyDescent="0.35">
      <c r="A492" s="62"/>
      <c r="B492" s="63"/>
      <c r="C492" s="63" t="str">
        <f>IFERROR(VLOOKUP(B492,منتجات!$A$3:$C$350,2,0),"")</f>
        <v/>
      </c>
      <c r="D492" s="63" t="str">
        <f>IFERROR(VLOOKUP(B492,منتجات!$A$3:$C$350,3,0),"")</f>
        <v/>
      </c>
      <c r="E492" s="63"/>
      <c r="F492" s="63" t="str">
        <f>IFERROR(INDEX(منتجات!$G$3:$G$350,MATCH(B492,منتجات!$A$3:$A$115,0)),"")</f>
        <v/>
      </c>
      <c r="G492" s="63" t="str">
        <f t="shared" si="9"/>
        <v/>
      </c>
      <c r="H492" s="69"/>
    </row>
    <row r="493" spans="1:8" x14ac:dyDescent="0.35">
      <c r="A493" s="64"/>
      <c r="B493" s="65"/>
      <c r="C493" s="65" t="str">
        <f>IFERROR(VLOOKUP(B493,منتجات!$A$3:$C$350,2,0),"")</f>
        <v/>
      </c>
      <c r="D493" s="65" t="str">
        <f>IFERROR(VLOOKUP(B493,منتجات!$A$3:$C$350,3,0),"")</f>
        <v/>
      </c>
      <c r="E493" s="65"/>
      <c r="F493" s="65" t="str">
        <f>IFERROR(INDEX(منتجات!$G$3:$G$350,MATCH(B493,منتجات!$A$3:$A$115,0)),"")</f>
        <v/>
      </c>
      <c r="G493" s="65" t="str">
        <f t="shared" si="9"/>
        <v/>
      </c>
      <c r="H493" s="70"/>
    </row>
    <row r="494" spans="1:8" x14ac:dyDescent="0.35">
      <c r="A494" s="62"/>
      <c r="B494" s="63"/>
      <c r="C494" s="63" t="str">
        <f>IFERROR(VLOOKUP(B494,منتجات!$A$3:$C$350,2,0),"")</f>
        <v/>
      </c>
      <c r="D494" s="63" t="str">
        <f>IFERROR(VLOOKUP(B494,منتجات!$A$3:$C$350,3,0),"")</f>
        <v/>
      </c>
      <c r="E494" s="63"/>
      <c r="F494" s="63" t="str">
        <f>IFERROR(INDEX(منتجات!$G$3:$G$350,MATCH(B494,منتجات!$A$3:$A$115,0)),"")</f>
        <v/>
      </c>
      <c r="G494" s="63" t="str">
        <f t="shared" si="9"/>
        <v/>
      </c>
      <c r="H494" s="69"/>
    </row>
    <row r="495" spans="1:8" x14ac:dyDescent="0.35">
      <c r="A495" s="64"/>
      <c r="B495" s="65"/>
      <c r="C495" s="65" t="str">
        <f>IFERROR(VLOOKUP(B495,منتجات!$A$3:$C$350,2,0),"")</f>
        <v/>
      </c>
      <c r="D495" s="65" t="str">
        <f>IFERROR(VLOOKUP(B495,منتجات!$A$3:$C$350,3,0),"")</f>
        <v/>
      </c>
      <c r="E495" s="65"/>
      <c r="F495" s="65" t="str">
        <f>IFERROR(INDEX(منتجات!$G$3:$G$350,MATCH(B495,منتجات!$A$3:$A$115,0)),"")</f>
        <v/>
      </c>
      <c r="G495" s="65" t="str">
        <f t="shared" si="9"/>
        <v/>
      </c>
      <c r="H495" s="70"/>
    </row>
    <row r="496" spans="1:8" x14ac:dyDescent="0.35">
      <c r="A496" s="62"/>
      <c r="B496" s="63"/>
      <c r="C496" s="63" t="str">
        <f>IFERROR(VLOOKUP(B496,منتجات!$A$3:$C$350,2,0),"")</f>
        <v/>
      </c>
      <c r="D496" s="63" t="str">
        <f>IFERROR(VLOOKUP(B496,منتجات!$A$3:$C$350,3,0),"")</f>
        <v/>
      </c>
      <c r="E496" s="63"/>
      <c r="F496" s="63" t="str">
        <f>IFERROR(INDEX(منتجات!$G$3:$G$350,MATCH(B496,منتجات!$A$3:$A$115,0)),"")</f>
        <v/>
      </c>
      <c r="G496" s="63" t="str">
        <f t="shared" si="9"/>
        <v/>
      </c>
      <c r="H496" s="69"/>
    </row>
    <row r="497" spans="1:8" x14ac:dyDescent="0.35">
      <c r="A497" s="64"/>
      <c r="B497" s="65"/>
      <c r="C497" s="65" t="str">
        <f>IFERROR(VLOOKUP(B497,منتجات!$A$3:$C$350,2,0),"")</f>
        <v/>
      </c>
      <c r="D497" s="65" t="str">
        <f>IFERROR(VLOOKUP(B497,منتجات!$A$3:$C$350,3,0),"")</f>
        <v/>
      </c>
      <c r="E497" s="65"/>
      <c r="F497" s="65" t="str">
        <f>IFERROR(INDEX(منتجات!$G$3:$G$350,MATCH(B497,منتجات!$A$3:$A$115,0)),"")</f>
        <v/>
      </c>
      <c r="G497" s="65" t="str">
        <f t="shared" si="9"/>
        <v/>
      </c>
      <c r="H497" s="70"/>
    </row>
    <row r="498" spans="1:8" x14ac:dyDescent="0.35">
      <c r="A498" s="62"/>
      <c r="B498" s="63"/>
      <c r="C498" s="63" t="str">
        <f>IFERROR(VLOOKUP(B498,منتجات!$A$3:$C$350,2,0),"")</f>
        <v/>
      </c>
      <c r="D498" s="63" t="str">
        <f>IFERROR(VLOOKUP(B498,منتجات!$A$3:$C$350,3,0),"")</f>
        <v/>
      </c>
      <c r="E498" s="63"/>
      <c r="F498" s="63" t="str">
        <f>IFERROR(INDEX(منتجات!$G$3:$G$350,MATCH(B498,منتجات!$A$3:$A$115,0)),"")</f>
        <v/>
      </c>
      <c r="G498" s="63" t="str">
        <f t="shared" si="9"/>
        <v/>
      </c>
      <c r="H498" s="69"/>
    </row>
    <row r="499" spans="1:8" x14ac:dyDescent="0.35">
      <c r="A499" s="64"/>
      <c r="B499" s="65"/>
      <c r="C499" s="65" t="str">
        <f>IFERROR(VLOOKUP(B499,منتجات!$A$3:$C$350,2,0),"")</f>
        <v/>
      </c>
      <c r="D499" s="65" t="str">
        <f>IFERROR(VLOOKUP(B499,منتجات!$A$3:$C$350,3,0),"")</f>
        <v/>
      </c>
      <c r="E499" s="65"/>
      <c r="F499" s="65" t="str">
        <f>IFERROR(INDEX(منتجات!$G$3:$G$350,MATCH(B499,منتجات!$A$3:$A$115,0)),"")</f>
        <v/>
      </c>
      <c r="G499" s="65" t="str">
        <f t="shared" si="9"/>
        <v/>
      </c>
      <c r="H499" s="70"/>
    </row>
    <row r="500" spans="1:8" x14ac:dyDescent="0.35">
      <c r="A500" s="62"/>
      <c r="B500" s="63"/>
      <c r="C500" s="63" t="str">
        <f>IFERROR(VLOOKUP(B500,منتجات!$A$3:$C$350,2,0),"")</f>
        <v/>
      </c>
      <c r="D500" s="63" t="str">
        <f>IFERROR(VLOOKUP(B500,منتجات!$A$3:$C$350,3,0),"")</f>
        <v/>
      </c>
      <c r="E500" s="63"/>
      <c r="F500" s="63" t="str">
        <f>IFERROR(INDEX(منتجات!$G$3:$G$350,MATCH(B500,منتجات!$A$3:$A$115,0)),"")</f>
        <v/>
      </c>
      <c r="G500" s="63" t="str">
        <f t="shared" si="9"/>
        <v/>
      </c>
      <c r="H500" s="69"/>
    </row>
    <row r="501" spans="1:8" x14ac:dyDescent="0.35">
      <c r="A501" s="64"/>
      <c r="B501" s="65"/>
      <c r="C501" s="65" t="str">
        <f>IFERROR(VLOOKUP(B501,منتجات!$A$3:$C$350,2,0),"")</f>
        <v/>
      </c>
      <c r="D501" s="65" t="str">
        <f>IFERROR(VLOOKUP(B501,منتجات!$A$3:$C$350,3,0),"")</f>
        <v/>
      </c>
      <c r="E501" s="65"/>
      <c r="F501" s="65" t="str">
        <f>IFERROR(INDEX(منتجات!$G$3:$G$350,MATCH(B501,منتجات!$A$3:$A$115,0)),"")</f>
        <v/>
      </c>
      <c r="G501" s="65" t="str">
        <f t="shared" si="9"/>
        <v/>
      </c>
      <c r="H501" s="70"/>
    </row>
    <row r="502" spans="1:8" x14ac:dyDescent="0.35">
      <c r="A502" s="62"/>
      <c r="B502" s="63"/>
      <c r="C502" s="63" t="str">
        <f>IFERROR(VLOOKUP(B502,منتجات!$A$3:$C$350,2,0),"")</f>
        <v/>
      </c>
      <c r="D502" s="63" t="str">
        <f>IFERROR(VLOOKUP(B502,منتجات!$A$3:$C$350,3,0),"")</f>
        <v/>
      </c>
      <c r="E502" s="63"/>
      <c r="F502" s="63" t="str">
        <f>IFERROR(INDEX(منتجات!$G$3:$G$350,MATCH(B502,منتجات!$A$3:$A$115,0)),"")</f>
        <v/>
      </c>
      <c r="G502" s="63" t="str">
        <f t="shared" si="9"/>
        <v/>
      </c>
      <c r="H502" s="69"/>
    </row>
    <row r="503" spans="1:8" x14ac:dyDescent="0.35">
      <c r="A503" s="64"/>
      <c r="B503" s="65"/>
      <c r="C503" s="65" t="str">
        <f>IFERROR(VLOOKUP(B503,منتجات!$A$3:$C$350,2,0),"")</f>
        <v/>
      </c>
      <c r="D503" s="65" t="str">
        <f>IFERROR(VLOOKUP(B503,منتجات!$A$3:$C$350,3,0),"")</f>
        <v/>
      </c>
      <c r="E503" s="65"/>
      <c r="F503" s="65" t="str">
        <f>IFERROR(INDEX(منتجات!$G$3:$G$350,MATCH(B503,منتجات!$A$3:$A$115,0)),"")</f>
        <v/>
      </c>
      <c r="G503" s="65" t="str">
        <f t="shared" si="9"/>
        <v/>
      </c>
      <c r="H503" s="70"/>
    </row>
    <row r="504" spans="1:8" x14ac:dyDescent="0.35">
      <c r="A504" s="62"/>
      <c r="B504" s="63"/>
      <c r="C504" s="63" t="str">
        <f>IFERROR(VLOOKUP(B504,منتجات!$A$3:$C$350,2,0),"")</f>
        <v/>
      </c>
      <c r="D504" s="63" t="str">
        <f>IFERROR(VLOOKUP(B504,منتجات!$A$3:$C$350,3,0),"")</f>
        <v/>
      </c>
      <c r="E504" s="63"/>
      <c r="F504" s="63" t="str">
        <f>IFERROR(INDEX(منتجات!$G$3:$G$350,MATCH(B504,منتجات!$A$3:$A$115,0)),"")</f>
        <v/>
      </c>
      <c r="G504" s="63" t="str">
        <f t="shared" si="9"/>
        <v/>
      </c>
      <c r="H504" s="69"/>
    </row>
    <row r="505" spans="1:8" x14ac:dyDescent="0.35">
      <c r="A505" s="64"/>
      <c r="B505" s="65"/>
      <c r="C505" s="65" t="str">
        <f>IFERROR(VLOOKUP(B505,منتجات!$A$3:$C$350,2,0),"")</f>
        <v/>
      </c>
      <c r="D505" s="65" t="str">
        <f>IFERROR(VLOOKUP(B505,منتجات!$A$3:$C$350,3,0),"")</f>
        <v/>
      </c>
      <c r="E505" s="65"/>
      <c r="F505" s="65" t="str">
        <f>IFERROR(INDEX(منتجات!$G$3:$G$350,MATCH(B505,منتجات!$A$3:$A$115,0)),"")</f>
        <v/>
      </c>
      <c r="G505" s="65" t="str">
        <f t="shared" si="9"/>
        <v/>
      </c>
      <c r="H505" s="70"/>
    </row>
    <row r="506" spans="1:8" x14ac:dyDescent="0.35">
      <c r="A506" s="62"/>
      <c r="B506" s="63"/>
      <c r="C506" s="63" t="str">
        <f>IFERROR(VLOOKUP(B506,منتجات!$A$3:$C$350,2,0),"")</f>
        <v/>
      </c>
      <c r="D506" s="63" t="str">
        <f>IFERROR(VLOOKUP(B506,منتجات!$A$3:$C$350,3,0),"")</f>
        <v/>
      </c>
      <c r="E506" s="63"/>
      <c r="F506" s="63" t="str">
        <f>IFERROR(INDEX(منتجات!$G$3:$G$350,MATCH(B506,منتجات!$A$3:$A$115,0)),"")</f>
        <v/>
      </c>
      <c r="G506" s="63" t="str">
        <f t="shared" si="9"/>
        <v/>
      </c>
      <c r="H506" s="69"/>
    </row>
    <row r="507" spans="1:8" x14ac:dyDescent="0.35">
      <c r="A507" s="64"/>
      <c r="B507" s="65"/>
      <c r="C507" s="65" t="str">
        <f>IFERROR(VLOOKUP(B507,منتجات!$A$3:$C$350,2,0),"")</f>
        <v/>
      </c>
      <c r="D507" s="65" t="str">
        <f>IFERROR(VLOOKUP(B507,منتجات!$A$3:$C$350,3,0),"")</f>
        <v/>
      </c>
      <c r="E507" s="65"/>
      <c r="F507" s="65" t="str">
        <f>IFERROR(INDEX(منتجات!$G$3:$G$350,MATCH(B507,منتجات!$A$3:$A$115,0)),"")</f>
        <v/>
      </c>
      <c r="G507" s="65" t="str">
        <f t="shared" si="9"/>
        <v/>
      </c>
      <c r="H507" s="70"/>
    </row>
    <row r="508" spans="1:8" x14ac:dyDescent="0.35">
      <c r="A508" s="62"/>
      <c r="B508" s="63"/>
      <c r="C508" s="63" t="str">
        <f>IFERROR(VLOOKUP(B508,منتجات!$A$3:$C$350,2,0),"")</f>
        <v/>
      </c>
      <c r="D508" s="63" t="str">
        <f>IFERROR(VLOOKUP(B508,منتجات!$A$3:$C$350,3,0),"")</f>
        <v/>
      </c>
      <c r="E508" s="63"/>
      <c r="F508" s="63" t="str">
        <f>IFERROR(INDEX(منتجات!$G$3:$G$350,MATCH(B508,منتجات!$A$3:$A$115,0)),"")</f>
        <v/>
      </c>
      <c r="G508" s="63" t="str">
        <f t="shared" si="9"/>
        <v/>
      </c>
      <c r="H508" s="69"/>
    </row>
    <row r="509" spans="1:8" x14ac:dyDescent="0.35">
      <c r="A509" s="64"/>
      <c r="B509" s="65"/>
      <c r="C509" s="65" t="str">
        <f>IFERROR(VLOOKUP(B509,منتجات!$A$3:$C$350,2,0),"")</f>
        <v/>
      </c>
      <c r="D509" s="65" t="str">
        <f>IFERROR(VLOOKUP(B509,منتجات!$A$3:$C$350,3,0),"")</f>
        <v/>
      </c>
      <c r="E509" s="65"/>
      <c r="F509" s="65" t="str">
        <f>IFERROR(INDEX(منتجات!$G$3:$G$350,MATCH(B509,منتجات!$A$3:$A$115,0)),"")</f>
        <v/>
      </c>
      <c r="G509" s="65" t="str">
        <f t="shared" si="9"/>
        <v/>
      </c>
      <c r="H509" s="70"/>
    </row>
    <row r="510" spans="1:8" x14ac:dyDescent="0.35">
      <c r="A510" s="62"/>
      <c r="B510" s="63"/>
      <c r="C510" s="63" t="str">
        <f>IFERROR(VLOOKUP(B510,منتجات!$A$3:$C$350,2,0),"")</f>
        <v/>
      </c>
      <c r="D510" s="63" t="str">
        <f>IFERROR(VLOOKUP(B510,منتجات!$A$3:$C$350,3,0),"")</f>
        <v/>
      </c>
      <c r="E510" s="63"/>
      <c r="F510" s="63" t="str">
        <f>IFERROR(INDEX(منتجات!$G$3:$G$350,MATCH(B510,منتجات!$A$3:$A$115,0)),"")</f>
        <v/>
      </c>
      <c r="G510" s="63" t="str">
        <f t="shared" si="9"/>
        <v/>
      </c>
      <c r="H510" s="69"/>
    </row>
    <row r="511" spans="1:8" x14ac:dyDescent="0.35">
      <c r="A511" s="64"/>
      <c r="B511" s="65"/>
      <c r="C511" s="65" t="str">
        <f>IFERROR(VLOOKUP(B511,منتجات!$A$3:$C$350,2,0),"")</f>
        <v/>
      </c>
      <c r="D511" s="65" t="str">
        <f>IFERROR(VLOOKUP(B511,منتجات!$A$3:$C$350,3,0),"")</f>
        <v/>
      </c>
      <c r="E511" s="65"/>
      <c r="F511" s="65" t="str">
        <f>IFERROR(INDEX(منتجات!$G$3:$G$350,MATCH(B511,منتجات!$A$3:$A$115,0)),"")</f>
        <v/>
      </c>
      <c r="G511" s="65" t="str">
        <f t="shared" si="9"/>
        <v/>
      </c>
      <c r="H511" s="70"/>
    </row>
    <row r="512" spans="1:8" x14ac:dyDescent="0.35">
      <c r="A512" s="62"/>
      <c r="B512" s="63"/>
      <c r="C512" s="63" t="str">
        <f>IFERROR(VLOOKUP(B512,منتجات!$A$3:$C$350,2,0),"")</f>
        <v/>
      </c>
      <c r="D512" s="63" t="str">
        <f>IFERROR(VLOOKUP(B512,منتجات!$A$3:$C$350,3,0),"")</f>
        <v/>
      </c>
      <c r="E512" s="63"/>
      <c r="F512" s="63" t="str">
        <f>IFERROR(INDEX(منتجات!$G$3:$G$350,MATCH(B512,منتجات!$A$3:$A$115,0)),"")</f>
        <v/>
      </c>
      <c r="G512" s="63" t="str">
        <f t="shared" si="9"/>
        <v/>
      </c>
      <c r="H512" s="69"/>
    </row>
    <row r="513" spans="1:8" x14ac:dyDescent="0.35">
      <c r="A513" s="64"/>
      <c r="B513" s="65"/>
      <c r="C513" s="65" t="str">
        <f>IFERROR(VLOOKUP(B513,منتجات!$A$3:$C$350,2,0),"")</f>
        <v/>
      </c>
      <c r="D513" s="65" t="str">
        <f>IFERROR(VLOOKUP(B513,منتجات!$A$3:$C$350,3,0),"")</f>
        <v/>
      </c>
      <c r="E513" s="65"/>
      <c r="F513" s="65" t="str">
        <f>IFERROR(INDEX(منتجات!$G$3:$G$350,MATCH(B513,منتجات!$A$3:$A$115,0)),"")</f>
        <v/>
      </c>
      <c r="G513" s="65" t="str">
        <f t="shared" si="9"/>
        <v/>
      </c>
      <c r="H513" s="70"/>
    </row>
    <row r="514" spans="1:8" x14ac:dyDescent="0.35">
      <c r="A514" s="62"/>
      <c r="B514" s="63"/>
      <c r="C514" s="63" t="str">
        <f>IFERROR(VLOOKUP(B514,منتجات!$A$3:$C$350,2,0),"")</f>
        <v/>
      </c>
      <c r="D514" s="63" t="str">
        <f>IFERROR(VLOOKUP(B514,منتجات!$A$3:$C$350,3,0),"")</f>
        <v/>
      </c>
      <c r="E514" s="63"/>
      <c r="F514" s="63" t="str">
        <f>IFERROR(INDEX(منتجات!$G$3:$G$350,MATCH(B514,منتجات!$A$3:$A$115,0)),"")</f>
        <v/>
      </c>
      <c r="G514" s="63" t="str">
        <f t="shared" si="9"/>
        <v/>
      </c>
      <c r="H514" s="69"/>
    </row>
    <row r="515" spans="1:8" x14ac:dyDescent="0.35">
      <c r="A515" s="64"/>
      <c r="B515" s="65"/>
      <c r="C515" s="65" t="str">
        <f>IFERROR(VLOOKUP(B515,منتجات!$A$3:$C$350,2,0),"")</f>
        <v/>
      </c>
      <c r="D515" s="65" t="str">
        <f>IFERROR(VLOOKUP(B515,منتجات!$A$3:$C$350,3,0),"")</f>
        <v/>
      </c>
      <c r="E515" s="65"/>
      <c r="F515" s="65" t="str">
        <f>IFERROR(INDEX(منتجات!$G$3:$G$350,MATCH(B515,منتجات!$A$3:$A$115,0)),"")</f>
        <v/>
      </c>
      <c r="G515" s="65" t="str">
        <f t="shared" si="9"/>
        <v/>
      </c>
      <c r="H515" s="70"/>
    </row>
    <row r="516" spans="1:8" x14ac:dyDescent="0.35">
      <c r="A516" s="62"/>
      <c r="B516" s="63"/>
      <c r="C516" s="63" t="str">
        <f>IFERROR(VLOOKUP(B516,منتجات!$A$3:$C$350,2,0),"")</f>
        <v/>
      </c>
      <c r="D516" s="63" t="str">
        <f>IFERROR(VLOOKUP(B516,منتجات!$A$3:$C$350,3,0),"")</f>
        <v/>
      </c>
      <c r="E516" s="63"/>
      <c r="F516" s="63" t="str">
        <f>IFERROR(INDEX(منتجات!$G$3:$G$350,MATCH(B516,منتجات!$A$3:$A$115,0)),"")</f>
        <v/>
      </c>
      <c r="G516" s="63" t="str">
        <f t="shared" si="9"/>
        <v/>
      </c>
      <c r="H516" s="69"/>
    </row>
    <row r="517" spans="1:8" x14ac:dyDescent="0.35">
      <c r="A517" s="64"/>
      <c r="B517" s="65"/>
      <c r="C517" s="65" t="str">
        <f>IFERROR(VLOOKUP(B517,منتجات!$A$3:$C$350,2,0),"")</f>
        <v/>
      </c>
      <c r="D517" s="65" t="str">
        <f>IFERROR(VLOOKUP(B517,منتجات!$A$3:$C$350,3,0),"")</f>
        <v/>
      </c>
      <c r="E517" s="65"/>
      <c r="F517" s="65" t="str">
        <f>IFERROR(INDEX(منتجات!$G$3:$G$350,MATCH(B517,منتجات!$A$3:$A$115,0)),"")</f>
        <v/>
      </c>
      <c r="G517" s="65" t="str">
        <f t="shared" si="9"/>
        <v/>
      </c>
      <c r="H517" s="70"/>
    </row>
    <row r="518" spans="1:8" x14ac:dyDescent="0.35">
      <c r="A518" s="62"/>
      <c r="B518" s="63"/>
      <c r="C518" s="63" t="str">
        <f>IFERROR(VLOOKUP(B518,منتجات!$A$3:$C$350,2,0),"")</f>
        <v/>
      </c>
      <c r="D518" s="63" t="str">
        <f>IFERROR(VLOOKUP(B518,منتجات!$A$3:$C$350,3,0),"")</f>
        <v/>
      </c>
      <c r="E518" s="63"/>
      <c r="F518" s="63" t="str">
        <f>IFERROR(INDEX(منتجات!$G$3:$G$350,MATCH(B518,منتجات!$A$3:$A$115,0)),"")</f>
        <v/>
      </c>
      <c r="G518" s="63" t="str">
        <f t="shared" ref="G518:G581" si="10">IFERROR(E518*F518*D518,"")</f>
        <v/>
      </c>
      <c r="H518" s="69"/>
    </row>
    <row r="519" spans="1:8" x14ac:dyDescent="0.35">
      <c r="A519" s="64"/>
      <c r="B519" s="65"/>
      <c r="C519" s="65" t="str">
        <f>IFERROR(VLOOKUP(B519,منتجات!$A$3:$C$350,2,0),"")</f>
        <v/>
      </c>
      <c r="D519" s="65" t="str">
        <f>IFERROR(VLOOKUP(B519,منتجات!$A$3:$C$350,3,0),"")</f>
        <v/>
      </c>
      <c r="E519" s="65"/>
      <c r="F519" s="65" t="str">
        <f>IFERROR(INDEX(منتجات!$G$3:$G$350,MATCH(B519,منتجات!$A$3:$A$115,0)),"")</f>
        <v/>
      </c>
      <c r="G519" s="65" t="str">
        <f t="shared" si="10"/>
        <v/>
      </c>
      <c r="H519" s="70"/>
    </row>
    <row r="520" spans="1:8" x14ac:dyDescent="0.35">
      <c r="A520" s="62"/>
      <c r="B520" s="63"/>
      <c r="C520" s="63" t="str">
        <f>IFERROR(VLOOKUP(B520,منتجات!$A$3:$C$350,2,0),"")</f>
        <v/>
      </c>
      <c r="D520" s="63" t="str">
        <f>IFERROR(VLOOKUP(B520,منتجات!$A$3:$C$350,3,0),"")</f>
        <v/>
      </c>
      <c r="E520" s="63"/>
      <c r="F520" s="63" t="str">
        <f>IFERROR(INDEX(منتجات!$G$3:$G$350,MATCH(B520,منتجات!$A$3:$A$115,0)),"")</f>
        <v/>
      </c>
      <c r="G520" s="63" t="str">
        <f t="shared" si="10"/>
        <v/>
      </c>
      <c r="H520" s="69"/>
    </row>
    <row r="521" spans="1:8" x14ac:dyDescent="0.35">
      <c r="A521" s="64"/>
      <c r="B521" s="65"/>
      <c r="C521" s="65" t="str">
        <f>IFERROR(VLOOKUP(B521,منتجات!$A$3:$C$350,2,0),"")</f>
        <v/>
      </c>
      <c r="D521" s="65" t="str">
        <f>IFERROR(VLOOKUP(B521,منتجات!$A$3:$C$350,3,0),"")</f>
        <v/>
      </c>
      <c r="E521" s="65"/>
      <c r="F521" s="65" t="str">
        <f>IFERROR(INDEX(منتجات!$G$3:$G$350,MATCH(B521,منتجات!$A$3:$A$115,0)),"")</f>
        <v/>
      </c>
      <c r="G521" s="65" t="str">
        <f t="shared" si="10"/>
        <v/>
      </c>
      <c r="H521" s="70"/>
    </row>
    <row r="522" spans="1:8" x14ac:dyDescent="0.35">
      <c r="A522" s="62"/>
      <c r="B522" s="63"/>
      <c r="C522" s="63" t="str">
        <f>IFERROR(VLOOKUP(B522,منتجات!$A$3:$C$350,2,0),"")</f>
        <v/>
      </c>
      <c r="D522" s="63" t="str">
        <f>IFERROR(VLOOKUP(B522,منتجات!$A$3:$C$350,3,0),"")</f>
        <v/>
      </c>
      <c r="E522" s="63"/>
      <c r="F522" s="63" t="str">
        <f>IFERROR(INDEX(منتجات!$G$3:$G$350,MATCH(B522,منتجات!$A$3:$A$115,0)),"")</f>
        <v/>
      </c>
      <c r="G522" s="63" t="str">
        <f t="shared" si="10"/>
        <v/>
      </c>
      <c r="H522" s="69"/>
    </row>
    <row r="523" spans="1:8" x14ac:dyDescent="0.35">
      <c r="A523" s="64"/>
      <c r="B523" s="65"/>
      <c r="C523" s="65" t="str">
        <f>IFERROR(VLOOKUP(B523,منتجات!$A$3:$C$350,2,0),"")</f>
        <v/>
      </c>
      <c r="D523" s="65" t="str">
        <f>IFERROR(VLOOKUP(B523,منتجات!$A$3:$C$350,3,0),"")</f>
        <v/>
      </c>
      <c r="E523" s="65"/>
      <c r="F523" s="65" t="str">
        <f>IFERROR(INDEX(منتجات!$G$3:$G$350,MATCH(B523,منتجات!$A$3:$A$115,0)),"")</f>
        <v/>
      </c>
      <c r="G523" s="65" t="str">
        <f t="shared" si="10"/>
        <v/>
      </c>
      <c r="H523" s="70"/>
    </row>
    <row r="524" spans="1:8" x14ac:dyDescent="0.35">
      <c r="A524" s="62"/>
      <c r="B524" s="63"/>
      <c r="C524" s="63" t="str">
        <f>IFERROR(VLOOKUP(B524,منتجات!$A$3:$C$350,2,0),"")</f>
        <v/>
      </c>
      <c r="D524" s="63" t="str">
        <f>IFERROR(VLOOKUP(B524,منتجات!$A$3:$C$350,3,0),"")</f>
        <v/>
      </c>
      <c r="E524" s="63"/>
      <c r="F524" s="63" t="str">
        <f>IFERROR(INDEX(منتجات!$G$3:$G$350,MATCH(B524,منتجات!$A$3:$A$115,0)),"")</f>
        <v/>
      </c>
      <c r="G524" s="63" t="str">
        <f t="shared" si="10"/>
        <v/>
      </c>
      <c r="H524" s="69"/>
    </row>
    <row r="525" spans="1:8" x14ac:dyDescent="0.35">
      <c r="A525" s="64"/>
      <c r="B525" s="65"/>
      <c r="C525" s="65" t="str">
        <f>IFERROR(VLOOKUP(B525,منتجات!$A$3:$C$350,2,0),"")</f>
        <v/>
      </c>
      <c r="D525" s="65" t="str">
        <f>IFERROR(VLOOKUP(B525,منتجات!$A$3:$C$350,3,0),"")</f>
        <v/>
      </c>
      <c r="E525" s="65"/>
      <c r="F525" s="65" t="str">
        <f>IFERROR(INDEX(منتجات!$G$3:$G$350,MATCH(B525,منتجات!$A$3:$A$115,0)),"")</f>
        <v/>
      </c>
      <c r="G525" s="65" t="str">
        <f t="shared" si="10"/>
        <v/>
      </c>
      <c r="H525" s="70"/>
    </row>
    <row r="526" spans="1:8" x14ac:dyDescent="0.35">
      <c r="A526" s="62"/>
      <c r="B526" s="63"/>
      <c r="C526" s="63" t="str">
        <f>IFERROR(VLOOKUP(B526,منتجات!$A$3:$C$350,2,0),"")</f>
        <v/>
      </c>
      <c r="D526" s="63" t="str">
        <f>IFERROR(VLOOKUP(B526,منتجات!$A$3:$C$350,3,0),"")</f>
        <v/>
      </c>
      <c r="E526" s="63"/>
      <c r="F526" s="63" t="str">
        <f>IFERROR(INDEX(منتجات!$G$3:$G$350,MATCH(B526,منتجات!$A$3:$A$115,0)),"")</f>
        <v/>
      </c>
      <c r="G526" s="63" t="str">
        <f t="shared" si="10"/>
        <v/>
      </c>
      <c r="H526" s="69"/>
    </row>
    <row r="527" spans="1:8" x14ac:dyDescent="0.35">
      <c r="A527" s="64"/>
      <c r="B527" s="65"/>
      <c r="C527" s="65" t="str">
        <f>IFERROR(VLOOKUP(B527,منتجات!$A$3:$C$350,2,0),"")</f>
        <v/>
      </c>
      <c r="D527" s="65" t="str">
        <f>IFERROR(VLOOKUP(B527,منتجات!$A$3:$C$350,3,0),"")</f>
        <v/>
      </c>
      <c r="E527" s="65"/>
      <c r="F527" s="65" t="str">
        <f>IFERROR(INDEX(منتجات!$G$3:$G$350,MATCH(B527,منتجات!$A$3:$A$115,0)),"")</f>
        <v/>
      </c>
      <c r="G527" s="65" t="str">
        <f t="shared" si="10"/>
        <v/>
      </c>
      <c r="H527" s="70"/>
    </row>
    <row r="528" spans="1:8" x14ac:dyDescent="0.35">
      <c r="A528" s="62"/>
      <c r="B528" s="63"/>
      <c r="C528" s="63" t="str">
        <f>IFERROR(VLOOKUP(B528,منتجات!$A$3:$C$350,2,0),"")</f>
        <v/>
      </c>
      <c r="D528" s="63" t="str">
        <f>IFERROR(VLOOKUP(B528,منتجات!$A$3:$C$350,3,0),"")</f>
        <v/>
      </c>
      <c r="E528" s="63"/>
      <c r="F528" s="63" t="str">
        <f>IFERROR(INDEX(منتجات!$G$3:$G$350,MATCH(B528,منتجات!$A$3:$A$115,0)),"")</f>
        <v/>
      </c>
      <c r="G528" s="63" t="str">
        <f t="shared" si="10"/>
        <v/>
      </c>
      <c r="H528" s="69"/>
    </row>
    <row r="529" spans="1:8" x14ac:dyDescent="0.35">
      <c r="A529" s="64"/>
      <c r="B529" s="65"/>
      <c r="C529" s="65" t="str">
        <f>IFERROR(VLOOKUP(B529,منتجات!$A$3:$C$350,2,0),"")</f>
        <v/>
      </c>
      <c r="D529" s="65" t="str">
        <f>IFERROR(VLOOKUP(B529,منتجات!$A$3:$C$350,3,0),"")</f>
        <v/>
      </c>
      <c r="E529" s="65"/>
      <c r="F529" s="65" t="str">
        <f>IFERROR(INDEX(منتجات!$G$3:$G$350,MATCH(B529,منتجات!$A$3:$A$115,0)),"")</f>
        <v/>
      </c>
      <c r="G529" s="65" t="str">
        <f t="shared" si="10"/>
        <v/>
      </c>
      <c r="H529" s="70"/>
    </row>
    <row r="530" spans="1:8" x14ac:dyDescent="0.35">
      <c r="A530" s="62"/>
      <c r="B530" s="63"/>
      <c r="C530" s="63" t="str">
        <f>IFERROR(VLOOKUP(B530,منتجات!$A$3:$C$350,2,0),"")</f>
        <v/>
      </c>
      <c r="D530" s="63" t="str">
        <f>IFERROR(VLOOKUP(B530,منتجات!$A$3:$C$350,3,0),"")</f>
        <v/>
      </c>
      <c r="E530" s="63"/>
      <c r="F530" s="63" t="str">
        <f>IFERROR(INDEX(منتجات!$G$3:$G$350,MATCH(B530,منتجات!$A$3:$A$115,0)),"")</f>
        <v/>
      </c>
      <c r="G530" s="63" t="str">
        <f t="shared" si="10"/>
        <v/>
      </c>
      <c r="H530" s="69"/>
    </row>
    <row r="531" spans="1:8" x14ac:dyDescent="0.35">
      <c r="A531" s="64"/>
      <c r="B531" s="65"/>
      <c r="C531" s="65" t="str">
        <f>IFERROR(VLOOKUP(B531,منتجات!$A$3:$C$350,2,0),"")</f>
        <v/>
      </c>
      <c r="D531" s="65" t="str">
        <f>IFERROR(VLOOKUP(B531,منتجات!$A$3:$C$350,3,0),"")</f>
        <v/>
      </c>
      <c r="E531" s="65"/>
      <c r="F531" s="65" t="str">
        <f>IFERROR(INDEX(منتجات!$G$3:$G$350,MATCH(B531,منتجات!$A$3:$A$115,0)),"")</f>
        <v/>
      </c>
      <c r="G531" s="65" t="str">
        <f t="shared" si="10"/>
        <v/>
      </c>
      <c r="H531" s="70"/>
    </row>
    <row r="532" spans="1:8" x14ac:dyDescent="0.35">
      <c r="A532" s="62"/>
      <c r="B532" s="63"/>
      <c r="C532" s="63" t="str">
        <f>IFERROR(VLOOKUP(B532,منتجات!$A$3:$C$350,2,0),"")</f>
        <v/>
      </c>
      <c r="D532" s="63" t="str">
        <f>IFERROR(VLOOKUP(B532,منتجات!$A$3:$C$350,3,0),"")</f>
        <v/>
      </c>
      <c r="E532" s="63"/>
      <c r="F532" s="63" t="str">
        <f>IFERROR(INDEX(منتجات!$G$3:$G$350,MATCH(B532,منتجات!$A$3:$A$115,0)),"")</f>
        <v/>
      </c>
      <c r="G532" s="63" t="str">
        <f t="shared" si="10"/>
        <v/>
      </c>
      <c r="H532" s="69"/>
    </row>
    <row r="533" spans="1:8" x14ac:dyDescent="0.35">
      <c r="A533" s="64"/>
      <c r="B533" s="65"/>
      <c r="C533" s="65" t="str">
        <f>IFERROR(VLOOKUP(B533,منتجات!$A$3:$C$350,2,0),"")</f>
        <v/>
      </c>
      <c r="D533" s="65" t="str">
        <f>IFERROR(VLOOKUP(B533,منتجات!$A$3:$C$350,3,0),"")</f>
        <v/>
      </c>
      <c r="E533" s="65"/>
      <c r="F533" s="65" t="str">
        <f>IFERROR(INDEX(منتجات!$G$3:$G$350,MATCH(B533,منتجات!$A$3:$A$115,0)),"")</f>
        <v/>
      </c>
      <c r="G533" s="65" t="str">
        <f t="shared" si="10"/>
        <v/>
      </c>
      <c r="H533" s="70"/>
    </row>
    <row r="534" spans="1:8" x14ac:dyDescent="0.35">
      <c r="A534" s="62"/>
      <c r="B534" s="63"/>
      <c r="C534" s="63" t="str">
        <f>IFERROR(VLOOKUP(B534,منتجات!$A$3:$C$350,2,0),"")</f>
        <v/>
      </c>
      <c r="D534" s="63" t="str">
        <f>IFERROR(VLOOKUP(B534,منتجات!$A$3:$C$350,3,0),"")</f>
        <v/>
      </c>
      <c r="E534" s="63"/>
      <c r="F534" s="63" t="str">
        <f>IFERROR(INDEX(منتجات!$G$3:$G$350,MATCH(B534,منتجات!$A$3:$A$115,0)),"")</f>
        <v/>
      </c>
      <c r="G534" s="63" t="str">
        <f t="shared" si="10"/>
        <v/>
      </c>
      <c r="H534" s="69"/>
    </row>
    <row r="535" spans="1:8" x14ac:dyDescent="0.35">
      <c r="A535" s="64"/>
      <c r="B535" s="65"/>
      <c r="C535" s="65" t="str">
        <f>IFERROR(VLOOKUP(B535,منتجات!$A$3:$C$350,2,0),"")</f>
        <v/>
      </c>
      <c r="D535" s="65" t="str">
        <f>IFERROR(VLOOKUP(B535,منتجات!$A$3:$C$350,3,0),"")</f>
        <v/>
      </c>
      <c r="E535" s="65"/>
      <c r="F535" s="65" t="str">
        <f>IFERROR(INDEX(منتجات!$G$3:$G$350,MATCH(B535,منتجات!$A$3:$A$115,0)),"")</f>
        <v/>
      </c>
      <c r="G535" s="65" t="str">
        <f t="shared" si="10"/>
        <v/>
      </c>
      <c r="H535" s="70"/>
    </row>
    <row r="536" spans="1:8" x14ac:dyDescent="0.35">
      <c r="A536" s="62"/>
      <c r="B536" s="63"/>
      <c r="C536" s="63" t="str">
        <f>IFERROR(VLOOKUP(B536,منتجات!$A$3:$C$350,2,0),"")</f>
        <v/>
      </c>
      <c r="D536" s="63" t="str">
        <f>IFERROR(VLOOKUP(B536,منتجات!$A$3:$C$350,3,0),"")</f>
        <v/>
      </c>
      <c r="E536" s="63"/>
      <c r="F536" s="63" t="str">
        <f>IFERROR(INDEX(منتجات!$G$3:$G$350,MATCH(B536,منتجات!$A$3:$A$115,0)),"")</f>
        <v/>
      </c>
      <c r="G536" s="63" t="str">
        <f t="shared" si="10"/>
        <v/>
      </c>
      <c r="H536" s="69"/>
    </row>
    <row r="537" spans="1:8" x14ac:dyDescent="0.35">
      <c r="A537" s="64"/>
      <c r="B537" s="65"/>
      <c r="C537" s="65" t="str">
        <f>IFERROR(VLOOKUP(B537,منتجات!$A$3:$C$350,2,0),"")</f>
        <v/>
      </c>
      <c r="D537" s="65" t="str">
        <f>IFERROR(VLOOKUP(B537,منتجات!$A$3:$C$350,3,0),"")</f>
        <v/>
      </c>
      <c r="E537" s="65"/>
      <c r="F537" s="65" t="str">
        <f>IFERROR(INDEX(منتجات!$G$3:$G$350,MATCH(B537,منتجات!$A$3:$A$115,0)),"")</f>
        <v/>
      </c>
      <c r="G537" s="65" t="str">
        <f t="shared" si="10"/>
        <v/>
      </c>
      <c r="H537" s="70"/>
    </row>
    <row r="538" spans="1:8" x14ac:dyDescent="0.35">
      <c r="A538" s="62"/>
      <c r="B538" s="63"/>
      <c r="C538" s="63" t="str">
        <f>IFERROR(VLOOKUP(B538,منتجات!$A$3:$C$350,2,0),"")</f>
        <v/>
      </c>
      <c r="D538" s="63" t="str">
        <f>IFERROR(VLOOKUP(B538,منتجات!$A$3:$C$350,3,0),"")</f>
        <v/>
      </c>
      <c r="E538" s="63"/>
      <c r="F538" s="63" t="str">
        <f>IFERROR(INDEX(منتجات!$G$3:$G$350,MATCH(B538,منتجات!$A$3:$A$115,0)),"")</f>
        <v/>
      </c>
      <c r="G538" s="63" t="str">
        <f t="shared" si="10"/>
        <v/>
      </c>
      <c r="H538" s="69"/>
    </row>
    <row r="539" spans="1:8" x14ac:dyDescent="0.35">
      <c r="A539" s="64"/>
      <c r="B539" s="65"/>
      <c r="C539" s="65" t="str">
        <f>IFERROR(VLOOKUP(B539,منتجات!$A$3:$C$350,2,0),"")</f>
        <v/>
      </c>
      <c r="D539" s="65" t="str">
        <f>IFERROR(VLOOKUP(B539,منتجات!$A$3:$C$350,3,0),"")</f>
        <v/>
      </c>
      <c r="E539" s="65"/>
      <c r="F539" s="65" t="str">
        <f>IFERROR(INDEX(منتجات!$G$3:$G$350,MATCH(B539,منتجات!$A$3:$A$115,0)),"")</f>
        <v/>
      </c>
      <c r="G539" s="65" t="str">
        <f t="shared" si="10"/>
        <v/>
      </c>
      <c r="H539" s="70"/>
    </row>
    <row r="540" spans="1:8" x14ac:dyDescent="0.35">
      <c r="A540" s="62"/>
      <c r="B540" s="63"/>
      <c r="C540" s="63" t="str">
        <f>IFERROR(VLOOKUP(B540,منتجات!$A$3:$C$350,2,0),"")</f>
        <v/>
      </c>
      <c r="D540" s="63" t="str">
        <f>IFERROR(VLOOKUP(B540,منتجات!$A$3:$C$350,3,0),"")</f>
        <v/>
      </c>
      <c r="E540" s="63"/>
      <c r="F540" s="63" t="str">
        <f>IFERROR(INDEX(منتجات!$G$3:$G$350,MATCH(B540,منتجات!$A$3:$A$115,0)),"")</f>
        <v/>
      </c>
      <c r="G540" s="63" t="str">
        <f t="shared" si="10"/>
        <v/>
      </c>
      <c r="H540" s="69"/>
    </row>
    <row r="541" spans="1:8" x14ac:dyDescent="0.35">
      <c r="A541" s="64"/>
      <c r="B541" s="65"/>
      <c r="C541" s="65" t="str">
        <f>IFERROR(VLOOKUP(B541,منتجات!$A$3:$C$350,2,0),"")</f>
        <v/>
      </c>
      <c r="D541" s="65" t="str">
        <f>IFERROR(VLOOKUP(B541,منتجات!$A$3:$C$350,3,0),"")</f>
        <v/>
      </c>
      <c r="E541" s="65"/>
      <c r="F541" s="65" t="str">
        <f>IFERROR(INDEX(منتجات!$G$3:$G$350,MATCH(B541,منتجات!$A$3:$A$115,0)),"")</f>
        <v/>
      </c>
      <c r="G541" s="65" t="str">
        <f t="shared" si="10"/>
        <v/>
      </c>
      <c r="H541" s="70"/>
    </row>
    <row r="542" spans="1:8" x14ac:dyDescent="0.35">
      <c r="A542" s="62"/>
      <c r="B542" s="63"/>
      <c r="C542" s="63" t="str">
        <f>IFERROR(VLOOKUP(B542,منتجات!$A$3:$C$350,2,0),"")</f>
        <v/>
      </c>
      <c r="D542" s="63" t="str">
        <f>IFERROR(VLOOKUP(B542,منتجات!$A$3:$C$350,3,0),"")</f>
        <v/>
      </c>
      <c r="E542" s="63"/>
      <c r="F542" s="63" t="str">
        <f>IFERROR(INDEX(منتجات!$G$3:$G$350,MATCH(B542,منتجات!$A$3:$A$115,0)),"")</f>
        <v/>
      </c>
      <c r="G542" s="63" t="str">
        <f t="shared" si="10"/>
        <v/>
      </c>
      <c r="H542" s="69"/>
    </row>
    <row r="543" spans="1:8" x14ac:dyDescent="0.35">
      <c r="A543" s="64"/>
      <c r="B543" s="65"/>
      <c r="C543" s="65" t="str">
        <f>IFERROR(VLOOKUP(B543,منتجات!$A$3:$C$350,2,0),"")</f>
        <v/>
      </c>
      <c r="D543" s="65" t="str">
        <f>IFERROR(VLOOKUP(B543,منتجات!$A$3:$C$350,3,0),"")</f>
        <v/>
      </c>
      <c r="E543" s="65"/>
      <c r="F543" s="65" t="str">
        <f>IFERROR(INDEX(منتجات!$G$3:$G$350,MATCH(B543,منتجات!$A$3:$A$115,0)),"")</f>
        <v/>
      </c>
      <c r="G543" s="65" t="str">
        <f t="shared" si="10"/>
        <v/>
      </c>
      <c r="H543" s="70"/>
    </row>
    <row r="544" spans="1:8" x14ac:dyDescent="0.35">
      <c r="A544" s="62"/>
      <c r="B544" s="63"/>
      <c r="C544" s="63" t="str">
        <f>IFERROR(VLOOKUP(B544,منتجات!$A$3:$C$350,2,0),"")</f>
        <v/>
      </c>
      <c r="D544" s="63" t="str">
        <f>IFERROR(VLOOKUP(B544,منتجات!$A$3:$C$350,3,0),"")</f>
        <v/>
      </c>
      <c r="E544" s="63"/>
      <c r="F544" s="63" t="str">
        <f>IFERROR(INDEX(منتجات!$G$3:$G$350,MATCH(B544,منتجات!$A$3:$A$115,0)),"")</f>
        <v/>
      </c>
      <c r="G544" s="63" t="str">
        <f t="shared" si="10"/>
        <v/>
      </c>
      <c r="H544" s="69"/>
    </row>
    <row r="545" spans="1:8" x14ac:dyDescent="0.35">
      <c r="A545" s="64"/>
      <c r="B545" s="65"/>
      <c r="C545" s="65" t="str">
        <f>IFERROR(VLOOKUP(B545,منتجات!$A$3:$C$350,2,0),"")</f>
        <v/>
      </c>
      <c r="D545" s="65" t="str">
        <f>IFERROR(VLOOKUP(B545,منتجات!$A$3:$C$350,3,0),"")</f>
        <v/>
      </c>
      <c r="E545" s="65"/>
      <c r="F545" s="65" t="str">
        <f>IFERROR(INDEX(منتجات!$G$3:$G$350,MATCH(B545,منتجات!$A$3:$A$115,0)),"")</f>
        <v/>
      </c>
      <c r="G545" s="65" t="str">
        <f t="shared" si="10"/>
        <v/>
      </c>
      <c r="H545" s="70"/>
    </row>
    <row r="546" spans="1:8" x14ac:dyDescent="0.35">
      <c r="A546" s="62"/>
      <c r="B546" s="63"/>
      <c r="C546" s="63" t="str">
        <f>IFERROR(VLOOKUP(B546,منتجات!$A$3:$C$350,2,0),"")</f>
        <v/>
      </c>
      <c r="D546" s="63" t="str">
        <f>IFERROR(VLOOKUP(B546,منتجات!$A$3:$C$350,3,0),"")</f>
        <v/>
      </c>
      <c r="E546" s="63"/>
      <c r="F546" s="63" t="str">
        <f>IFERROR(INDEX(منتجات!$G$3:$G$350,MATCH(B546,منتجات!$A$3:$A$115,0)),"")</f>
        <v/>
      </c>
      <c r="G546" s="63" t="str">
        <f t="shared" si="10"/>
        <v/>
      </c>
      <c r="H546" s="69"/>
    </row>
    <row r="547" spans="1:8" x14ac:dyDescent="0.35">
      <c r="A547" s="64"/>
      <c r="B547" s="65"/>
      <c r="C547" s="65" t="str">
        <f>IFERROR(VLOOKUP(B547,منتجات!$A$3:$C$350,2,0),"")</f>
        <v/>
      </c>
      <c r="D547" s="65" t="str">
        <f>IFERROR(VLOOKUP(B547,منتجات!$A$3:$C$350,3,0),"")</f>
        <v/>
      </c>
      <c r="E547" s="65"/>
      <c r="F547" s="65" t="str">
        <f>IFERROR(INDEX(منتجات!$G$3:$G$350,MATCH(B547,منتجات!$A$3:$A$115,0)),"")</f>
        <v/>
      </c>
      <c r="G547" s="65" t="str">
        <f t="shared" si="10"/>
        <v/>
      </c>
      <c r="H547" s="70"/>
    </row>
    <row r="548" spans="1:8" x14ac:dyDescent="0.35">
      <c r="A548" s="62"/>
      <c r="B548" s="63"/>
      <c r="C548" s="63" t="str">
        <f>IFERROR(VLOOKUP(B548,منتجات!$A$3:$C$350,2,0),"")</f>
        <v/>
      </c>
      <c r="D548" s="63" t="str">
        <f>IFERROR(VLOOKUP(B548,منتجات!$A$3:$C$350,3,0),"")</f>
        <v/>
      </c>
      <c r="E548" s="63"/>
      <c r="F548" s="63" t="str">
        <f>IFERROR(INDEX(منتجات!$G$3:$G$350,MATCH(B548,منتجات!$A$3:$A$115,0)),"")</f>
        <v/>
      </c>
      <c r="G548" s="63" t="str">
        <f t="shared" si="10"/>
        <v/>
      </c>
      <c r="H548" s="69"/>
    </row>
    <row r="549" spans="1:8" x14ac:dyDescent="0.35">
      <c r="A549" s="64"/>
      <c r="B549" s="65"/>
      <c r="C549" s="65" t="str">
        <f>IFERROR(VLOOKUP(B549,منتجات!$A$3:$C$350,2,0),"")</f>
        <v/>
      </c>
      <c r="D549" s="65" t="str">
        <f>IFERROR(VLOOKUP(B549,منتجات!$A$3:$C$350,3,0),"")</f>
        <v/>
      </c>
      <c r="E549" s="65"/>
      <c r="F549" s="65" t="str">
        <f>IFERROR(INDEX(منتجات!$G$3:$G$350,MATCH(B549,منتجات!$A$3:$A$115,0)),"")</f>
        <v/>
      </c>
      <c r="G549" s="65" t="str">
        <f t="shared" si="10"/>
        <v/>
      </c>
      <c r="H549" s="70"/>
    </row>
    <row r="550" spans="1:8" x14ac:dyDescent="0.35">
      <c r="A550" s="62"/>
      <c r="B550" s="63"/>
      <c r="C550" s="63" t="str">
        <f>IFERROR(VLOOKUP(B550,منتجات!$A$3:$C$350,2,0),"")</f>
        <v/>
      </c>
      <c r="D550" s="63" t="str">
        <f>IFERROR(VLOOKUP(B550,منتجات!$A$3:$C$350,3,0),"")</f>
        <v/>
      </c>
      <c r="E550" s="63"/>
      <c r="F550" s="63" t="str">
        <f>IFERROR(INDEX(منتجات!$G$3:$G$350,MATCH(B550,منتجات!$A$3:$A$115,0)),"")</f>
        <v/>
      </c>
      <c r="G550" s="63" t="str">
        <f t="shared" si="10"/>
        <v/>
      </c>
      <c r="H550" s="69"/>
    </row>
    <row r="551" spans="1:8" x14ac:dyDescent="0.35">
      <c r="A551" s="64"/>
      <c r="B551" s="65"/>
      <c r="C551" s="65" t="str">
        <f>IFERROR(VLOOKUP(B551,منتجات!$A$3:$C$350,2,0),"")</f>
        <v/>
      </c>
      <c r="D551" s="65" t="str">
        <f>IFERROR(VLOOKUP(B551,منتجات!$A$3:$C$350,3,0),"")</f>
        <v/>
      </c>
      <c r="E551" s="65"/>
      <c r="F551" s="65" t="str">
        <f>IFERROR(INDEX(منتجات!$G$3:$G$350,MATCH(B551,منتجات!$A$3:$A$115,0)),"")</f>
        <v/>
      </c>
      <c r="G551" s="65" t="str">
        <f t="shared" si="10"/>
        <v/>
      </c>
      <c r="H551" s="70"/>
    </row>
    <row r="552" spans="1:8" x14ac:dyDescent="0.35">
      <c r="A552" s="62"/>
      <c r="B552" s="63"/>
      <c r="C552" s="63" t="str">
        <f>IFERROR(VLOOKUP(B552,منتجات!$A$3:$C$350,2,0),"")</f>
        <v/>
      </c>
      <c r="D552" s="63" t="str">
        <f>IFERROR(VLOOKUP(B552,منتجات!$A$3:$C$350,3,0),"")</f>
        <v/>
      </c>
      <c r="E552" s="63"/>
      <c r="F552" s="63" t="str">
        <f>IFERROR(INDEX(منتجات!$G$3:$G$350,MATCH(B552,منتجات!$A$3:$A$115,0)),"")</f>
        <v/>
      </c>
      <c r="G552" s="63" t="str">
        <f t="shared" si="10"/>
        <v/>
      </c>
      <c r="H552" s="69"/>
    </row>
    <row r="553" spans="1:8" x14ac:dyDescent="0.35">
      <c r="A553" s="64"/>
      <c r="B553" s="65"/>
      <c r="C553" s="65" t="str">
        <f>IFERROR(VLOOKUP(B553,منتجات!$A$3:$C$350,2,0),"")</f>
        <v/>
      </c>
      <c r="D553" s="65" t="str">
        <f>IFERROR(VLOOKUP(B553,منتجات!$A$3:$C$350,3,0),"")</f>
        <v/>
      </c>
      <c r="E553" s="65"/>
      <c r="F553" s="65" t="str">
        <f>IFERROR(INDEX(منتجات!$G$3:$G$350,MATCH(B553,منتجات!$A$3:$A$115,0)),"")</f>
        <v/>
      </c>
      <c r="G553" s="65" t="str">
        <f t="shared" si="10"/>
        <v/>
      </c>
      <c r="H553" s="70"/>
    </row>
    <row r="554" spans="1:8" x14ac:dyDescent="0.35">
      <c r="A554" s="62"/>
      <c r="B554" s="63"/>
      <c r="C554" s="63" t="str">
        <f>IFERROR(VLOOKUP(B554,منتجات!$A$3:$C$350,2,0),"")</f>
        <v/>
      </c>
      <c r="D554" s="63" t="str">
        <f>IFERROR(VLOOKUP(B554,منتجات!$A$3:$C$350,3,0),"")</f>
        <v/>
      </c>
      <c r="E554" s="63"/>
      <c r="F554" s="63" t="str">
        <f>IFERROR(INDEX(منتجات!$G$3:$G$350,MATCH(B554,منتجات!$A$3:$A$115,0)),"")</f>
        <v/>
      </c>
      <c r="G554" s="63" t="str">
        <f t="shared" si="10"/>
        <v/>
      </c>
      <c r="H554" s="69"/>
    </row>
    <row r="555" spans="1:8" x14ac:dyDescent="0.35">
      <c r="A555" s="64"/>
      <c r="B555" s="65"/>
      <c r="C555" s="65" t="str">
        <f>IFERROR(VLOOKUP(B555,منتجات!$A$3:$C$350,2,0),"")</f>
        <v/>
      </c>
      <c r="D555" s="65" t="str">
        <f>IFERROR(VLOOKUP(B555,منتجات!$A$3:$C$350,3,0),"")</f>
        <v/>
      </c>
      <c r="E555" s="65"/>
      <c r="F555" s="65" t="str">
        <f>IFERROR(INDEX(منتجات!$G$3:$G$350,MATCH(B555,منتجات!$A$3:$A$115,0)),"")</f>
        <v/>
      </c>
      <c r="G555" s="65" t="str">
        <f t="shared" si="10"/>
        <v/>
      </c>
      <c r="H555" s="70"/>
    </row>
    <row r="556" spans="1:8" x14ac:dyDescent="0.35">
      <c r="A556" s="62"/>
      <c r="B556" s="63"/>
      <c r="C556" s="63" t="str">
        <f>IFERROR(VLOOKUP(B556,منتجات!$A$3:$C$350,2,0),"")</f>
        <v/>
      </c>
      <c r="D556" s="63" t="str">
        <f>IFERROR(VLOOKUP(B556,منتجات!$A$3:$C$350,3,0),"")</f>
        <v/>
      </c>
      <c r="E556" s="63"/>
      <c r="F556" s="63" t="str">
        <f>IFERROR(INDEX(منتجات!$G$3:$G$350,MATCH(B556,منتجات!$A$3:$A$115,0)),"")</f>
        <v/>
      </c>
      <c r="G556" s="63" t="str">
        <f t="shared" si="10"/>
        <v/>
      </c>
      <c r="H556" s="69"/>
    </row>
    <row r="557" spans="1:8" x14ac:dyDescent="0.35">
      <c r="A557" s="64"/>
      <c r="B557" s="65"/>
      <c r="C557" s="65" t="str">
        <f>IFERROR(VLOOKUP(B557,منتجات!$A$3:$C$350,2,0),"")</f>
        <v/>
      </c>
      <c r="D557" s="65" t="str">
        <f>IFERROR(VLOOKUP(B557,منتجات!$A$3:$C$350,3,0),"")</f>
        <v/>
      </c>
      <c r="E557" s="65"/>
      <c r="F557" s="65" t="str">
        <f>IFERROR(INDEX(منتجات!$G$3:$G$350,MATCH(B557,منتجات!$A$3:$A$115,0)),"")</f>
        <v/>
      </c>
      <c r="G557" s="65" t="str">
        <f t="shared" si="10"/>
        <v/>
      </c>
      <c r="H557" s="70"/>
    </row>
    <row r="558" spans="1:8" x14ac:dyDescent="0.35">
      <c r="A558" s="62"/>
      <c r="B558" s="63"/>
      <c r="C558" s="63" t="str">
        <f>IFERROR(VLOOKUP(B558,منتجات!$A$3:$C$350,2,0),"")</f>
        <v/>
      </c>
      <c r="D558" s="63" t="str">
        <f>IFERROR(VLOOKUP(B558,منتجات!$A$3:$C$350,3,0),"")</f>
        <v/>
      </c>
      <c r="E558" s="63"/>
      <c r="F558" s="63" t="str">
        <f>IFERROR(INDEX(منتجات!$G$3:$G$350,MATCH(B558,منتجات!$A$3:$A$115,0)),"")</f>
        <v/>
      </c>
      <c r="G558" s="63" t="str">
        <f t="shared" si="10"/>
        <v/>
      </c>
      <c r="H558" s="69"/>
    </row>
    <row r="559" spans="1:8" x14ac:dyDescent="0.35">
      <c r="A559" s="64"/>
      <c r="B559" s="65"/>
      <c r="C559" s="65" t="str">
        <f>IFERROR(VLOOKUP(B559,منتجات!$A$3:$C$350,2,0),"")</f>
        <v/>
      </c>
      <c r="D559" s="65" t="str">
        <f>IFERROR(VLOOKUP(B559,منتجات!$A$3:$C$350,3,0),"")</f>
        <v/>
      </c>
      <c r="E559" s="65"/>
      <c r="F559" s="65" t="str">
        <f>IFERROR(INDEX(منتجات!$G$3:$G$350,MATCH(B559,منتجات!$A$3:$A$115,0)),"")</f>
        <v/>
      </c>
      <c r="G559" s="65" t="str">
        <f t="shared" si="10"/>
        <v/>
      </c>
      <c r="H559" s="70"/>
    </row>
    <row r="560" spans="1:8" x14ac:dyDescent="0.35">
      <c r="A560" s="62"/>
      <c r="B560" s="63"/>
      <c r="C560" s="63" t="str">
        <f>IFERROR(VLOOKUP(B560,منتجات!$A$3:$C$350,2,0),"")</f>
        <v/>
      </c>
      <c r="D560" s="63" t="str">
        <f>IFERROR(VLOOKUP(B560,منتجات!$A$3:$C$350,3,0),"")</f>
        <v/>
      </c>
      <c r="E560" s="63"/>
      <c r="F560" s="63" t="str">
        <f>IFERROR(INDEX(منتجات!$G$3:$G$350,MATCH(B560,منتجات!$A$3:$A$115,0)),"")</f>
        <v/>
      </c>
      <c r="G560" s="63" t="str">
        <f t="shared" si="10"/>
        <v/>
      </c>
      <c r="H560" s="69"/>
    </row>
    <row r="561" spans="1:8" x14ac:dyDescent="0.35">
      <c r="A561" s="64"/>
      <c r="B561" s="65"/>
      <c r="C561" s="65" t="str">
        <f>IFERROR(VLOOKUP(B561,منتجات!$A$3:$C$350,2,0),"")</f>
        <v/>
      </c>
      <c r="D561" s="65" t="str">
        <f>IFERROR(VLOOKUP(B561,منتجات!$A$3:$C$350,3,0),"")</f>
        <v/>
      </c>
      <c r="E561" s="65"/>
      <c r="F561" s="65" t="str">
        <f>IFERROR(INDEX(منتجات!$G$3:$G$350,MATCH(B561,منتجات!$A$3:$A$115,0)),"")</f>
        <v/>
      </c>
      <c r="G561" s="65" t="str">
        <f t="shared" si="10"/>
        <v/>
      </c>
      <c r="H561" s="70"/>
    </row>
    <row r="562" spans="1:8" x14ac:dyDescent="0.35">
      <c r="A562" s="62"/>
      <c r="B562" s="63"/>
      <c r="C562" s="63" t="str">
        <f>IFERROR(VLOOKUP(B562,منتجات!$A$3:$C$350,2,0),"")</f>
        <v/>
      </c>
      <c r="D562" s="63" t="str">
        <f>IFERROR(VLOOKUP(B562,منتجات!$A$3:$C$350,3,0),"")</f>
        <v/>
      </c>
      <c r="E562" s="63"/>
      <c r="F562" s="63" t="str">
        <f>IFERROR(INDEX(منتجات!$G$3:$G$350,MATCH(B562,منتجات!$A$3:$A$115,0)),"")</f>
        <v/>
      </c>
      <c r="G562" s="63" t="str">
        <f t="shared" si="10"/>
        <v/>
      </c>
      <c r="H562" s="69"/>
    </row>
    <row r="563" spans="1:8" x14ac:dyDescent="0.35">
      <c r="A563" s="64"/>
      <c r="B563" s="65"/>
      <c r="C563" s="65" t="str">
        <f>IFERROR(VLOOKUP(B563,منتجات!$A$3:$C$350,2,0),"")</f>
        <v/>
      </c>
      <c r="D563" s="65" t="str">
        <f>IFERROR(VLOOKUP(B563,منتجات!$A$3:$C$350,3,0),"")</f>
        <v/>
      </c>
      <c r="E563" s="65"/>
      <c r="F563" s="65" t="str">
        <f>IFERROR(INDEX(منتجات!$G$3:$G$350,MATCH(B563,منتجات!$A$3:$A$115,0)),"")</f>
        <v/>
      </c>
      <c r="G563" s="65" t="str">
        <f t="shared" si="10"/>
        <v/>
      </c>
      <c r="H563" s="70"/>
    </row>
    <row r="564" spans="1:8" x14ac:dyDescent="0.35">
      <c r="A564" s="62"/>
      <c r="B564" s="63"/>
      <c r="C564" s="63" t="str">
        <f>IFERROR(VLOOKUP(B564,منتجات!$A$3:$C$350,2,0),"")</f>
        <v/>
      </c>
      <c r="D564" s="63" t="str">
        <f>IFERROR(VLOOKUP(B564,منتجات!$A$3:$C$350,3,0),"")</f>
        <v/>
      </c>
      <c r="E564" s="63"/>
      <c r="F564" s="63" t="str">
        <f>IFERROR(INDEX(منتجات!$G$3:$G$350,MATCH(B564,منتجات!$A$3:$A$115,0)),"")</f>
        <v/>
      </c>
      <c r="G564" s="63" t="str">
        <f t="shared" si="10"/>
        <v/>
      </c>
      <c r="H564" s="69"/>
    </row>
    <row r="565" spans="1:8" x14ac:dyDescent="0.35">
      <c r="A565" s="64"/>
      <c r="B565" s="65"/>
      <c r="C565" s="65" t="str">
        <f>IFERROR(VLOOKUP(B565,منتجات!$A$3:$C$350,2,0),"")</f>
        <v/>
      </c>
      <c r="D565" s="65" t="str">
        <f>IFERROR(VLOOKUP(B565,منتجات!$A$3:$C$350,3,0),"")</f>
        <v/>
      </c>
      <c r="E565" s="65"/>
      <c r="F565" s="65" t="str">
        <f>IFERROR(INDEX(منتجات!$G$3:$G$350,MATCH(B565,منتجات!$A$3:$A$115,0)),"")</f>
        <v/>
      </c>
      <c r="G565" s="65" t="str">
        <f t="shared" si="10"/>
        <v/>
      </c>
      <c r="H565" s="70"/>
    </row>
    <row r="566" spans="1:8" x14ac:dyDescent="0.35">
      <c r="A566" s="62"/>
      <c r="B566" s="63"/>
      <c r="C566" s="63" t="str">
        <f>IFERROR(VLOOKUP(B566,منتجات!$A$3:$C$350,2,0),"")</f>
        <v/>
      </c>
      <c r="D566" s="63" t="str">
        <f>IFERROR(VLOOKUP(B566,منتجات!$A$3:$C$350,3,0),"")</f>
        <v/>
      </c>
      <c r="E566" s="63"/>
      <c r="F566" s="63" t="str">
        <f>IFERROR(INDEX(منتجات!$G$3:$G$350,MATCH(B566,منتجات!$A$3:$A$115,0)),"")</f>
        <v/>
      </c>
      <c r="G566" s="63" t="str">
        <f t="shared" si="10"/>
        <v/>
      </c>
      <c r="H566" s="69"/>
    </row>
    <row r="567" spans="1:8" x14ac:dyDescent="0.35">
      <c r="A567" s="64"/>
      <c r="B567" s="65"/>
      <c r="C567" s="65" t="str">
        <f>IFERROR(VLOOKUP(B567,منتجات!$A$3:$C$350,2,0),"")</f>
        <v/>
      </c>
      <c r="D567" s="65" t="str">
        <f>IFERROR(VLOOKUP(B567,منتجات!$A$3:$C$350,3,0),"")</f>
        <v/>
      </c>
      <c r="E567" s="65"/>
      <c r="F567" s="65" t="str">
        <f>IFERROR(INDEX(منتجات!$G$3:$G$350,MATCH(B567,منتجات!$A$3:$A$115,0)),"")</f>
        <v/>
      </c>
      <c r="G567" s="65" t="str">
        <f t="shared" si="10"/>
        <v/>
      </c>
      <c r="H567" s="70"/>
    </row>
    <row r="568" spans="1:8" x14ac:dyDescent="0.35">
      <c r="A568" s="62"/>
      <c r="B568" s="63"/>
      <c r="C568" s="63" t="str">
        <f>IFERROR(VLOOKUP(B568,منتجات!$A$3:$C$350,2,0),"")</f>
        <v/>
      </c>
      <c r="D568" s="63" t="str">
        <f>IFERROR(VLOOKUP(B568,منتجات!$A$3:$C$350,3,0),"")</f>
        <v/>
      </c>
      <c r="E568" s="63"/>
      <c r="F568" s="63" t="str">
        <f>IFERROR(INDEX(منتجات!$G$3:$G$350,MATCH(B568,منتجات!$A$3:$A$115,0)),"")</f>
        <v/>
      </c>
      <c r="G568" s="63" t="str">
        <f t="shared" si="10"/>
        <v/>
      </c>
      <c r="H568" s="69"/>
    </row>
    <row r="569" spans="1:8" x14ac:dyDescent="0.35">
      <c r="A569" s="64"/>
      <c r="B569" s="65"/>
      <c r="C569" s="65" t="str">
        <f>IFERROR(VLOOKUP(B569,منتجات!$A$3:$C$350,2,0),"")</f>
        <v/>
      </c>
      <c r="D569" s="65" t="str">
        <f>IFERROR(VLOOKUP(B569,منتجات!$A$3:$C$350,3,0),"")</f>
        <v/>
      </c>
      <c r="E569" s="65"/>
      <c r="F569" s="65" t="str">
        <f>IFERROR(INDEX(منتجات!$G$3:$G$350,MATCH(B569,منتجات!$A$3:$A$115,0)),"")</f>
        <v/>
      </c>
      <c r="G569" s="65" t="str">
        <f t="shared" si="10"/>
        <v/>
      </c>
      <c r="H569" s="70"/>
    </row>
    <row r="570" spans="1:8" x14ac:dyDescent="0.35">
      <c r="A570" s="62"/>
      <c r="B570" s="63"/>
      <c r="C570" s="63" t="str">
        <f>IFERROR(VLOOKUP(B570,منتجات!$A$3:$C$350,2,0),"")</f>
        <v/>
      </c>
      <c r="D570" s="63" t="str">
        <f>IFERROR(VLOOKUP(B570,منتجات!$A$3:$C$350,3,0),"")</f>
        <v/>
      </c>
      <c r="E570" s="63"/>
      <c r="F570" s="63" t="str">
        <f>IFERROR(INDEX(منتجات!$G$3:$G$350,MATCH(B570,منتجات!$A$3:$A$115,0)),"")</f>
        <v/>
      </c>
      <c r="G570" s="63" t="str">
        <f t="shared" si="10"/>
        <v/>
      </c>
      <c r="H570" s="69"/>
    </row>
    <row r="571" spans="1:8" x14ac:dyDescent="0.35">
      <c r="A571" s="64"/>
      <c r="B571" s="65"/>
      <c r="C571" s="65" t="str">
        <f>IFERROR(VLOOKUP(B571,منتجات!$A$3:$C$350,2,0),"")</f>
        <v/>
      </c>
      <c r="D571" s="65" t="str">
        <f>IFERROR(VLOOKUP(B571,منتجات!$A$3:$C$350,3,0),"")</f>
        <v/>
      </c>
      <c r="E571" s="65"/>
      <c r="F571" s="65" t="str">
        <f>IFERROR(INDEX(منتجات!$G$3:$G$350,MATCH(B571,منتجات!$A$3:$A$115,0)),"")</f>
        <v/>
      </c>
      <c r="G571" s="65" t="str">
        <f t="shared" si="10"/>
        <v/>
      </c>
      <c r="H571" s="70"/>
    </row>
    <row r="572" spans="1:8" x14ac:dyDescent="0.35">
      <c r="A572" s="62"/>
      <c r="B572" s="63"/>
      <c r="C572" s="63" t="str">
        <f>IFERROR(VLOOKUP(B572,منتجات!$A$3:$C$350,2,0),"")</f>
        <v/>
      </c>
      <c r="D572" s="63" t="str">
        <f>IFERROR(VLOOKUP(B572,منتجات!$A$3:$C$350,3,0),"")</f>
        <v/>
      </c>
      <c r="E572" s="63"/>
      <c r="F572" s="63" t="str">
        <f>IFERROR(INDEX(منتجات!$G$3:$G$350,MATCH(B572,منتجات!$A$3:$A$115,0)),"")</f>
        <v/>
      </c>
      <c r="G572" s="63" t="str">
        <f t="shared" si="10"/>
        <v/>
      </c>
      <c r="H572" s="69"/>
    </row>
    <row r="573" spans="1:8" x14ac:dyDescent="0.35">
      <c r="A573" s="64"/>
      <c r="B573" s="65"/>
      <c r="C573" s="65" t="str">
        <f>IFERROR(VLOOKUP(B573,منتجات!$A$3:$C$350,2,0),"")</f>
        <v/>
      </c>
      <c r="D573" s="65" t="str">
        <f>IFERROR(VLOOKUP(B573,منتجات!$A$3:$C$350,3,0),"")</f>
        <v/>
      </c>
      <c r="E573" s="65"/>
      <c r="F573" s="65" t="str">
        <f>IFERROR(INDEX(منتجات!$G$3:$G$350,MATCH(B573,منتجات!$A$3:$A$115,0)),"")</f>
        <v/>
      </c>
      <c r="G573" s="65" t="str">
        <f t="shared" si="10"/>
        <v/>
      </c>
      <c r="H573" s="70"/>
    </row>
    <row r="574" spans="1:8" x14ac:dyDescent="0.35">
      <c r="A574" s="62"/>
      <c r="B574" s="63"/>
      <c r="C574" s="63" t="str">
        <f>IFERROR(VLOOKUP(B574,منتجات!$A$3:$C$350,2,0),"")</f>
        <v/>
      </c>
      <c r="D574" s="63" t="str">
        <f>IFERROR(VLOOKUP(B574,منتجات!$A$3:$C$350,3,0),"")</f>
        <v/>
      </c>
      <c r="E574" s="63"/>
      <c r="F574" s="63" t="str">
        <f>IFERROR(INDEX(منتجات!$G$3:$G$350,MATCH(B574,منتجات!$A$3:$A$115,0)),"")</f>
        <v/>
      </c>
      <c r="G574" s="63" t="str">
        <f t="shared" si="10"/>
        <v/>
      </c>
      <c r="H574" s="69"/>
    </row>
    <row r="575" spans="1:8" x14ac:dyDescent="0.35">
      <c r="A575" s="64"/>
      <c r="B575" s="65"/>
      <c r="C575" s="65" t="str">
        <f>IFERROR(VLOOKUP(B575,منتجات!$A$3:$C$350,2,0),"")</f>
        <v/>
      </c>
      <c r="D575" s="65" t="str">
        <f>IFERROR(VLOOKUP(B575,منتجات!$A$3:$C$350,3,0),"")</f>
        <v/>
      </c>
      <c r="E575" s="65"/>
      <c r="F575" s="65" t="str">
        <f>IFERROR(INDEX(منتجات!$G$3:$G$350,MATCH(B575,منتجات!$A$3:$A$115,0)),"")</f>
        <v/>
      </c>
      <c r="G575" s="65" t="str">
        <f t="shared" si="10"/>
        <v/>
      </c>
      <c r="H575" s="70"/>
    </row>
    <row r="576" spans="1:8" x14ac:dyDescent="0.35">
      <c r="A576" s="62"/>
      <c r="B576" s="63"/>
      <c r="C576" s="63" t="str">
        <f>IFERROR(VLOOKUP(B576,منتجات!$A$3:$C$350,2,0),"")</f>
        <v/>
      </c>
      <c r="D576" s="63" t="str">
        <f>IFERROR(VLOOKUP(B576,منتجات!$A$3:$C$350,3,0),"")</f>
        <v/>
      </c>
      <c r="E576" s="63"/>
      <c r="F576" s="63" t="str">
        <f>IFERROR(INDEX(منتجات!$G$3:$G$350,MATCH(B576,منتجات!$A$3:$A$115,0)),"")</f>
        <v/>
      </c>
      <c r="G576" s="63" t="str">
        <f t="shared" si="10"/>
        <v/>
      </c>
      <c r="H576" s="69"/>
    </row>
    <row r="577" spans="1:8" x14ac:dyDescent="0.35">
      <c r="A577" s="64"/>
      <c r="B577" s="65"/>
      <c r="C577" s="65" t="str">
        <f>IFERROR(VLOOKUP(B577,منتجات!$A$3:$C$350,2,0),"")</f>
        <v/>
      </c>
      <c r="D577" s="65" t="str">
        <f>IFERROR(VLOOKUP(B577,منتجات!$A$3:$C$350,3,0),"")</f>
        <v/>
      </c>
      <c r="E577" s="65"/>
      <c r="F577" s="65" t="str">
        <f>IFERROR(INDEX(منتجات!$G$3:$G$350,MATCH(B577,منتجات!$A$3:$A$115,0)),"")</f>
        <v/>
      </c>
      <c r="G577" s="65" t="str">
        <f t="shared" si="10"/>
        <v/>
      </c>
      <c r="H577" s="70"/>
    </row>
    <row r="578" spans="1:8" x14ac:dyDescent="0.35">
      <c r="A578" s="62"/>
      <c r="B578" s="63"/>
      <c r="C578" s="63" t="str">
        <f>IFERROR(VLOOKUP(B578,منتجات!$A$3:$C$350,2,0),"")</f>
        <v/>
      </c>
      <c r="D578" s="63" t="str">
        <f>IFERROR(VLOOKUP(B578,منتجات!$A$3:$C$350,3,0),"")</f>
        <v/>
      </c>
      <c r="E578" s="63"/>
      <c r="F578" s="63" t="str">
        <f>IFERROR(INDEX(منتجات!$G$3:$G$350,MATCH(B578,منتجات!$A$3:$A$115,0)),"")</f>
        <v/>
      </c>
      <c r="G578" s="63" t="str">
        <f t="shared" si="10"/>
        <v/>
      </c>
      <c r="H578" s="69"/>
    </row>
    <row r="579" spans="1:8" x14ac:dyDescent="0.35">
      <c r="A579" s="64"/>
      <c r="B579" s="65"/>
      <c r="C579" s="65" t="str">
        <f>IFERROR(VLOOKUP(B579,منتجات!$A$3:$C$350,2,0),"")</f>
        <v/>
      </c>
      <c r="D579" s="65" t="str">
        <f>IFERROR(VLOOKUP(B579,منتجات!$A$3:$C$350,3,0),"")</f>
        <v/>
      </c>
      <c r="E579" s="65"/>
      <c r="F579" s="65" t="str">
        <f>IFERROR(INDEX(منتجات!$G$3:$G$350,MATCH(B579,منتجات!$A$3:$A$115,0)),"")</f>
        <v/>
      </c>
      <c r="G579" s="65" t="str">
        <f t="shared" si="10"/>
        <v/>
      </c>
      <c r="H579" s="70"/>
    </row>
    <row r="580" spans="1:8" x14ac:dyDescent="0.35">
      <c r="A580" s="62"/>
      <c r="B580" s="63"/>
      <c r="C580" s="63" t="str">
        <f>IFERROR(VLOOKUP(B580,منتجات!$A$3:$C$350,2,0),"")</f>
        <v/>
      </c>
      <c r="D580" s="63" t="str">
        <f>IFERROR(VLOOKUP(B580,منتجات!$A$3:$C$350,3,0),"")</f>
        <v/>
      </c>
      <c r="E580" s="63"/>
      <c r="F580" s="63" t="str">
        <f>IFERROR(INDEX(منتجات!$G$3:$G$350,MATCH(B580,منتجات!$A$3:$A$115,0)),"")</f>
        <v/>
      </c>
      <c r="G580" s="63" t="str">
        <f t="shared" si="10"/>
        <v/>
      </c>
      <c r="H580" s="69"/>
    </row>
    <row r="581" spans="1:8" x14ac:dyDescent="0.35">
      <c r="A581" s="64"/>
      <c r="B581" s="65"/>
      <c r="C581" s="65" t="str">
        <f>IFERROR(VLOOKUP(B581,منتجات!$A$3:$C$350,2,0),"")</f>
        <v/>
      </c>
      <c r="D581" s="65" t="str">
        <f>IFERROR(VLOOKUP(B581,منتجات!$A$3:$C$350,3,0),"")</f>
        <v/>
      </c>
      <c r="E581" s="65"/>
      <c r="F581" s="65" t="str">
        <f>IFERROR(INDEX(منتجات!$G$3:$G$350,MATCH(B581,منتجات!$A$3:$A$115,0)),"")</f>
        <v/>
      </c>
      <c r="G581" s="65" t="str">
        <f t="shared" si="10"/>
        <v/>
      </c>
      <c r="H581" s="70"/>
    </row>
    <row r="582" spans="1:8" x14ac:dyDescent="0.35">
      <c r="A582" s="62"/>
      <c r="B582" s="63"/>
      <c r="C582" s="63" t="str">
        <f>IFERROR(VLOOKUP(B582,منتجات!$A$3:$C$350,2,0),"")</f>
        <v/>
      </c>
      <c r="D582" s="63" t="str">
        <f>IFERROR(VLOOKUP(B582,منتجات!$A$3:$C$350,3,0),"")</f>
        <v/>
      </c>
      <c r="E582" s="63"/>
      <c r="F582" s="63" t="str">
        <f>IFERROR(INDEX(منتجات!$G$3:$G$350,MATCH(B582,منتجات!$A$3:$A$115,0)),"")</f>
        <v/>
      </c>
      <c r="G582" s="63" t="str">
        <f t="shared" ref="G582:G645" si="11">IFERROR(E582*F582*D582,"")</f>
        <v/>
      </c>
      <c r="H582" s="69"/>
    </row>
    <row r="583" spans="1:8" x14ac:dyDescent="0.35">
      <c r="A583" s="64"/>
      <c r="B583" s="65"/>
      <c r="C583" s="65" t="str">
        <f>IFERROR(VLOOKUP(B583,منتجات!$A$3:$C$350,2,0),"")</f>
        <v/>
      </c>
      <c r="D583" s="65" t="str">
        <f>IFERROR(VLOOKUP(B583,منتجات!$A$3:$C$350,3,0),"")</f>
        <v/>
      </c>
      <c r="E583" s="65"/>
      <c r="F583" s="65" t="str">
        <f>IFERROR(INDEX(منتجات!$G$3:$G$350,MATCH(B583,منتجات!$A$3:$A$115,0)),"")</f>
        <v/>
      </c>
      <c r="G583" s="65" t="str">
        <f t="shared" si="11"/>
        <v/>
      </c>
      <c r="H583" s="70"/>
    </row>
    <row r="584" spans="1:8" x14ac:dyDescent="0.35">
      <c r="A584" s="62"/>
      <c r="B584" s="63"/>
      <c r="C584" s="63" t="str">
        <f>IFERROR(VLOOKUP(B584,منتجات!$A$3:$C$350,2,0),"")</f>
        <v/>
      </c>
      <c r="D584" s="63" t="str">
        <f>IFERROR(VLOOKUP(B584,منتجات!$A$3:$C$350,3,0),"")</f>
        <v/>
      </c>
      <c r="E584" s="63"/>
      <c r="F584" s="63" t="str">
        <f>IFERROR(INDEX(منتجات!$G$3:$G$350,MATCH(B584,منتجات!$A$3:$A$115,0)),"")</f>
        <v/>
      </c>
      <c r="G584" s="63" t="str">
        <f t="shared" si="11"/>
        <v/>
      </c>
      <c r="H584" s="69"/>
    </row>
    <row r="585" spans="1:8" x14ac:dyDescent="0.35">
      <c r="A585" s="64"/>
      <c r="B585" s="65"/>
      <c r="C585" s="65" t="str">
        <f>IFERROR(VLOOKUP(B585,منتجات!$A$3:$C$350,2,0),"")</f>
        <v/>
      </c>
      <c r="D585" s="65" t="str">
        <f>IFERROR(VLOOKUP(B585,منتجات!$A$3:$C$350,3,0),"")</f>
        <v/>
      </c>
      <c r="E585" s="65"/>
      <c r="F585" s="65" t="str">
        <f>IFERROR(INDEX(منتجات!$G$3:$G$350,MATCH(B585,منتجات!$A$3:$A$115,0)),"")</f>
        <v/>
      </c>
      <c r="G585" s="65" t="str">
        <f t="shared" si="11"/>
        <v/>
      </c>
      <c r="H585" s="70"/>
    </row>
    <row r="586" spans="1:8" x14ac:dyDescent="0.35">
      <c r="A586" s="62"/>
      <c r="B586" s="63"/>
      <c r="C586" s="63" t="str">
        <f>IFERROR(VLOOKUP(B586,منتجات!$A$3:$C$350,2,0),"")</f>
        <v/>
      </c>
      <c r="D586" s="63" t="str">
        <f>IFERROR(VLOOKUP(B586,منتجات!$A$3:$C$350,3,0),"")</f>
        <v/>
      </c>
      <c r="E586" s="63"/>
      <c r="F586" s="63" t="str">
        <f>IFERROR(INDEX(منتجات!$G$3:$G$350,MATCH(B586,منتجات!$A$3:$A$115,0)),"")</f>
        <v/>
      </c>
      <c r="G586" s="63" t="str">
        <f t="shared" si="11"/>
        <v/>
      </c>
      <c r="H586" s="69"/>
    </row>
    <row r="587" spans="1:8" x14ac:dyDescent="0.35">
      <c r="A587" s="64"/>
      <c r="B587" s="65"/>
      <c r="C587" s="65" t="str">
        <f>IFERROR(VLOOKUP(B587,منتجات!$A$3:$C$350,2,0),"")</f>
        <v/>
      </c>
      <c r="D587" s="65" t="str">
        <f>IFERROR(VLOOKUP(B587,منتجات!$A$3:$C$350,3,0),"")</f>
        <v/>
      </c>
      <c r="E587" s="65"/>
      <c r="F587" s="65" t="str">
        <f>IFERROR(INDEX(منتجات!$G$3:$G$350,MATCH(B587,منتجات!$A$3:$A$115,0)),"")</f>
        <v/>
      </c>
      <c r="G587" s="65" t="str">
        <f t="shared" si="11"/>
        <v/>
      </c>
      <c r="H587" s="70"/>
    </row>
    <row r="588" spans="1:8" x14ac:dyDescent="0.35">
      <c r="A588" s="62"/>
      <c r="B588" s="63"/>
      <c r="C588" s="63" t="str">
        <f>IFERROR(VLOOKUP(B588,منتجات!$A$3:$C$350,2,0),"")</f>
        <v/>
      </c>
      <c r="D588" s="63" t="str">
        <f>IFERROR(VLOOKUP(B588,منتجات!$A$3:$C$350,3,0),"")</f>
        <v/>
      </c>
      <c r="E588" s="63"/>
      <c r="F588" s="63" t="str">
        <f>IFERROR(INDEX(منتجات!$G$3:$G$350,MATCH(B588,منتجات!$A$3:$A$115,0)),"")</f>
        <v/>
      </c>
      <c r="G588" s="63" t="str">
        <f t="shared" si="11"/>
        <v/>
      </c>
      <c r="H588" s="69"/>
    </row>
    <row r="589" spans="1:8" x14ac:dyDescent="0.35">
      <c r="A589" s="64"/>
      <c r="B589" s="65"/>
      <c r="C589" s="65" t="str">
        <f>IFERROR(VLOOKUP(B589,منتجات!$A$3:$C$350,2,0),"")</f>
        <v/>
      </c>
      <c r="D589" s="65" t="str">
        <f>IFERROR(VLOOKUP(B589,منتجات!$A$3:$C$350,3,0),"")</f>
        <v/>
      </c>
      <c r="E589" s="65"/>
      <c r="F589" s="65" t="str">
        <f>IFERROR(INDEX(منتجات!$G$3:$G$350,MATCH(B589,منتجات!$A$3:$A$115,0)),"")</f>
        <v/>
      </c>
      <c r="G589" s="65" t="str">
        <f t="shared" si="11"/>
        <v/>
      </c>
      <c r="H589" s="70"/>
    </row>
    <row r="590" spans="1:8" x14ac:dyDescent="0.35">
      <c r="A590" s="62"/>
      <c r="B590" s="63"/>
      <c r="C590" s="63" t="str">
        <f>IFERROR(VLOOKUP(B590,منتجات!$A$3:$C$350,2,0),"")</f>
        <v/>
      </c>
      <c r="D590" s="63" t="str">
        <f>IFERROR(VLOOKUP(B590,منتجات!$A$3:$C$350,3,0),"")</f>
        <v/>
      </c>
      <c r="E590" s="63"/>
      <c r="F590" s="63" t="str">
        <f>IFERROR(INDEX(منتجات!$G$3:$G$350,MATCH(B590,منتجات!$A$3:$A$115,0)),"")</f>
        <v/>
      </c>
      <c r="G590" s="63" t="str">
        <f t="shared" si="11"/>
        <v/>
      </c>
      <c r="H590" s="69"/>
    </row>
    <row r="591" spans="1:8" x14ac:dyDescent="0.35">
      <c r="A591" s="64"/>
      <c r="B591" s="65"/>
      <c r="C591" s="65" t="str">
        <f>IFERROR(VLOOKUP(B591,منتجات!$A$3:$C$350,2,0),"")</f>
        <v/>
      </c>
      <c r="D591" s="65" t="str">
        <f>IFERROR(VLOOKUP(B591,منتجات!$A$3:$C$350,3,0),"")</f>
        <v/>
      </c>
      <c r="E591" s="65"/>
      <c r="F591" s="65" t="str">
        <f>IFERROR(INDEX(منتجات!$G$3:$G$350,MATCH(B591,منتجات!$A$3:$A$115,0)),"")</f>
        <v/>
      </c>
      <c r="G591" s="65" t="str">
        <f t="shared" si="11"/>
        <v/>
      </c>
      <c r="H591" s="70"/>
    </row>
    <row r="592" spans="1:8" x14ac:dyDescent="0.35">
      <c r="A592" s="62"/>
      <c r="B592" s="63"/>
      <c r="C592" s="63" t="str">
        <f>IFERROR(VLOOKUP(B592,منتجات!$A$3:$C$350,2,0),"")</f>
        <v/>
      </c>
      <c r="D592" s="63" t="str">
        <f>IFERROR(VLOOKUP(B592,منتجات!$A$3:$C$350,3,0),"")</f>
        <v/>
      </c>
      <c r="E592" s="63"/>
      <c r="F592" s="63" t="str">
        <f>IFERROR(INDEX(منتجات!$G$3:$G$350,MATCH(B592,منتجات!$A$3:$A$115,0)),"")</f>
        <v/>
      </c>
      <c r="G592" s="63" t="str">
        <f t="shared" si="11"/>
        <v/>
      </c>
      <c r="H592" s="69"/>
    </row>
    <row r="593" spans="1:8" x14ac:dyDescent="0.35">
      <c r="A593" s="64"/>
      <c r="B593" s="65"/>
      <c r="C593" s="65" t="str">
        <f>IFERROR(VLOOKUP(B593,منتجات!$A$3:$C$350,2,0),"")</f>
        <v/>
      </c>
      <c r="D593" s="65" t="str">
        <f>IFERROR(VLOOKUP(B593,منتجات!$A$3:$C$350,3,0),"")</f>
        <v/>
      </c>
      <c r="E593" s="65"/>
      <c r="F593" s="65" t="str">
        <f>IFERROR(INDEX(منتجات!$G$3:$G$350,MATCH(B593,منتجات!$A$3:$A$115,0)),"")</f>
        <v/>
      </c>
      <c r="G593" s="65" t="str">
        <f t="shared" si="11"/>
        <v/>
      </c>
      <c r="H593" s="70"/>
    </row>
    <row r="594" spans="1:8" x14ac:dyDescent="0.35">
      <c r="A594" s="62"/>
      <c r="B594" s="63"/>
      <c r="C594" s="63" t="str">
        <f>IFERROR(VLOOKUP(B594,منتجات!$A$3:$C$350,2,0),"")</f>
        <v/>
      </c>
      <c r="D594" s="63" t="str">
        <f>IFERROR(VLOOKUP(B594,منتجات!$A$3:$C$350,3,0),"")</f>
        <v/>
      </c>
      <c r="E594" s="63"/>
      <c r="F594" s="63" t="str">
        <f>IFERROR(INDEX(منتجات!$G$3:$G$350,MATCH(B594,منتجات!$A$3:$A$115,0)),"")</f>
        <v/>
      </c>
      <c r="G594" s="63" t="str">
        <f t="shared" si="11"/>
        <v/>
      </c>
      <c r="H594" s="69"/>
    </row>
    <row r="595" spans="1:8" x14ac:dyDescent="0.35">
      <c r="A595" s="64"/>
      <c r="B595" s="65"/>
      <c r="C595" s="65" t="str">
        <f>IFERROR(VLOOKUP(B595,منتجات!$A$3:$C$350,2,0),"")</f>
        <v/>
      </c>
      <c r="D595" s="65" t="str">
        <f>IFERROR(VLOOKUP(B595,منتجات!$A$3:$C$350,3,0),"")</f>
        <v/>
      </c>
      <c r="E595" s="65"/>
      <c r="F595" s="65" t="str">
        <f>IFERROR(INDEX(منتجات!$G$3:$G$350,MATCH(B595,منتجات!$A$3:$A$115,0)),"")</f>
        <v/>
      </c>
      <c r="G595" s="65" t="str">
        <f t="shared" si="11"/>
        <v/>
      </c>
      <c r="H595" s="70"/>
    </row>
    <row r="596" spans="1:8" x14ac:dyDescent="0.35">
      <c r="A596" s="62"/>
      <c r="B596" s="63"/>
      <c r="C596" s="63" t="str">
        <f>IFERROR(VLOOKUP(B596,منتجات!$A$3:$C$350,2,0),"")</f>
        <v/>
      </c>
      <c r="D596" s="63" t="str">
        <f>IFERROR(VLOOKUP(B596,منتجات!$A$3:$C$350,3,0),"")</f>
        <v/>
      </c>
      <c r="E596" s="63"/>
      <c r="F596" s="63" t="str">
        <f>IFERROR(INDEX(منتجات!$G$3:$G$350,MATCH(B596,منتجات!$A$3:$A$115,0)),"")</f>
        <v/>
      </c>
      <c r="G596" s="63" t="str">
        <f t="shared" si="11"/>
        <v/>
      </c>
      <c r="H596" s="69"/>
    </row>
    <row r="597" spans="1:8" x14ac:dyDescent="0.35">
      <c r="A597" s="64"/>
      <c r="B597" s="65"/>
      <c r="C597" s="65" t="str">
        <f>IFERROR(VLOOKUP(B597,منتجات!$A$3:$C$350,2,0),"")</f>
        <v/>
      </c>
      <c r="D597" s="65" t="str">
        <f>IFERROR(VLOOKUP(B597,منتجات!$A$3:$C$350,3,0),"")</f>
        <v/>
      </c>
      <c r="E597" s="65"/>
      <c r="F597" s="65" t="str">
        <f>IFERROR(INDEX(منتجات!$G$3:$G$350,MATCH(B597,منتجات!$A$3:$A$115,0)),"")</f>
        <v/>
      </c>
      <c r="G597" s="65" t="str">
        <f t="shared" si="11"/>
        <v/>
      </c>
      <c r="H597" s="70"/>
    </row>
    <row r="598" spans="1:8" x14ac:dyDescent="0.35">
      <c r="A598" s="62"/>
      <c r="B598" s="63"/>
      <c r="C598" s="63" t="str">
        <f>IFERROR(VLOOKUP(B598,منتجات!$A$3:$C$350,2,0),"")</f>
        <v/>
      </c>
      <c r="D598" s="63" t="str">
        <f>IFERROR(VLOOKUP(B598,منتجات!$A$3:$C$350,3,0),"")</f>
        <v/>
      </c>
      <c r="E598" s="63"/>
      <c r="F598" s="63" t="str">
        <f>IFERROR(INDEX(منتجات!$G$3:$G$350,MATCH(B598,منتجات!$A$3:$A$115,0)),"")</f>
        <v/>
      </c>
      <c r="G598" s="63" t="str">
        <f t="shared" si="11"/>
        <v/>
      </c>
      <c r="H598" s="69"/>
    </row>
    <row r="599" spans="1:8" x14ac:dyDescent="0.35">
      <c r="A599" s="64"/>
      <c r="B599" s="65"/>
      <c r="C599" s="65" t="str">
        <f>IFERROR(VLOOKUP(B599,منتجات!$A$3:$C$350,2,0),"")</f>
        <v/>
      </c>
      <c r="D599" s="65" t="str">
        <f>IFERROR(VLOOKUP(B599,منتجات!$A$3:$C$350,3,0),"")</f>
        <v/>
      </c>
      <c r="E599" s="65"/>
      <c r="F599" s="65" t="str">
        <f>IFERROR(INDEX(منتجات!$G$3:$G$350,MATCH(B599,منتجات!$A$3:$A$115,0)),"")</f>
        <v/>
      </c>
      <c r="G599" s="65" t="str">
        <f t="shared" si="11"/>
        <v/>
      </c>
      <c r="H599" s="70"/>
    </row>
    <row r="600" spans="1:8" x14ac:dyDescent="0.35">
      <c r="A600" s="62"/>
      <c r="B600" s="63"/>
      <c r="C600" s="63" t="str">
        <f>IFERROR(VLOOKUP(B600,منتجات!$A$3:$C$350,2,0),"")</f>
        <v/>
      </c>
      <c r="D600" s="63" t="str">
        <f>IFERROR(VLOOKUP(B600,منتجات!$A$3:$C$350,3,0),"")</f>
        <v/>
      </c>
      <c r="E600" s="63"/>
      <c r="F600" s="63" t="str">
        <f>IFERROR(INDEX(منتجات!$G$3:$G$350,MATCH(B600,منتجات!$A$3:$A$115,0)),"")</f>
        <v/>
      </c>
      <c r="G600" s="63" t="str">
        <f t="shared" si="11"/>
        <v/>
      </c>
      <c r="H600" s="69"/>
    </row>
    <row r="601" spans="1:8" x14ac:dyDescent="0.35">
      <c r="A601" s="64"/>
      <c r="B601" s="65"/>
      <c r="C601" s="65" t="str">
        <f>IFERROR(VLOOKUP(B601,منتجات!$A$3:$C$350,2,0),"")</f>
        <v/>
      </c>
      <c r="D601" s="65" t="str">
        <f>IFERROR(VLOOKUP(B601,منتجات!$A$3:$C$350,3,0),"")</f>
        <v/>
      </c>
      <c r="E601" s="65"/>
      <c r="F601" s="65" t="str">
        <f>IFERROR(INDEX(منتجات!$G$3:$G$350,MATCH(B601,منتجات!$A$3:$A$115,0)),"")</f>
        <v/>
      </c>
      <c r="G601" s="65" t="str">
        <f t="shared" si="11"/>
        <v/>
      </c>
      <c r="H601" s="70"/>
    </row>
    <row r="602" spans="1:8" x14ac:dyDescent="0.35">
      <c r="A602" s="62"/>
      <c r="B602" s="63"/>
      <c r="C602" s="63" t="str">
        <f>IFERROR(VLOOKUP(B602,منتجات!$A$3:$C$350,2,0),"")</f>
        <v/>
      </c>
      <c r="D602" s="63" t="str">
        <f>IFERROR(VLOOKUP(B602,منتجات!$A$3:$C$350,3,0),"")</f>
        <v/>
      </c>
      <c r="E602" s="63"/>
      <c r="F602" s="63" t="str">
        <f>IFERROR(INDEX(منتجات!$G$3:$G$350,MATCH(B602,منتجات!$A$3:$A$115,0)),"")</f>
        <v/>
      </c>
      <c r="G602" s="63" t="str">
        <f t="shared" si="11"/>
        <v/>
      </c>
      <c r="H602" s="69"/>
    </row>
    <row r="603" spans="1:8" x14ac:dyDescent="0.35">
      <c r="A603" s="64"/>
      <c r="B603" s="65"/>
      <c r="C603" s="65" t="str">
        <f>IFERROR(VLOOKUP(B603,منتجات!$A$3:$C$350,2,0),"")</f>
        <v/>
      </c>
      <c r="D603" s="65" t="str">
        <f>IFERROR(VLOOKUP(B603,منتجات!$A$3:$C$350,3,0),"")</f>
        <v/>
      </c>
      <c r="E603" s="65"/>
      <c r="F603" s="65" t="str">
        <f>IFERROR(INDEX(منتجات!$G$3:$G$350,MATCH(B603,منتجات!$A$3:$A$115,0)),"")</f>
        <v/>
      </c>
      <c r="G603" s="65" t="str">
        <f t="shared" si="11"/>
        <v/>
      </c>
      <c r="H603" s="70"/>
    </row>
    <row r="604" spans="1:8" x14ac:dyDescent="0.35">
      <c r="A604" s="62"/>
      <c r="B604" s="63"/>
      <c r="C604" s="63" t="str">
        <f>IFERROR(VLOOKUP(B604,منتجات!$A$3:$C$350,2,0),"")</f>
        <v/>
      </c>
      <c r="D604" s="63" t="str">
        <f>IFERROR(VLOOKUP(B604,منتجات!$A$3:$C$350,3,0),"")</f>
        <v/>
      </c>
      <c r="E604" s="63"/>
      <c r="F604" s="63" t="str">
        <f>IFERROR(INDEX(منتجات!$G$3:$G$350,MATCH(B604,منتجات!$A$3:$A$115,0)),"")</f>
        <v/>
      </c>
      <c r="G604" s="63" t="str">
        <f t="shared" si="11"/>
        <v/>
      </c>
      <c r="H604" s="69"/>
    </row>
    <row r="605" spans="1:8" x14ac:dyDescent="0.35">
      <c r="A605" s="64"/>
      <c r="B605" s="65"/>
      <c r="C605" s="65" t="str">
        <f>IFERROR(VLOOKUP(B605,منتجات!$A$3:$C$350,2,0),"")</f>
        <v/>
      </c>
      <c r="D605" s="65" t="str">
        <f>IFERROR(VLOOKUP(B605,منتجات!$A$3:$C$350,3,0),"")</f>
        <v/>
      </c>
      <c r="E605" s="65"/>
      <c r="F605" s="65" t="str">
        <f>IFERROR(INDEX(منتجات!$G$3:$G$350,MATCH(B605,منتجات!$A$3:$A$115,0)),"")</f>
        <v/>
      </c>
      <c r="G605" s="65" t="str">
        <f t="shared" si="11"/>
        <v/>
      </c>
      <c r="H605" s="70"/>
    </row>
    <row r="606" spans="1:8" x14ac:dyDescent="0.35">
      <c r="A606" s="62"/>
      <c r="B606" s="63"/>
      <c r="C606" s="63" t="str">
        <f>IFERROR(VLOOKUP(B606,منتجات!$A$3:$C$350,2,0),"")</f>
        <v/>
      </c>
      <c r="D606" s="63" t="str">
        <f>IFERROR(VLOOKUP(B606,منتجات!$A$3:$C$350,3,0),"")</f>
        <v/>
      </c>
      <c r="E606" s="63"/>
      <c r="F606" s="63" t="str">
        <f>IFERROR(INDEX(منتجات!$G$3:$G$350,MATCH(B606,منتجات!$A$3:$A$115,0)),"")</f>
        <v/>
      </c>
      <c r="G606" s="63" t="str">
        <f t="shared" si="11"/>
        <v/>
      </c>
      <c r="H606" s="69"/>
    </row>
    <row r="607" spans="1:8" x14ac:dyDescent="0.35">
      <c r="A607" s="64"/>
      <c r="B607" s="65"/>
      <c r="C607" s="65" t="str">
        <f>IFERROR(VLOOKUP(B607,منتجات!$A$3:$C$350,2,0),"")</f>
        <v/>
      </c>
      <c r="D607" s="65" t="str">
        <f>IFERROR(VLOOKUP(B607,منتجات!$A$3:$C$350,3,0),"")</f>
        <v/>
      </c>
      <c r="E607" s="65"/>
      <c r="F607" s="65" t="str">
        <f>IFERROR(INDEX(منتجات!$G$3:$G$350,MATCH(B607,منتجات!$A$3:$A$115,0)),"")</f>
        <v/>
      </c>
      <c r="G607" s="65" t="str">
        <f t="shared" si="11"/>
        <v/>
      </c>
      <c r="H607" s="70"/>
    </row>
    <row r="608" spans="1:8" x14ac:dyDescent="0.35">
      <c r="A608" s="62"/>
      <c r="B608" s="63"/>
      <c r="C608" s="63" t="str">
        <f>IFERROR(VLOOKUP(B608,منتجات!$A$3:$C$350,2,0),"")</f>
        <v/>
      </c>
      <c r="D608" s="63" t="str">
        <f>IFERROR(VLOOKUP(B608,منتجات!$A$3:$C$350,3,0),"")</f>
        <v/>
      </c>
      <c r="E608" s="63"/>
      <c r="F608" s="63" t="str">
        <f>IFERROR(INDEX(منتجات!$G$3:$G$350,MATCH(B608,منتجات!$A$3:$A$115,0)),"")</f>
        <v/>
      </c>
      <c r="G608" s="63" t="str">
        <f t="shared" si="11"/>
        <v/>
      </c>
      <c r="H608" s="69"/>
    </row>
    <row r="609" spans="1:8" x14ac:dyDescent="0.35">
      <c r="A609" s="64"/>
      <c r="B609" s="65"/>
      <c r="C609" s="65" t="str">
        <f>IFERROR(VLOOKUP(B609,منتجات!$A$3:$C$350,2,0),"")</f>
        <v/>
      </c>
      <c r="D609" s="65" t="str">
        <f>IFERROR(VLOOKUP(B609,منتجات!$A$3:$C$350,3,0),"")</f>
        <v/>
      </c>
      <c r="E609" s="65"/>
      <c r="F609" s="65" t="str">
        <f>IFERROR(INDEX(منتجات!$G$3:$G$350,MATCH(B609,منتجات!$A$3:$A$115,0)),"")</f>
        <v/>
      </c>
      <c r="G609" s="65" t="str">
        <f t="shared" si="11"/>
        <v/>
      </c>
      <c r="H609" s="70"/>
    </row>
    <row r="610" spans="1:8" x14ac:dyDescent="0.35">
      <c r="A610" s="62"/>
      <c r="B610" s="63"/>
      <c r="C610" s="63" t="str">
        <f>IFERROR(VLOOKUP(B610,منتجات!$A$3:$C$350,2,0),"")</f>
        <v/>
      </c>
      <c r="D610" s="63" t="str">
        <f>IFERROR(VLOOKUP(B610,منتجات!$A$3:$C$350,3,0),"")</f>
        <v/>
      </c>
      <c r="E610" s="63"/>
      <c r="F610" s="63" t="str">
        <f>IFERROR(INDEX(منتجات!$G$3:$G$350,MATCH(B610,منتجات!$A$3:$A$115,0)),"")</f>
        <v/>
      </c>
      <c r="G610" s="63" t="str">
        <f t="shared" si="11"/>
        <v/>
      </c>
      <c r="H610" s="69"/>
    </row>
    <row r="611" spans="1:8" x14ac:dyDescent="0.35">
      <c r="A611" s="64"/>
      <c r="B611" s="65"/>
      <c r="C611" s="65" t="str">
        <f>IFERROR(VLOOKUP(B611,منتجات!$A$3:$C$350,2,0),"")</f>
        <v/>
      </c>
      <c r="D611" s="65" t="str">
        <f>IFERROR(VLOOKUP(B611,منتجات!$A$3:$C$350,3,0),"")</f>
        <v/>
      </c>
      <c r="E611" s="65"/>
      <c r="F611" s="65" t="str">
        <f>IFERROR(INDEX(منتجات!$G$3:$G$350,MATCH(B611,منتجات!$A$3:$A$115,0)),"")</f>
        <v/>
      </c>
      <c r="G611" s="65" t="str">
        <f t="shared" si="11"/>
        <v/>
      </c>
      <c r="H611" s="70"/>
    </row>
    <row r="612" spans="1:8" x14ac:dyDescent="0.35">
      <c r="A612" s="62"/>
      <c r="B612" s="63"/>
      <c r="C612" s="63" t="str">
        <f>IFERROR(VLOOKUP(B612,منتجات!$A$3:$C$350,2,0),"")</f>
        <v/>
      </c>
      <c r="D612" s="63" t="str">
        <f>IFERROR(VLOOKUP(B612,منتجات!$A$3:$C$350,3,0),"")</f>
        <v/>
      </c>
      <c r="E612" s="63"/>
      <c r="F612" s="63" t="str">
        <f>IFERROR(INDEX(منتجات!$G$3:$G$350,MATCH(B612,منتجات!$A$3:$A$115,0)),"")</f>
        <v/>
      </c>
      <c r="G612" s="63" t="str">
        <f t="shared" si="11"/>
        <v/>
      </c>
      <c r="H612" s="69"/>
    </row>
    <row r="613" spans="1:8" x14ac:dyDescent="0.35">
      <c r="A613" s="64"/>
      <c r="B613" s="65"/>
      <c r="C613" s="65" t="str">
        <f>IFERROR(VLOOKUP(B613,منتجات!$A$3:$C$350,2,0),"")</f>
        <v/>
      </c>
      <c r="D613" s="65" t="str">
        <f>IFERROR(VLOOKUP(B613,منتجات!$A$3:$C$350,3,0),"")</f>
        <v/>
      </c>
      <c r="E613" s="65"/>
      <c r="F613" s="65" t="str">
        <f>IFERROR(INDEX(منتجات!$G$3:$G$350,MATCH(B613,منتجات!$A$3:$A$115,0)),"")</f>
        <v/>
      </c>
      <c r="G613" s="65" t="str">
        <f t="shared" si="11"/>
        <v/>
      </c>
      <c r="H613" s="70"/>
    </row>
    <row r="614" spans="1:8" x14ac:dyDescent="0.35">
      <c r="A614" s="62"/>
      <c r="B614" s="63"/>
      <c r="C614" s="63" t="str">
        <f>IFERROR(VLOOKUP(B614,منتجات!$A$3:$C$350,2,0),"")</f>
        <v/>
      </c>
      <c r="D614" s="63" t="str">
        <f>IFERROR(VLOOKUP(B614,منتجات!$A$3:$C$350,3,0),"")</f>
        <v/>
      </c>
      <c r="E614" s="63"/>
      <c r="F614" s="63" t="str">
        <f>IFERROR(INDEX(منتجات!$G$3:$G$350,MATCH(B614,منتجات!$A$3:$A$115,0)),"")</f>
        <v/>
      </c>
      <c r="G614" s="63" t="str">
        <f t="shared" si="11"/>
        <v/>
      </c>
      <c r="H614" s="69"/>
    </row>
    <row r="615" spans="1:8" x14ac:dyDescent="0.35">
      <c r="A615" s="64"/>
      <c r="B615" s="65"/>
      <c r="C615" s="65" t="str">
        <f>IFERROR(VLOOKUP(B615,منتجات!$A$3:$C$350,2,0),"")</f>
        <v/>
      </c>
      <c r="D615" s="65" t="str">
        <f>IFERROR(VLOOKUP(B615,منتجات!$A$3:$C$350,3,0),"")</f>
        <v/>
      </c>
      <c r="E615" s="65"/>
      <c r="F615" s="65" t="str">
        <f>IFERROR(INDEX(منتجات!$G$3:$G$350,MATCH(B615,منتجات!$A$3:$A$115,0)),"")</f>
        <v/>
      </c>
      <c r="G615" s="65" t="str">
        <f t="shared" si="11"/>
        <v/>
      </c>
      <c r="H615" s="70"/>
    </row>
    <row r="616" spans="1:8" x14ac:dyDescent="0.35">
      <c r="A616" s="62"/>
      <c r="B616" s="63"/>
      <c r="C616" s="63" t="str">
        <f>IFERROR(VLOOKUP(B616,منتجات!$A$3:$C$350,2,0),"")</f>
        <v/>
      </c>
      <c r="D616" s="63" t="str">
        <f>IFERROR(VLOOKUP(B616,منتجات!$A$3:$C$350,3,0),"")</f>
        <v/>
      </c>
      <c r="E616" s="63"/>
      <c r="F616" s="63" t="str">
        <f>IFERROR(INDEX(منتجات!$G$3:$G$350,MATCH(B616,منتجات!$A$3:$A$115,0)),"")</f>
        <v/>
      </c>
      <c r="G616" s="63" t="str">
        <f t="shared" si="11"/>
        <v/>
      </c>
      <c r="H616" s="69"/>
    </row>
    <row r="617" spans="1:8" x14ac:dyDescent="0.35">
      <c r="A617" s="64"/>
      <c r="B617" s="65"/>
      <c r="C617" s="65" t="str">
        <f>IFERROR(VLOOKUP(B617,منتجات!$A$3:$C$350,2,0),"")</f>
        <v/>
      </c>
      <c r="D617" s="65" t="str">
        <f>IFERROR(VLOOKUP(B617,منتجات!$A$3:$C$350,3,0),"")</f>
        <v/>
      </c>
      <c r="E617" s="65"/>
      <c r="F617" s="65" t="str">
        <f>IFERROR(INDEX(منتجات!$G$3:$G$350,MATCH(B617,منتجات!$A$3:$A$115,0)),"")</f>
        <v/>
      </c>
      <c r="G617" s="65" t="str">
        <f t="shared" si="11"/>
        <v/>
      </c>
      <c r="H617" s="70"/>
    </row>
    <row r="618" spans="1:8" x14ac:dyDescent="0.35">
      <c r="A618" s="62"/>
      <c r="B618" s="63"/>
      <c r="C618" s="63" t="str">
        <f>IFERROR(VLOOKUP(B618,منتجات!$A$3:$C$350,2,0),"")</f>
        <v/>
      </c>
      <c r="D618" s="63" t="str">
        <f>IFERROR(VLOOKUP(B618,منتجات!$A$3:$C$350,3,0),"")</f>
        <v/>
      </c>
      <c r="E618" s="63"/>
      <c r="F618" s="63" t="str">
        <f>IFERROR(INDEX(منتجات!$G$3:$G$350,MATCH(B618,منتجات!$A$3:$A$115,0)),"")</f>
        <v/>
      </c>
      <c r="G618" s="63" t="str">
        <f t="shared" si="11"/>
        <v/>
      </c>
      <c r="H618" s="69"/>
    </row>
    <row r="619" spans="1:8" x14ac:dyDescent="0.35">
      <c r="A619" s="64"/>
      <c r="B619" s="65"/>
      <c r="C619" s="65" t="str">
        <f>IFERROR(VLOOKUP(B619,منتجات!$A$3:$C$350,2,0),"")</f>
        <v/>
      </c>
      <c r="D619" s="65" t="str">
        <f>IFERROR(VLOOKUP(B619,منتجات!$A$3:$C$350,3,0),"")</f>
        <v/>
      </c>
      <c r="E619" s="65"/>
      <c r="F619" s="65" t="str">
        <f>IFERROR(INDEX(منتجات!$G$3:$G$350,MATCH(B619,منتجات!$A$3:$A$115,0)),"")</f>
        <v/>
      </c>
      <c r="G619" s="65" t="str">
        <f t="shared" si="11"/>
        <v/>
      </c>
      <c r="H619" s="70"/>
    </row>
    <row r="620" spans="1:8" x14ac:dyDescent="0.35">
      <c r="A620" s="62"/>
      <c r="B620" s="63"/>
      <c r="C620" s="63" t="str">
        <f>IFERROR(VLOOKUP(B620,منتجات!$A$3:$C$350,2,0),"")</f>
        <v/>
      </c>
      <c r="D620" s="63" t="str">
        <f>IFERROR(VLOOKUP(B620,منتجات!$A$3:$C$350,3,0),"")</f>
        <v/>
      </c>
      <c r="E620" s="63"/>
      <c r="F620" s="63" t="str">
        <f>IFERROR(INDEX(منتجات!$G$3:$G$350,MATCH(B620,منتجات!$A$3:$A$115,0)),"")</f>
        <v/>
      </c>
      <c r="G620" s="63" t="str">
        <f t="shared" si="11"/>
        <v/>
      </c>
      <c r="H620" s="69"/>
    </row>
    <row r="621" spans="1:8" x14ac:dyDescent="0.35">
      <c r="A621" s="64"/>
      <c r="B621" s="65"/>
      <c r="C621" s="65" t="str">
        <f>IFERROR(VLOOKUP(B621,منتجات!$A$3:$C$350,2,0),"")</f>
        <v/>
      </c>
      <c r="D621" s="65" t="str">
        <f>IFERROR(VLOOKUP(B621,منتجات!$A$3:$C$350,3,0),"")</f>
        <v/>
      </c>
      <c r="E621" s="65"/>
      <c r="F621" s="65" t="str">
        <f>IFERROR(INDEX(منتجات!$G$3:$G$350,MATCH(B621,منتجات!$A$3:$A$115,0)),"")</f>
        <v/>
      </c>
      <c r="G621" s="65" t="str">
        <f t="shared" si="11"/>
        <v/>
      </c>
      <c r="H621" s="70"/>
    </row>
    <row r="622" spans="1:8" x14ac:dyDescent="0.35">
      <c r="A622" s="62"/>
      <c r="B622" s="63"/>
      <c r="C622" s="63" t="str">
        <f>IFERROR(VLOOKUP(B622,منتجات!$A$3:$C$350,2,0),"")</f>
        <v/>
      </c>
      <c r="D622" s="63" t="str">
        <f>IFERROR(VLOOKUP(B622,منتجات!$A$3:$C$350,3,0),"")</f>
        <v/>
      </c>
      <c r="E622" s="63"/>
      <c r="F622" s="63" t="str">
        <f>IFERROR(INDEX(منتجات!$G$3:$G$350,MATCH(B622,منتجات!$A$3:$A$115,0)),"")</f>
        <v/>
      </c>
      <c r="G622" s="63" t="str">
        <f t="shared" si="11"/>
        <v/>
      </c>
      <c r="H622" s="69"/>
    </row>
    <row r="623" spans="1:8" x14ac:dyDescent="0.35">
      <c r="A623" s="64"/>
      <c r="B623" s="65"/>
      <c r="C623" s="65" t="str">
        <f>IFERROR(VLOOKUP(B623,منتجات!$A$3:$C$350,2,0),"")</f>
        <v/>
      </c>
      <c r="D623" s="65" t="str">
        <f>IFERROR(VLOOKUP(B623,منتجات!$A$3:$C$350,3,0),"")</f>
        <v/>
      </c>
      <c r="E623" s="65"/>
      <c r="F623" s="65" t="str">
        <f>IFERROR(INDEX(منتجات!$G$3:$G$350,MATCH(B623,منتجات!$A$3:$A$115,0)),"")</f>
        <v/>
      </c>
      <c r="G623" s="65" t="str">
        <f t="shared" si="11"/>
        <v/>
      </c>
      <c r="H623" s="70"/>
    </row>
    <row r="624" spans="1:8" x14ac:dyDescent="0.35">
      <c r="A624" s="62"/>
      <c r="B624" s="63"/>
      <c r="C624" s="63" t="str">
        <f>IFERROR(VLOOKUP(B624,منتجات!$A$3:$C$350,2,0),"")</f>
        <v/>
      </c>
      <c r="D624" s="63" t="str">
        <f>IFERROR(VLOOKUP(B624,منتجات!$A$3:$C$350,3,0),"")</f>
        <v/>
      </c>
      <c r="E624" s="63"/>
      <c r="F624" s="63" t="str">
        <f>IFERROR(INDEX(منتجات!$G$3:$G$350,MATCH(B624,منتجات!$A$3:$A$115,0)),"")</f>
        <v/>
      </c>
      <c r="G624" s="63" t="str">
        <f t="shared" si="11"/>
        <v/>
      </c>
      <c r="H624" s="69"/>
    </row>
    <row r="625" spans="1:8" x14ac:dyDescent="0.35">
      <c r="A625" s="64"/>
      <c r="B625" s="65"/>
      <c r="C625" s="65" t="str">
        <f>IFERROR(VLOOKUP(B625,منتجات!$A$3:$C$350,2,0),"")</f>
        <v/>
      </c>
      <c r="D625" s="65" t="str">
        <f>IFERROR(VLOOKUP(B625,منتجات!$A$3:$C$350,3,0),"")</f>
        <v/>
      </c>
      <c r="E625" s="65"/>
      <c r="F625" s="65" t="str">
        <f>IFERROR(INDEX(منتجات!$G$3:$G$350,MATCH(B625,منتجات!$A$3:$A$115,0)),"")</f>
        <v/>
      </c>
      <c r="G625" s="65" t="str">
        <f t="shared" si="11"/>
        <v/>
      </c>
      <c r="H625" s="70"/>
    </row>
    <row r="626" spans="1:8" x14ac:dyDescent="0.35">
      <c r="A626" s="62"/>
      <c r="B626" s="63"/>
      <c r="C626" s="63" t="str">
        <f>IFERROR(VLOOKUP(B626,منتجات!$A$3:$C$350,2,0),"")</f>
        <v/>
      </c>
      <c r="D626" s="63" t="str">
        <f>IFERROR(VLOOKUP(B626,منتجات!$A$3:$C$350,3,0),"")</f>
        <v/>
      </c>
      <c r="E626" s="63"/>
      <c r="F626" s="63" t="str">
        <f>IFERROR(INDEX(منتجات!$G$3:$G$350,MATCH(B626,منتجات!$A$3:$A$115,0)),"")</f>
        <v/>
      </c>
      <c r="G626" s="63" t="str">
        <f t="shared" si="11"/>
        <v/>
      </c>
      <c r="H626" s="69"/>
    </row>
    <row r="627" spans="1:8" x14ac:dyDescent="0.35">
      <c r="A627" s="64"/>
      <c r="B627" s="65"/>
      <c r="C627" s="65" t="str">
        <f>IFERROR(VLOOKUP(B627,منتجات!$A$3:$C$350,2,0),"")</f>
        <v/>
      </c>
      <c r="D627" s="65" t="str">
        <f>IFERROR(VLOOKUP(B627,منتجات!$A$3:$C$350,3,0),"")</f>
        <v/>
      </c>
      <c r="E627" s="65"/>
      <c r="F627" s="65" t="str">
        <f>IFERROR(INDEX(منتجات!$G$3:$G$350,MATCH(B627,منتجات!$A$3:$A$115,0)),"")</f>
        <v/>
      </c>
      <c r="G627" s="65" t="str">
        <f t="shared" si="11"/>
        <v/>
      </c>
      <c r="H627" s="70"/>
    </row>
    <row r="628" spans="1:8" x14ac:dyDescent="0.35">
      <c r="A628" s="62"/>
      <c r="B628" s="63"/>
      <c r="C628" s="63" t="str">
        <f>IFERROR(VLOOKUP(B628,منتجات!$A$3:$C$350,2,0),"")</f>
        <v/>
      </c>
      <c r="D628" s="63" t="str">
        <f>IFERROR(VLOOKUP(B628,منتجات!$A$3:$C$350,3,0),"")</f>
        <v/>
      </c>
      <c r="E628" s="63"/>
      <c r="F628" s="63" t="str">
        <f>IFERROR(INDEX(منتجات!$G$3:$G$350,MATCH(B628,منتجات!$A$3:$A$115,0)),"")</f>
        <v/>
      </c>
      <c r="G628" s="63" t="str">
        <f t="shared" si="11"/>
        <v/>
      </c>
      <c r="H628" s="69"/>
    </row>
    <row r="629" spans="1:8" x14ac:dyDescent="0.35">
      <c r="A629" s="64"/>
      <c r="B629" s="65"/>
      <c r="C629" s="65" t="str">
        <f>IFERROR(VLOOKUP(B629,منتجات!$A$3:$C$350,2,0),"")</f>
        <v/>
      </c>
      <c r="D629" s="65" t="str">
        <f>IFERROR(VLOOKUP(B629,منتجات!$A$3:$C$350,3,0),"")</f>
        <v/>
      </c>
      <c r="E629" s="65"/>
      <c r="F629" s="65" t="str">
        <f>IFERROR(INDEX(منتجات!$G$3:$G$350,MATCH(B629,منتجات!$A$3:$A$115,0)),"")</f>
        <v/>
      </c>
      <c r="G629" s="65" t="str">
        <f t="shared" si="11"/>
        <v/>
      </c>
      <c r="H629" s="70"/>
    </row>
    <row r="630" spans="1:8" x14ac:dyDescent="0.35">
      <c r="A630" s="62"/>
      <c r="B630" s="63"/>
      <c r="C630" s="63" t="str">
        <f>IFERROR(VLOOKUP(B630,منتجات!$A$3:$C$350,2,0),"")</f>
        <v/>
      </c>
      <c r="D630" s="63" t="str">
        <f>IFERROR(VLOOKUP(B630,منتجات!$A$3:$C$350,3,0),"")</f>
        <v/>
      </c>
      <c r="E630" s="63"/>
      <c r="F630" s="63" t="str">
        <f>IFERROR(INDEX(منتجات!$G$3:$G$350,MATCH(B630,منتجات!$A$3:$A$115,0)),"")</f>
        <v/>
      </c>
      <c r="G630" s="63" t="str">
        <f t="shared" si="11"/>
        <v/>
      </c>
      <c r="H630" s="69"/>
    </row>
    <row r="631" spans="1:8" x14ac:dyDescent="0.35">
      <c r="A631" s="64"/>
      <c r="B631" s="65"/>
      <c r="C631" s="65" t="str">
        <f>IFERROR(VLOOKUP(B631,منتجات!$A$3:$C$350,2,0),"")</f>
        <v/>
      </c>
      <c r="D631" s="65" t="str">
        <f>IFERROR(VLOOKUP(B631,منتجات!$A$3:$C$350,3,0),"")</f>
        <v/>
      </c>
      <c r="E631" s="65"/>
      <c r="F631" s="65" t="str">
        <f>IFERROR(INDEX(منتجات!$G$3:$G$350,MATCH(B631,منتجات!$A$3:$A$115,0)),"")</f>
        <v/>
      </c>
      <c r="G631" s="65" t="str">
        <f t="shared" si="11"/>
        <v/>
      </c>
      <c r="H631" s="70"/>
    </row>
    <row r="632" spans="1:8" x14ac:dyDescent="0.35">
      <c r="A632" s="62"/>
      <c r="B632" s="63"/>
      <c r="C632" s="63" t="str">
        <f>IFERROR(VLOOKUP(B632,منتجات!$A$3:$C$350,2,0),"")</f>
        <v/>
      </c>
      <c r="D632" s="63" t="str">
        <f>IFERROR(VLOOKUP(B632,منتجات!$A$3:$C$350,3,0),"")</f>
        <v/>
      </c>
      <c r="E632" s="63"/>
      <c r="F632" s="63" t="str">
        <f>IFERROR(INDEX(منتجات!$G$3:$G$350,MATCH(B632,منتجات!$A$3:$A$115,0)),"")</f>
        <v/>
      </c>
      <c r="G632" s="63" t="str">
        <f t="shared" si="11"/>
        <v/>
      </c>
      <c r="H632" s="69"/>
    </row>
    <row r="633" spans="1:8" x14ac:dyDescent="0.35">
      <c r="A633" s="64"/>
      <c r="B633" s="65"/>
      <c r="C633" s="65" t="str">
        <f>IFERROR(VLOOKUP(B633,منتجات!$A$3:$C$350,2,0),"")</f>
        <v/>
      </c>
      <c r="D633" s="65" t="str">
        <f>IFERROR(VLOOKUP(B633,منتجات!$A$3:$C$350,3,0),"")</f>
        <v/>
      </c>
      <c r="E633" s="65"/>
      <c r="F633" s="65" t="str">
        <f>IFERROR(INDEX(منتجات!$G$3:$G$350,MATCH(B633,منتجات!$A$3:$A$115,0)),"")</f>
        <v/>
      </c>
      <c r="G633" s="65" t="str">
        <f t="shared" si="11"/>
        <v/>
      </c>
      <c r="H633" s="70"/>
    </row>
    <row r="634" spans="1:8" x14ac:dyDescent="0.35">
      <c r="A634" s="62"/>
      <c r="B634" s="63"/>
      <c r="C634" s="63" t="str">
        <f>IFERROR(VLOOKUP(B634,منتجات!$A$3:$C$350,2,0),"")</f>
        <v/>
      </c>
      <c r="D634" s="63" t="str">
        <f>IFERROR(VLOOKUP(B634,منتجات!$A$3:$C$350,3,0),"")</f>
        <v/>
      </c>
      <c r="E634" s="63"/>
      <c r="F634" s="63" t="str">
        <f>IFERROR(INDEX(منتجات!$G$3:$G$350,MATCH(B634,منتجات!$A$3:$A$115,0)),"")</f>
        <v/>
      </c>
      <c r="G634" s="63" t="str">
        <f t="shared" si="11"/>
        <v/>
      </c>
      <c r="H634" s="69"/>
    </row>
    <row r="635" spans="1:8" x14ac:dyDescent="0.35">
      <c r="A635" s="64"/>
      <c r="B635" s="65"/>
      <c r="C635" s="65" t="str">
        <f>IFERROR(VLOOKUP(B635,منتجات!$A$3:$C$350,2,0),"")</f>
        <v/>
      </c>
      <c r="D635" s="65" t="str">
        <f>IFERROR(VLOOKUP(B635,منتجات!$A$3:$C$350,3,0),"")</f>
        <v/>
      </c>
      <c r="E635" s="65"/>
      <c r="F635" s="65" t="str">
        <f>IFERROR(INDEX(منتجات!$G$3:$G$350,MATCH(B635,منتجات!$A$3:$A$115,0)),"")</f>
        <v/>
      </c>
      <c r="G635" s="65" t="str">
        <f t="shared" si="11"/>
        <v/>
      </c>
      <c r="H635" s="70"/>
    </row>
    <row r="636" spans="1:8" x14ac:dyDescent="0.35">
      <c r="A636" s="62"/>
      <c r="B636" s="63"/>
      <c r="C636" s="63" t="str">
        <f>IFERROR(VLOOKUP(B636,منتجات!$A$3:$C$350,2,0),"")</f>
        <v/>
      </c>
      <c r="D636" s="63" t="str">
        <f>IFERROR(VLOOKUP(B636,منتجات!$A$3:$C$350,3,0),"")</f>
        <v/>
      </c>
      <c r="E636" s="63"/>
      <c r="F636" s="63" t="str">
        <f>IFERROR(INDEX(منتجات!$G$3:$G$350,MATCH(B636,منتجات!$A$3:$A$115,0)),"")</f>
        <v/>
      </c>
      <c r="G636" s="63" t="str">
        <f t="shared" si="11"/>
        <v/>
      </c>
      <c r="H636" s="69"/>
    </row>
    <row r="637" spans="1:8" x14ac:dyDescent="0.35">
      <c r="A637" s="64"/>
      <c r="B637" s="65"/>
      <c r="C637" s="65" t="str">
        <f>IFERROR(VLOOKUP(B637,منتجات!$A$3:$C$350,2,0),"")</f>
        <v/>
      </c>
      <c r="D637" s="65" t="str">
        <f>IFERROR(VLOOKUP(B637,منتجات!$A$3:$C$350,3,0),"")</f>
        <v/>
      </c>
      <c r="E637" s="65"/>
      <c r="F637" s="65" t="str">
        <f>IFERROR(INDEX(منتجات!$G$3:$G$350,MATCH(B637,منتجات!$A$3:$A$115,0)),"")</f>
        <v/>
      </c>
      <c r="G637" s="65" t="str">
        <f t="shared" si="11"/>
        <v/>
      </c>
      <c r="H637" s="70"/>
    </row>
    <row r="638" spans="1:8" x14ac:dyDescent="0.35">
      <c r="A638" s="62"/>
      <c r="B638" s="63"/>
      <c r="C638" s="63" t="str">
        <f>IFERROR(VLOOKUP(B638,منتجات!$A$3:$C$350,2,0),"")</f>
        <v/>
      </c>
      <c r="D638" s="63" t="str">
        <f>IFERROR(VLOOKUP(B638,منتجات!$A$3:$C$350,3,0),"")</f>
        <v/>
      </c>
      <c r="E638" s="63"/>
      <c r="F638" s="63" t="str">
        <f>IFERROR(INDEX(منتجات!$G$3:$G$350,MATCH(B638,منتجات!$A$3:$A$115,0)),"")</f>
        <v/>
      </c>
      <c r="G638" s="63" t="str">
        <f t="shared" si="11"/>
        <v/>
      </c>
      <c r="H638" s="69"/>
    </row>
    <row r="639" spans="1:8" x14ac:dyDescent="0.35">
      <c r="A639" s="64"/>
      <c r="B639" s="65"/>
      <c r="C639" s="65" t="str">
        <f>IFERROR(VLOOKUP(B639,منتجات!$A$3:$C$350,2,0),"")</f>
        <v/>
      </c>
      <c r="D639" s="65" t="str">
        <f>IFERROR(VLOOKUP(B639,منتجات!$A$3:$C$350,3,0),"")</f>
        <v/>
      </c>
      <c r="E639" s="65"/>
      <c r="F639" s="65" t="str">
        <f>IFERROR(INDEX(منتجات!$G$3:$G$350,MATCH(B639,منتجات!$A$3:$A$115,0)),"")</f>
        <v/>
      </c>
      <c r="G639" s="65" t="str">
        <f t="shared" si="11"/>
        <v/>
      </c>
      <c r="H639" s="70"/>
    </row>
    <row r="640" spans="1:8" x14ac:dyDescent="0.35">
      <c r="A640" s="62"/>
      <c r="B640" s="63"/>
      <c r="C640" s="63" t="str">
        <f>IFERROR(VLOOKUP(B640,منتجات!$A$3:$C$350,2,0),"")</f>
        <v/>
      </c>
      <c r="D640" s="63" t="str">
        <f>IFERROR(VLOOKUP(B640,منتجات!$A$3:$C$350,3,0),"")</f>
        <v/>
      </c>
      <c r="E640" s="63"/>
      <c r="F640" s="63" t="str">
        <f>IFERROR(INDEX(منتجات!$G$3:$G$350,MATCH(B640,منتجات!$A$3:$A$115,0)),"")</f>
        <v/>
      </c>
      <c r="G640" s="63" t="str">
        <f t="shared" si="11"/>
        <v/>
      </c>
      <c r="H640" s="69"/>
    </row>
    <row r="641" spans="1:8" x14ac:dyDescent="0.35">
      <c r="A641" s="64"/>
      <c r="B641" s="65"/>
      <c r="C641" s="65" t="str">
        <f>IFERROR(VLOOKUP(B641,منتجات!$A$3:$C$350,2,0),"")</f>
        <v/>
      </c>
      <c r="D641" s="65" t="str">
        <f>IFERROR(VLOOKUP(B641,منتجات!$A$3:$C$350,3,0),"")</f>
        <v/>
      </c>
      <c r="E641" s="65"/>
      <c r="F641" s="65" t="str">
        <f>IFERROR(INDEX(منتجات!$G$3:$G$350,MATCH(B641,منتجات!$A$3:$A$115,0)),"")</f>
        <v/>
      </c>
      <c r="G641" s="65" t="str">
        <f t="shared" si="11"/>
        <v/>
      </c>
      <c r="H641" s="70"/>
    </row>
    <row r="642" spans="1:8" x14ac:dyDescent="0.35">
      <c r="A642" s="62"/>
      <c r="B642" s="63"/>
      <c r="C642" s="63" t="str">
        <f>IFERROR(VLOOKUP(B642,منتجات!$A$3:$C$350,2,0),"")</f>
        <v/>
      </c>
      <c r="D642" s="63" t="str">
        <f>IFERROR(VLOOKUP(B642,منتجات!$A$3:$C$350,3,0),"")</f>
        <v/>
      </c>
      <c r="E642" s="63"/>
      <c r="F642" s="63" t="str">
        <f>IFERROR(INDEX(منتجات!$G$3:$G$350,MATCH(B642,منتجات!$A$3:$A$115,0)),"")</f>
        <v/>
      </c>
      <c r="G642" s="63" t="str">
        <f t="shared" si="11"/>
        <v/>
      </c>
      <c r="H642" s="69"/>
    </row>
    <row r="643" spans="1:8" x14ac:dyDescent="0.35">
      <c r="A643" s="64"/>
      <c r="B643" s="65"/>
      <c r="C643" s="65" t="str">
        <f>IFERROR(VLOOKUP(B643,منتجات!$A$3:$C$350,2,0),"")</f>
        <v/>
      </c>
      <c r="D643" s="65" t="str">
        <f>IFERROR(VLOOKUP(B643,منتجات!$A$3:$C$350,3,0),"")</f>
        <v/>
      </c>
      <c r="E643" s="65"/>
      <c r="F643" s="65" t="str">
        <f>IFERROR(INDEX(منتجات!$G$3:$G$350,MATCH(B643,منتجات!$A$3:$A$115,0)),"")</f>
        <v/>
      </c>
      <c r="G643" s="65" t="str">
        <f t="shared" si="11"/>
        <v/>
      </c>
      <c r="H643" s="70"/>
    </row>
    <row r="644" spans="1:8" x14ac:dyDescent="0.35">
      <c r="A644" s="62"/>
      <c r="B644" s="63"/>
      <c r="C644" s="63" t="str">
        <f>IFERROR(VLOOKUP(B644,منتجات!$A$3:$C$350,2,0),"")</f>
        <v/>
      </c>
      <c r="D644" s="63" t="str">
        <f>IFERROR(VLOOKUP(B644,منتجات!$A$3:$C$350,3,0),"")</f>
        <v/>
      </c>
      <c r="E644" s="63"/>
      <c r="F644" s="63" t="str">
        <f>IFERROR(INDEX(منتجات!$G$3:$G$350,MATCH(B644,منتجات!$A$3:$A$115,0)),"")</f>
        <v/>
      </c>
      <c r="G644" s="63" t="str">
        <f t="shared" si="11"/>
        <v/>
      </c>
      <c r="H644" s="69"/>
    </row>
    <row r="645" spans="1:8" x14ac:dyDescent="0.35">
      <c r="A645" s="64"/>
      <c r="B645" s="65"/>
      <c r="C645" s="65" t="str">
        <f>IFERROR(VLOOKUP(B645,منتجات!$A$3:$C$350,2,0),"")</f>
        <v/>
      </c>
      <c r="D645" s="65" t="str">
        <f>IFERROR(VLOOKUP(B645,منتجات!$A$3:$C$350,3,0),"")</f>
        <v/>
      </c>
      <c r="E645" s="65"/>
      <c r="F645" s="65" t="str">
        <f>IFERROR(INDEX(منتجات!$G$3:$G$350,MATCH(B645,منتجات!$A$3:$A$115,0)),"")</f>
        <v/>
      </c>
      <c r="G645" s="65" t="str">
        <f t="shared" si="11"/>
        <v/>
      </c>
      <c r="H645" s="70"/>
    </row>
    <row r="646" spans="1:8" x14ac:dyDescent="0.35">
      <c r="A646" s="62"/>
      <c r="B646" s="63"/>
      <c r="C646" s="63" t="str">
        <f>IFERROR(VLOOKUP(B646,منتجات!$A$3:$C$350,2,0),"")</f>
        <v/>
      </c>
      <c r="D646" s="63" t="str">
        <f>IFERROR(VLOOKUP(B646,منتجات!$A$3:$C$350,3,0),"")</f>
        <v/>
      </c>
      <c r="E646" s="63"/>
      <c r="F646" s="63" t="str">
        <f>IFERROR(INDEX(منتجات!$G$3:$G$350,MATCH(B646,منتجات!$A$3:$A$115,0)),"")</f>
        <v/>
      </c>
      <c r="G646" s="63" t="str">
        <f t="shared" ref="G646:G709" si="12">IFERROR(E646*F646*D646,"")</f>
        <v/>
      </c>
      <c r="H646" s="69"/>
    </row>
    <row r="647" spans="1:8" x14ac:dyDescent="0.35">
      <c r="A647" s="64"/>
      <c r="B647" s="65"/>
      <c r="C647" s="65" t="str">
        <f>IFERROR(VLOOKUP(B647,منتجات!$A$3:$C$350,2,0),"")</f>
        <v/>
      </c>
      <c r="D647" s="65" t="str">
        <f>IFERROR(VLOOKUP(B647,منتجات!$A$3:$C$350,3,0),"")</f>
        <v/>
      </c>
      <c r="E647" s="65"/>
      <c r="F647" s="65" t="str">
        <f>IFERROR(INDEX(منتجات!$G$3:$G$350,MATCH(B647,منتجات!$A$3:$A$115,0)),"")</f>
        <v/>
      </c>
      <c r="G647" s="65" t="str">
        <f t="shared" si="12"/>
        <v/>
      </c>
      <c r="H647" s="70"/>
    </row>
    <row r="648" spans="1:8" x14ac:dyDescent="0.35">
      <c r="A648" s="62"/>
      <c r="B648" s="63"/>
      <c r="C648" s="63" t="str">
        <f>IFERROR(VLOOKUP(B648,منتجات!$A$3:$C$350,2,0),"")</f>
        <v/>
      </c>
      <c r="D648" s="63" t="str">
        <f>IFERROR(VLOOKUP(B648,منتجات!$A$3:$C$350,3,0),"")</f>
        <v/>
      </c>
      <c r="E648" s="63"/>
      <c r="F648" s="63" t="str">
        <f>IFERROR(INDEX(منتجات!$G$3:$G$350,MATCH(B648,منتجات!$A$3:$A$115,0)),"")</f>
        <v/>
      </c>
      <c r="G648" s="63" t="str">
        <f t="shared" si="12"/>
        <v/>
      </c>
      <c r="H648" s="69"/>
    </row>
    <row r="649" spans="1:8" x14ac:dyDescent="0.35">
      <c r="A649" s="64"/>
      <c r="B649" s="65"/>
      <c r="C649" s="65" t="str">
        <f>IFERROR(VLOOKUP(B649,منتجات!$A$3:$C$350,2,0),"")</f>
        <v/>
      </c>
      <c r="D649" s="65" t="str">
        <f>IFERROR(VLOOKUP(B649,منتجات!$A$3:$C$350,3,0),"")</f>
        <v/>
      </c>
      <c r="E649" s="65"/>
      <c r="F649" s="65" t="str">
        <f>IFERROR(INDEX(منتجات!$G$3:$G$350,MATCH(B649,منتجات!$A$3:$A$115,0)),"")</f>
        <v/>
      </c>
      <c r="G649" s="65" t="str">
        <f t="shared" si="12"/>
        <v/>
      </c>
      <c r="H649" s="70"/>
    </row>
    <row r="650" spans="1:8" x14ac:dyDescent="0.35">
      <c r="A650" s="62"/>
      <c r="B650" s="63"/>
      <c r="C650" s="63" t="str">
        <f>IFERROR(VLOOKUP(B650,منتجات!$A$3:$C$350,2,0),"")</f>
        <v/>
      </c>
      <c r="D650" s="63" t="str">
        <f>IFERROR(VLOOKUP(B650,منتجات!$A$3:$C$350,3,0),"")</f>
        <v/>
      </c>
      <c r="E650" s="63"/>
      <c r="F650" s="63" t="str">
        <f>IFERROR(INDEX(منتجات!$G$3:$G$350,MATCH(B650,منتجات!$A$3:$A$115,0)),"")</f>
        <v/>
      </c>
      <c r="G650" s="63" t="str">
        <f t="shared" si="12"/>
        <v/>
      </c>
      <c r="H650" s="69"/>
    </row>
    <row r="651" spans="1:8" x14ac:dyDescent="0.35">
      <c r="A651" s="64"/>
      <c r="B651" s="65"/>
      <c r="C651" s="65" t="str">
        <f>IFERROR(VLOOKUP(B651,منتجات!$A$3:$C$350,2,0),"")</f>
        <v/>
      </c>
      <c r="D651" s="65" t="str">
        <f>IFERROR(VLOOKUP(B651,منتجات!$A$3:$C$350,3,0),"")</f>
        <v/>
      </c>
      <c r="E651" s="65"/>
      <c r="F651" s="65" t="str">
        <f>IFERROR(INDEX(منتجات!$G$3:$G$350,MATCH(B651,منتجات!$A$3:$A$115,0)),"")</f>
        <v/>
      </c>
      <c r="G651" s="65" t="str">
        <f t="shared" si="12"/>
        <v/>
      </c>
      <c r="H651" s="70"/>
    </row>
    <row r="652" spans="1:8" x14ac:dyDescent="0.35">
      <c r="A652" s="62"/>
      <c r="B652" s="63"/>
      <c r="C652" s="63" t="str">
        <f>IFERROR(VLOOKUP(B652,منتجات!$A$3:$C$350,2,0),"")</f>
        <v/>
      </c>
      <c r="D652" s="63" t="str">
        <f>IFERROR(VLOOKUP(B652,منتجات!$A$3:$C$350,3,0),"")</f>
        <v/>
      </c>
      <c r="E652" s="63"/>
      <c r="F652" s="63" t="str">
        <f>IFERROR(INDEX(منتجات!$G$3:$G$350,MATCH(B652,منتجات!$A$3:$A$115,0)),"")</f>
        <v/>
      </c>
      <c r="G652" s="63" t="str">
        <f t="shared" si="12"/>
        <v/>
      </c>
      <c r="H652" s="69"/>
    </row>
    <row r="653" spans="1:8" x14ac:dyDescent="0.35">
      <c r="A653" s="64"/>
      <c r="B653" s="65"/>
      <c r="C653" s="65" t="str">
        <f>IFERROR(VLOOKUP(B653,منتجات!$A$3:$C$350,2,0),"")</f>
        <v/>
      </c>
      <c r="D653" s="65" t="str">
        <f>IFERROR(VLOOKUP(B653,منتجات!$A$3:$C$350,3,0),"")</f>
        <v/>
      </c>
      <c r="E653" s="65"/>
      <c r="F653" s="65" t="str">
        <f>IFERROR(INDEX(منتجات!$G$3:$G$350,MATCH(B653,منتجات!$A$3:$A$115,0)),"")</f>
        <v/>
      </c>
      <c r="G653" s="65" t="str">
        <f t="shared" si="12"/>
        <v/>
      </c>
      <c r="H653" s="70"/>
    </row>
    <row r="654" spans="1:8" x14ac:dyDescent="0.35">
      <c r="A654" s="62"/>
      <c r="B654" s="63"/>
      <c r="C654" s="63" t="str">
        <f>IFERROR(VLOOKUP(B654,منتجات!$A$3:$C$350,2,0),"")</f>
        <v/>
      </c>
      <c r="D654" s="63" t="str">
        <f>IFERROR(VLOOKUP(B654,منتجات!$A$3:$C$350,3,0),"")</f>
        <v/>
      </c>
      <c r="E654" s="63"/>
      <c r="F654" s="63" t="str">
        <f>IFERROR(INDEX(منتجات!$G$3:$G$350,MATCH(B654,منتجات!$A$3:$A$115,0)),"")</f>
        <v/>
      </c>
      <c r="G654" s="63" t="str">
        <f t="shared" si="12"/>
        <v/>
      </c>
      <c r="H654" s="69"/>
    </row>
    <row r="655" spans="1:8" x14ac:dyDescent="0.35">
      <c r="A655" s="64"/>
      <c r="B655" s="65"/>
      <c r="C655" s="65" t="str">
        <f>IFERROR(VLOOKUP(B655,منتجات!$A$3:$C$350,2,0),"")</f>
        <v/>
      </c>
      <c r="D655" s="65" t="str">
        <f>IFERROR(VLOOKUP(B655,منتجات!$A$3:$C$350,3,0),"")</f>
        <v/>
      </c>
      <c r="E655" s="65"/>
      <c r="F655" s="65" t="str">
        <f>IFERROR(INDEX(منتجات!$G$3:$G$350,MATCH(B655,منتجات!$A$3:$A$115,0)),"")</f>
        <v/>
      </c>
      <c r="G655" s="65" t="str">
        <f t="shared" si="12"/>
        <v/>
      </c>
      <c r="H655" s="70"/>
    </row>
    <row r="656" spans="1:8" x14ac:dyDescent="0.35">
      <c r="A656" s="62"/>
      <c r="B656" s="63"/>
      <c r="C656" s="63" t="str">
        <f>IFERROR(VLOOKUP(B656,منتجات!$A$3:$C$350,2,0),"")</f>
        <v/>
      </c>
      <c r="D656" s="63" t="str">
        <f>IFERROR(VLOOKUP(B656,منتجات!$A$3:$C$350,3,0),"")</f>
        <v/>
      </c>
      <c r="E656" s="63"/>
      <c r="F656" s="63" t="str">
        <f>IFERROR(INDEX(منتجات!$G$3:$G$350,MATCH(B656,منتجات!$A$3:$A$115,0)),"")</f>
        <v/>
      </c>
      <c r="G656" s="63" t="str">
        <f t="shared" si="12"/>
        <v/>
      </c>
      <c r="H656" s="69"/>
    </row>
    <row r="657" spans="1:8" x14ac:dyDescent="0.35">
      <c r="A657" s="64"/>
      <c r="B657" s="65"/>
      <c r="C657" s="65" t="str">
        <f>IFERROR(VLOOKUP(B657,منتجات!$A$3:$C$350,2,0),"")</f>
        <v/>
      </c>
      <c r="D657" s="65" t="str">
        <f>IFERROR(VLOOKUP(B657,منتجات!$A$3:$C$350,3,0),"")</f>
        <v/>
      </c>
      <c r="E657" s="65"/>
      <c r="F657" s="65" t="str">
        <f>IFERROR(INDEX(منتجات!$G$3:$G$350,MATCH(B657,منتجات!$A$3:$A$115,0)),"")</f>
        <v/>
      </c>
      <c r="G657" s="65" t="str">
        <f t="shared" si="12"/>
        <v/>
      </c>
      <c r="H657" s="70"/>
    </row>
    <row r="658" spans="1:8" x14ac:dyDescent="0.35">
      <c r="A658" s="62"/>
      <c r="B658" s="63"/>
      <c r="C658" s="63" t="str">
        <f>IFERROR(VLOOKUP(B658,منتجات!$A$3:$C$350,2,0),"")</f>
        <v/>
      </c>
      <c r="D658" s="63" t="str">
        <f>IFERROR(VLOOKUP(B658,منتجات!$A$3:$C$350,3,0),"")</f>
        <v/>
      </c>
      <c r="E658" s="63"/>
      <c r="F658" s="63" t="str">
        <f>IFERROR(INDEX(منتجات!$G$3:$G$350,MATCH(B658,منتجات!$A$3:$A$115,0)),"")</f>
        <v/>
      </c>
      <c r="G658" s="63" t="str">
        <f t="shared" si="12"/>
        <v/>
      </c>
      <c r="H658" s="69"/>
    </row>
    <row r="659" spans="1:8" x14ac:dyDescent="0.35">
      <c r="A659" s="64"/>
      <c r="B659" s="65"/>
      <c r="C659" s="65" t="str">
        <f>IFERROR(VLOOKUP(B659,منتجات!$A$3:$C$350,2,0),"")</f>
        <v/>
      </c>
      <c r="D659" s="65" t="str">
        <f>IFERROR(VLOOKUP(B659,منتجات!$A$3:$C$350,3,0),"")</f>
        <v/>
      </c>
      <c r="E659" s="65"/>
      <c r="F659" s="65" t="str">
        <f>IFERROR(INDEX(منتجات!$G$3:$G$350,MATCH(B659,منتجات!$A$3:$A$115,0)),"")</f>
        <v/>
      </c>
      <c r="G659" s="65" t="str">
        <f t="shared" si="12"/>
        <v/>
      </c>
      <c r="H659" s="70"/>
    </row>
    <row r="660" spans="1:8" x14ac:dyDescent="0.35">
      <c r="A660" s="62"/>
      <c r="B660" s="63"/>
      <c r="C660" s="63" t="str">
        <f>IFERROR(VLOOKUP(B660,منتجات!$A$3:$C$350,2,0),"")</f>
        <v/>
      </c>
      <c r="D660" s="63" t="str">
        <f>IFERROR(VLOOKUP(B660,منتجات!$A$3:$C$350,3,0),"")</f>
        <v/>
      </c>
      <c r="E660" s="63"/>
      <c r="F660" s="63" t="str">
        <f>IFERROR(INDEX(منتجات!$G$3:$G$350,MATCH(B660,منتجات!$A$3:$A$115,0)),"")</f>
        <v/>
      </c>
      <c r="G660" s="63" t="str">
        <f t="shared" si="12"/>
        <v/>
      </c>
      <c r="H660" s="69"/>
    </row>
    <row r="661" spans="1:8" x14ac:dyDescent="0.35">
      <c r="A661" s="64"/>
      <c r="B661" s="65"/>
      <c r="C661" s="65" t="str">
        <f>IFERROR(VLOOKUP(B661,منتجات!$A$3:$C$350,2,0),"")</f>
        <v/>
      </c>
      <c r="D661" s="65" t="str">
        <f>IFERROR(VLOOKUP(B661,منتجات!$A$3:$C$350,3,0),"")</f>
        <v/>
      </c>
      <c r="E661" s="65"/>
      <c r="F661" s="65" t="str">
        <f>IFERROR(INDEX(منتجات!$G$3:$G$350,MATCH(B661,منتجات!$A$3:$A$115,0)),"")</f>
        <v/>
      </c>
      <c r="G661" s="65" t="str">
        <f t="shared" si="12"/>
        <v/>
      </c>
      <c r="H661" s="70"/>
    </row>
    <row r="662" spans="1:8" x14ac:dyDescent="0.35">
      <c r="A662" s="62"/>
      <c r="B662" s="63"/>
      <c r="C662" s="63" t="str">
        <f>IFERROR(VLOOKUP(B662,منتجات!$A$3:$C$350,2,0),"")</f>
        <v/>
      </c>
      <c r="D662" s="63" t="str">
        <f>IFERROR(VLOOKUP(B662,منتجات!$A$3:$C$350,3,0),"")</f>
        <v/>
      </c>
      <c r="E662" s="63"/>
      <c r="F662" s="63" t="str">
        <f>IFERROR(INDEX(منتجات!$G$3:$G$350,MATCH(B662,منتجات!$A$3:$A$115,0)),"")</f>
        <v/>
      </c>
      <c r="G662" s="63" t="str">
        <f t="shared" si="12"/>
        <v/>
      </c>
      <c r="H662" s="69"/>
    </row>
    <row r="663" spans="1:8" x14ac:dyDescent="0.35">
      <c r="A663" s="64"/>
      <c r="B663" s="65"/>
      <c r="C663" s="65" t="str">
        <f>IFERROR(VLOOKUP(B663,منتجات!$A$3:$C$350,2,0),"")</f>
        <v/>
      </c>
      <c r="D663" s="65" t="str">
        <f>IFERROR(VLOOKUP(B663,منتجات!$A$3:$C$350,3,0),"")</f>
        <v/>
      </c>
      <c r="E663" s="65"/>
      <c r="F663" s="65" t="str">
        <f>IFERROR(INDEX(منتجات!$G$3:$G$350,MATCH(B663,منتجات!$A$3:$A$115,0)),"")</f>
        <v/>
      </c>
      <c r="G663" s="65" t="str">
        <f t="shared" si="12"/>
        <v/>
      </c>
      <c r="H663" s="70"/>
    </row>
    <row r="664" spans="1:8" x14ac:dyDescent="0.35">
      <c r="A664" s="62"/>
      <c r="B664" s="63"/>
      <c r="C664" s="63" t="str">
        <f>IFERROR(VLOOKUP(B664,منتجات!$A$3:$C$350,2,0),"")</f>
        <v/>
      </c>
      <c r="D664" s="63" t="str">
        <f>IFERROR(VLOOKUP(B664,منتجات!$A$3:$C$350,3,0),"")</f>
        <v/>
      </c>
      <c r="E664" s="63"/>
      <c r="F664" s="63" t="str">
        <f>IFERROR(INDEX(منتجات!$G$3:$G$350,MATCH(B664,منتجات!$A$3:$A$115,0)),"")</f>
        <v/>
      </c>
      <c r="G664" s="63" t="str">
        <f t="shared" si="12"/>
        <v/>
      </c>
      <c r="H664" s="69"/>
    </row>
    <row r="665" spans="1:8" x14ac:dyDescent="0.35">
      <c r="A665" s="64"/>
      <c r="B665" s="65"/>
      <c r="C665" s="65" t="str">
        <f>IFERROR(VLOOKUP(B665,منتجات!$A$3:$C$350,2,0),"")</f>
        <v/>
      </c>
      <c r="D665" s="65" t="str">
        <f>IFERROR(VLOOKUP(B665,منتجات!$A$3:$C$350,3,0),"")</f>
        <v/>
      </c>
      <c r="E665" s="65"/>
      <c r="F665" s="65" t="str">
        <f>IFERROR(INDEX(منتجات!$G$3:$G$350,MATCH(B665,منتجات!$A$3:$A$115,0)),"")</f>
        <v/>
      </c>
      <c r="G665" s="65" t="str">
        <f t="shared" si="12"/>
        <v/>
      </c>
      <c r="H665" s="70"/>
    </row>
    <row r="666" spans="1:8" x14ac:dyDescent="0.35">
      <c r="A666" s="62"/>
      <c r="B666" s="63"/>
      <c r="C666" s="63" t="str">
        <f>IFERROR(VLOOKUP(B666,منتجات!$A$3:$C$350,2,0),"")</f>
        <v/>
      </c>
      <c r="D666" s="63" t="str">
        <f>IFERROR(VLOOKUP(B666,منتجات!$A$3:$C$350,3,0),"")</f>
        <v/>
      </c>
      <c r="E666" s="63"/>
      <c r="F666" s="63" t="str">
        <f>IFERROR(INDEX(منتجات!$G$3:$G$350,MATCH(B666,منتجات!$A$3:$A$115,0)),"")</f>
        <v/>
      </c>
      <c r="G666" s="63" t="str">
        <f t="shared" si="12"/>
        <v/>
      </c>
      <c r="H666" s="69"/>
    </row>
    <row r="667" spans="1:8" x14ac:dyDescent="0.35">
      <c r="A667" s="64"/>
      <c r="B667" s="65"/>
      <c r="C667" s="65" t="str">
        <f>IFERROR(VLOOKUP(B667,منتجات!$A$3:$C$350,2,0),"")</f>
        <v/>
      </c>
      <c r="D667" s="65" t="str">
        <f>IFERROR(VLOOKUP(B667,منتجات!$A$3:$C$350,3,0),"")</f>
        <v/>
      </c>
      <c r="E667" s="65"/>
      <c r="F667" s="65" t="str">
        <f>IFERROR(INDEX(منتجات!$G$3:$G$350,MATCH(B667,منتجات!$A$3:$A$115,0)),"")</f>
        <v/>
      </c>
      <c r="G667" s="65" t="str">
        <f t="shared" si="12"/>
        <v/>
      </c>
      <c r="H667" s="70"/>
    </row>
    <row r="668" spans="1:8" x14ac:dyDescent="0.35">
      <c r="A668" s="62"/>
      <c r="B668" s="63"/>
      <c r="C668" s="63" t="str">
        <f>IFERROR(VLOOKUP(B668,منتجات!$A$3:$C$350,2,0),"")</f>
        <v/>
      </c>
      <c r="D668" s="63" t="str">
        <f>IFERROR(VLOOKUP(B668,منتجات!$A$3:$C$350,3,0),"")</f>
        <v/>
      </c>
      <c r="E668" s="63"/>
      <c r="F668" s="63" t="str">
        <f>IFERROR(INDEX(منتجات!$G$3:$G$350,MATCH(B668,منتجات!$A$3:$A$115,0)),"")</f>
        <v/>
      </c>
      <c r="G668" s="63" t="str">
        <f t="shared" si="12"/>
        <v/>
      </c>
      <c r="H668" s="69"/>
    </row>
    <row r="669" spans="1:8" x14ac:dyDescent="0.35">
      <c r="A669" s="64"/>
      <c r="B669" s="65"/>
      <c r="C669" s="65" t="str">
        <f>IFERROR(VLOOKUP(B669,منتجات!$A$3:$C$350,2,0),"")</f>
        <v/>
      </c>
      <c r="D669" s="65" t="str">
        <f>IFERROR(VLOOKUP(B669,منتجات!$A$3:$C$350,3,0),"")</f>
        <v/>
      </c>
      <c r="E669" s="65"/>
      <c r="F669" s="65" t="str">
        <f>IFERROR(INDEX(منتجات!$G$3:$G$350,MATCH(B669,منتجات!$A$3:$A$115,0)),"")</f>
        <v/>
      </c>
      <c r="G669" s="65" t="str">
        <f t="shared" si="12"/>
        <v/>
      </c>
      <c r="H669" s="70"/>
    </row>
    <row r="670" spans="1:8" x14ac:dyDescent="0.35">
      <c r="A670" s="62"/>
      <c r="B670" s="63"/>
      <c r="C670" s="63" t="str">
        <f>IFERROR(VLOOKUP(B670,منتجات!$A$3:$C$350,2,0),"")</f>
        <v/>
      </c>
      <c r="D670" s="63" t="str">
        <f>IFERROR(VLOOKUP(B670,منتجات!$A$3:$C$350,3,0),"")</f>
        <v/>
      </c>
      <c r="E670" s="63"/>
      <c r="F670" s="63" t="str">
        <f>IFERROR(INDEX(منتجات!$G$3:$G$350,MATCH(B670,منتجات!$A$3:$A$115,0)),"")</f>
        <v/>
      </c>
      <c r="G670" s="63" t="str">
        <f t="shared" si="12"/>
        <v/>
      </c>
      <c r="H670" s="69"/>
    </row>
    <row r="671" spans="1:8" x14ac:dyDescent="0.35">
      <c r="A671" s="64"/>
      <c r="B671" s="65"/>
      <c r="C671" s="65" t="str">
        <f>IFERROR(VLOOKUP(B671,منتجات!$A$3:$C$350,2,0),"")</f>
        <v/>
      </c>
      <c r="D671" s="65" t="str">
        <f>IFERROR(VLOOKUP(B671,منتجات!$A$3:$C$350,3,0),"")</f>
        <v/>
      </c>
      <c r="E671" s="65"/>
      <c r="F671" s="65" t="str">
        <f>IFERROR(INDEX(منتجات!$G$3:$G$350,MATCH(B671,منتجات!$A$3:$A$115,0)),"")</f>
        <v/>
      </c>
      <c r="G671" s="65" t="str">
        <f t="shared" si="12"/>
        <v/>
      </c>
      <c r="H671" s="70"/>
    </row>
    <row r="672" spans="1:8" x14ac:dyDescent="0.35">
      <c r="A672" s="62"/>
      <c r="B672" s="63"/>
      <c r="C672" s="63" t="str">
        <f>IFERROR(VLOOKUP(B672,منتجات!$A$3:$C$350,2,0),"")</f>
        <v/>
      </c>
      <c r="D672" s="63" t="str">
        <f>IFERROR(VLOOKUP(B672,منتجات!$A$3:$C$350,3,0),"")</f>
        <v/>
      </c>
      <c r="E672" s="63"/>
      <c r="F672" s="63" t="str">
        <f>IFERROR(INDEX(منتجات!$G$3:$G$350,MATCH(B672,منتجات!$A$3:$A$115,0)),"")</f>
        <v/>
      </c>
      <c r="G672" s="63" t="str">
        <f t="shared" si="12"/>
        <v/>
      </c>
      <c r="H672" s="69"/>
    </row>
    <row r="673" spans="1:8" x14ac:dyDescent="0.35">
      <c r="A673" s="64"/>
      <c r="B673" s="65"/>
      <c r="C673" s="65" t="str">
        <f>IFERROR(VLOOKUP(B673,منتجات!$A$3:$C$350,2,0),"")</f>
        <v/>
      </c>
      <c r="D673" s="65" t="str">
        <f>IFERROR(VLOOKUP(B673,منتجات!$A$3:$C$350,3,0),"")</f>
        <v/>
      </c>
      <c r="E673" s="65"/>
      <c r="F673" s="65" t="str">
        <f>IFERROR(INDEX(منتجات!$G$3:$G$350,MATCH(B673,منتجات!$A$3:$A$115,0)),"")</f>
        <v/>
      </c>
      <c r="G673" s="65" t="str">
        <f t="shared" si="12"/>
        <v/>
      </c>
      <c r="H673" s="70"/>
    </row>
    <row r="674" spans="1:8" x14ac:dyDescent="0.35">
      <c r="A674" s="62"/>
      <c r="B674" s="63"/>
      <c r="C674" s="63" t="str">
        <f>IFERROR(VLOOKUP(B674,منتجات!$A$3:$C$350,2,0),"")</f>
        <v/>
      </c>
      <c r="D674" s="63" t="str">
        <f>IFERROR(VLOOKUP(B674,منتجات!$A$3:$C$350,3,0),"")</f>
        <v/>
      </c>
      <c r="E674" s="63"/>
      <c r="F674" s="63" t="str">
        <f>IFERROR(INDEX(منتجات!$G$3:$G$350,MATCH(B674,منتجات!$A$3:$A$115,0)),"")</f>
        <v/>
      </c>
      <c r="G674" s="63" t="str">
        <f t="shared" si="12"/>
        <v/>
      </c>
      <c r="H674" s="69"/>
    </row>
    <row r="675" spans="1:8" x14ac:dyDescent="0.35">
      <c r="A675" s="64"/>
      <c r="B675" s="65"/>
      <c r="C675" s="65" t="str">
        <f>IFERROR(VLOOKUP(B675,منتجات!$A$3:$C$350,2,0),"")</f>
        <v/>
      </c>
      <c r="D675" s="65" t="str">
        <f>IFERROR(VLOOKUP(B675,منتجات!$A$3:$C$350,3,0),"")</f>
        <v/>
      </c>
      <c r="E675" s="65"/>
      <c r="F675" s="65" t="str">
        <f>IFERROR(INDEX(منتجات!$G$3:$G$350,MATCH(B675,منتجات!$A$3:$A$115,0)),"")</f>
        <v/>
      </c>
      <c r="G675" s="65" t="str">
        <f t="shared" si="12"/>
        <v/>
      </c>
      <c r="H675" s="70"/>
    </row>
    <row r="676" spans="1:8" x14ac:dyDescent="0.35">
      <c r="A676" s="62"/>
      <c r="B676" s="63"/>
      <c r="C676" s="63" t="str">
        <f>IFERROR(VLOOKUP(B676,منتجات!$A$3:$C$350,2,0),"")</f>
        <v/>
      </c>
      <c r="D676" s="63" t="str">
        <f>IFERROR(VLOOKUP(B676,منتجات!$A$3:$C$350,3,0),"")</f>
        <v/>
      </c>
      <c r="E676" s="63"/>
      <c r="F676" s="63" t="str">
        <f>IFERROR(INDEX(منتجات!$G$3:$G$350,MATCH(B676,منتجات!$A$3:$A$115,0)),"")</f>
        <v/>
      </c>
      <c r="G676" s="63" t="str">
        <f t="shared" si="12"/>
        <v/>
      </c>
      <c r="H676" s="69"/>
    </row>
    <row r="677" spans="1:8" x14ac:dyDescent="0.35">
      <c r="A677" s="64"/>
      <c r="B677" s="65"/>
      <c r="C677" s="65" t="str">
        <f>IFERROR(VLOOKUP(B677,منتجات!$A$3:$C$350,2,0),"")</f>
        <v/>
      </c>
      <c r="D677" s="65" t="str">
        <f>IFERROR(VLOOKUP(B677,منتجات!$A$3:$C$350,3,0),"")</f>
        <v/>
      </c>
      <c r="E677" s="65"/>
      <c r="F677" s="65" t="str">
        <f>IFERROR(INDEX(منتجات!$G$3:$G$350,MATCH(B677,منتجات!$A$3:$A$115,0)),"")</f>
        <v/>
      </c>
      <c r="G677" s="65" t="str">
        <f t="shared" si="12"/>
        <v/>
      </c>
      <c r="H677" s="70"/>
    </row>
    <row r="678" spans="1:8" x14ac:dyDescent="0.35">
      <c r="A678" s="62"/>
      <c r="B678" s="63"/>
      <c r="C678" s="63" t="str">
        <f>IFERROR(VLOOKUP(B678,منتجات!$A$3:$C$350,2,0),"")</f>
        <v/>
      </c>
      <c r="D678" s="63" t="str">
        <f>IFERROR(VLOOKUP(B678,منتجات!$A$3:$C$350,3,0),"")</f>
        <v/>
      </c>
      <c r="E678" s="63"/>
      <c r="F678" s="63" t="str">
        <f>IFERROR(INDEX(منتجات!$G$3:$G$350,MATCH(B678,منتجات!$A$3:$A$115,0)),"")</f>
        <v/>
      </c>
      <c r="G678" s="63" t="str">
        <f t="shared" si="12"/>
        <v/>
      </c>
      <c r="H678" s="69"/>
    </row>
    <row r="679" spans="1:8" x14ac:dyDescent="0.35">
      <c r="A679" s="64"/>
      <c r="B679" s="65"/>
      <c r="C679" s="65" t="str">
        <f>IFERROR(VLOOKUP(B679,منتجات!$A$3:$C$350,2,0),"")</f>
        <v/>
      </c>
      <c r="D679" s="65" t="str">
        <f>IFERROR(VLOOKUP(B679,منتجات!$A$3:$C$350,3,0),"")</f>
        <v/>
      </c>
      <c r="E679" s="65"/>
      <c r="F679" s="65" t="str">
        <f>IFERROR(INDEX(منتجات!$G$3:$G$350,MATCH(B679,منتجات!$A$3:$A$115,0)),"")</f>
        <v/>
      </c>
      <c r="G679" s="65" t="str">
        <f t="shared" si="12"/>
        <v/>
      </c>
      <c r="H679" s="70"/>
    </row>
    <row r="680" spans="1:8" x14ac:dyDescent="0.35">
      <c r="A680" s="62"/>
      <c r="B680" s="63"/>
      <c r="C680" s="63" t="str">
        <f>IFERROR(VLOOKUP(B680,منتجات!$A$3:$C$350,2,0),"")</f>
        <v/>
      </c>
      <c r="D680" s="63" t="str">
        <f>IFERROR(VLOOKUP(B680,منتجات!$A$3:$C$350,3,0),"")</f>
        <v/>
      </c>
      <c r="E680" s="63"/>
      <c r="F680" s="63" t="str">
        <f>IFERROR(INDEX(منتجات!$G$3:$G$350,MATCH(B680,منتجات!$A$3:$A$115,0)),"")</f>
        <v/>
      </c>
      <c r="G680" s="63" t="str">
        <f t="shared" si="12"/>
        <v/>
      </c>
      <c r="H680" s="69"/>
    </row>
    <row r="681" spans="1:8" x14ac:dyDescent="0.35">
      <c r="A681" s="64"/>
      <c r="B681" s="65"/>
      <c r="C681" s="65" t="str">
        <f>IFERROR(VLOOKUP(B681,منتجات!$A$3:$C$350,2,0),"")</f>
        <v/>
      </c>
      <c r="D681" s="65" t="str">
        <f>IFERROR(VLOOKUP(B681,منتجات!$A$3:$C$350,3,0),"")</f>
        <v/>
      </c>
      <c r="E681" s="65"/>
      <c r="F681" s="65" t="str">
        <f>IFERROR(INDEX(منتجات!$G$3:$G$350,MATCH(B681,منتجات!$A$3:$A$115,0)),"")</f>
        <v/>
      </c>
      <c r="G681" s="65" t="str">
        <f t="shared" si="12"/>
        <v/>
      </c>
      <c r="H681" s="70"/>
    </row>
    <row r="682" spans="1:8" x14ac:dyDescent="0.35">
      <c r="A682" s="62"/>
      <c r="B682" s="63"/>
      <c r="C682" s="63" t="str">
        <f>IFERROR(VLOOKUP(B682,منتجات!$A$3:$C$350,2,0),"")</f>
        <v/>
      </c>
      <c r="D682" s="63" t="str">
        <f>IFERROR(VLOOKUP(B682,منتجات!$A$3:$C$350,3,0),"")</f>
        <v/>
      </c>
      <c r="E682" s="63"/>
      <c r="F682" s="63" t="str">
        <f>IFERROR(INDEX(منتجات!$G$3:$G$350,MATCH(B682,منتجات!$A$3:$A$115,0)),"")</f>
        <v/>
      </c>
      <c r="G682" s="63" t="str">
        <f t="shared" si="12"/>
        <v/>
      </c>
      <c r="H682" s="69"/>
    </row>
    <row r="683" spans="1:8" x14ac:dyDescent="0.35">
      <c r="A683" s="64"/>
      <c r="B683" s="65"/>
      <c r="C683" s="65" t="str">
        <f>IFERROR(VLOOKUP(B683,منتجات!$A$3:$C$350,2,0),"")</f>
        <v/>
      </c>
      <c r="D683" s="65" t="str">
        <f>IFERROR(VLOOKUP(B683,منتجات!$A$3:$C$350,3,0),"")</f>
        <v/>
      </c>
      <c r="E683" s="65"/>
      <c r="F683" s="65" t="str">
        <f>IFERROR(INDEX(منتجات!$G$3:$G$350,MATCH(B683,منتجات!$A$3:$A$115,0)),"")</f>
        <v/>
      </c>
      <c r="G683" s="65" t="str">
        <f t="shared" si="12"/>
        <v/>
      </c>
      <c r="H683" s="70"/>
    </row>
    <row r="684" spans="1:8" x14ac:dyDescent="0.35">
      <c r="A684" s="62"/>
      <c r="B684" s="63"/>
      <c r="C684" s="63" t="str">
        <f>IFERROR(VLOOKUP(B684,منتجات!$A$3:$C$350,2,0),"")</f>
        <v/>
      </c>
      <c r="D684" s="63" t="str">
        <f>IFERROR(VLOOKUP(B684,منتجات!$A$3:$C$350,3,0),"")</f>
        <v/>
      </c>
      <c r="E684" s="63"/>
      <c r="F684" s="63" t="str">
        <f>IFERROR(INDEX(منتجات!$G$3:$G$350,MATCH(B684,منتجات!$A$3:$A$115,0)),"")</f>
        <v/>
      </c>
      <c r="G684" s="63" t="str">
        <f t="shared" si="12"/>
        <v/>
      </c>
      <c r="H684" s="69"/>
    </row>
    <row r="685" spans="1:8" x14ac:dyDescent="0.35">
      <c r="A685" s="64"/>
      <c r="B685" s="65"/>
      <c r="C685" s="65" t="str">
        <f>IFERROR(VLOOKUP(B685,منتجات!$A$3:$C$350,2,0),"")</f>
        <v/>
      </c>
      <c r="D685" s="65" t="str">
        <f>IFERROR(VLOOKUP(B685,منتجات!$A$3:$C$350,3,0),"")</f>
        <v/>
      </c>
      <c r="E685" s="65"/>
      <c r="F685" s="65" t="str">
        <f>IFERROR(INDEX(منتجات!$G$3:$G$350,MATCH(B685,منتجات!$A$3:$A$115,0)),"")</f>
        <v/>
      </c>
      <c r="G685" s="65" t="str">
        <f t="shared" si="12"/>
        <v/>
      </c>
      <c r="H685" s="70"/>
    </row>
    <row r="686" spans="1:8" x14ac:dyDescent="0.35">
      <c r="A686" s="62"/>
      <c r="B686" s="63"/>
      <c r="C686" s="63" t="str">
        <f>IFERROR(VLOOKUP(B686,منتجات!$A$3:$C$350,2,0),"")</f>
        <v/>
      </c>
      <c r="D686" s="63" t="str">
        <f>IFERROR(VLOOKUP(B686,منتجات!$A$3:$C$350,3,0),"")</f>
        <v/>
      </c>
      <c r="E686" s="63"/>
      <c r="F686" s="63" t="str">
        <f>IFERROR(INDEX(منتجات!$G$3:$G$350,MATCH(B686,منتجات!$A$3:$A$115,0)),"")</f>
        <v/>
      </c>
      <c r="G686" s="63" t="str">
        <f t="shared" si="12"/>
        <v/>
      </c>
      <c r="H686" s="69"/>
    </row>
    <row r="687" spans="1:8" x14ac:dyDescent="0.35">
      <c r="A687" s="64"/>
      <c r="B687" s="65"/>
      <c r="C687" s="65" t="str">
        <f>IFERROR(VLOOKUP(B687,منتجات!$A$3:$C$350,2,0),"")</f>
        <v/>
      </c>
      <c r="D687" s="65" t="str">
        <f>IFERROR(VLOOKUP(B687,منتجات!$A$3:$C$350,3,0),"")</f>
        <v/>
      </c>
      <c r="E687" s="65"/>
      <c r="F687" s="65" t="str">
        <f>IFERROR(INDEX(منتجات!$G$3:$G$350,MATCH(B687,منتجات!$A$3:$A$115,0)),"")</f>
        <v/>
      </c>
      <c r="G687" s="65" t="str">
        <f t="shared" si="12"/>
        <v/>
      </c>
      <c r="H687" s="70"/>
    </row>
    <row r="688" spans="1:8" x14ac:dyDescent="0.35">
      <c r="A688" s="62"/>
      <c r="B688" s="63"/>
      <c r="C688" s="63" t="str">
        <f>IFERROR(VLOOKUP(B688,منتجات!$A$3:$C$350,2,0),"")</f>
        <v/>
      </c>
      <c r="D688" s="63" t="str">
        <f>IFERROR(VLOOKUP(B688,منتجات!$A$3:$C$350,3,0),"")</f>
        <v/>
      </c>
      <c r="E688" s="63"/>
      <c r="F688" s="63" t="str">
        <f>IFERROR(INDEX(منتجات!$G$3:$G$350,MATCH(B688,منتجات!$A$3:$A$115,0)),"")</f>
        <v/>
      </c>
      <c r="G688" s="63" t="str">
        <f t="shared" si="12"/>
        <v/>
      </c>
      <c r="H688" s="69"/>
    </row>
    <row r="689" spans="1:8" x14ac:dyDescent="0.35">
      <c r="A689" s="64"/>
      <c r="B689" s="65"/>
      <c r="C689" s="65" t="str">
        <f>IFERROR(VLOOKUP(B689,منتجات!$A$3:$C$350,2,0),"")</f>
        <v/>
      </c>
      <c r="D689" s="65" t="str">
        <f>IFERROR(VLOOKUP(B689,منتجات!$A$3:$C$350,3,0),"")</f>
        <v/>
      </c>
      <c r="E689" s="65"/>
      <c r="F689" s="65" t="str">
        <f>IFERROR(INDEX(منتجات!$G$3:$G$350,MATCH(B689,منتجات!$A$3:$A$115,0)),"")</f>
        <v/>
      </c>
      <c r="G689" s="65" t="str">
        <f t="shared" si="12"/>
        <v/>
      </c>
      <c r="H689" s="70"/>
    </row>
    <row r="690" spans="1:8" x14ac:dyDescent="0.35">
      <c r="A690" s="62"/>
      <c r="B690" s="63"/>
      <c r="C690" s="63" t="str">
        <f>IFERROR(VLOOKUP(B690,منتجات!$A$3:$C$350,2,0),"")</f>
        <v/>
      </c>
      <c r="D690" s="63" t="str">
        <f>IFERROR(VLOOKUP(B690,منتجات!$A$3:$C$350,3,0),"")</f>
        <v/>
      </c>
      <c r="E690" s="63"/>
      <c r="F690" s="63" t="str">
        <f>IFERROR(INDEX(منتجات!$G$3:$G$350,MATCH(B690,منتجات!$A$3:$A$115,0)),"")</f>
        <v/>
      </c>
      <c r="G690" s="63" t="str">
        <f t="shared" si="12"/>
        <v/>
      </c>
      <c r="H690" s="69"/>
    </row>
    <row r="691" spans="1:8" x14ac:dyDescent="0.35">
      <c r="A691" s="64"/>
      <c r="B691" s="65"/>
      <c r="C691" s="65" t="str">
        <f>IFERROR(VLOOKUP(B691,منتجات!$A$3:$C$350,2,0),"")</f>
        <v/>
      </c>
      <c r="D691" s="65" t="str">
        <f>IFERROR(VLOOKUP(B691,منتجات!$A$3:$C$350,3,0),"")</f>
        <v/>
      </c>
      <c r="E691" s="65"/>
      <c r="F691" s="65" t="str">
        <f>IFERROR(INDEX(منتجات!$G$3:$G$350,MATCH(B691,منتجات!$A$3:$A$115,0)),"")</f>
        <v/>
      </c>
      <c r="G691" s="65" t="str">
        <f t="shared" si="12"/>
        <v/>
      </c>
      <c r="H691" s="70"/>
    </row>
    <row r="692" spans="1:8" x14ac:dyDescent="0.35">
      <c r="A692" s="62"/>
      <c r="B692" s="63"/>
      <c r="C692" s="63" t="str">
        <f>IFERROR(VLOOKUP(B692,منتجات!$A$3:$C$350,2,0),"")</f>
        <v/>
      </c>
      <c r="D692" s="63" t="str">
        <f>IFERROR(VLOOKUP(B692,منتجات!$A$3:$C$350,3,0),"")</f>
        <v/>
      </c>
      <c r="E692" s="63"/>
      <c r="F692" s="63" t="str">
        <f>IFERROR(INDEX(منتجات!$G$3:$G$350,MATCH(B692,منتجات!$A$3:$A$115,0)),"")</f>
        <v/>
      </c>
      <c r="G692" s="63" t="str">
        <f t="shared" si="12"/>
        <v/>
      </c>
      <c r="H692" s="69"/>
    </row>
    <row r="693" spans="1:8" x14ac:dyDescent="0.35">
      <c r="A693" s="64"/>
      <c r="B693" s="65"/>
      <c r="C693" s="65" t="str">
        <f>IFERROR(VLOOKUP(B693,منتجات!$A$3:$C$350,2,0),"")</f>
        <v/>
      </c>
      <c r="D693" s="65" t="str">
        <f>IFERROR(VLOOKUP(B693,منتجات!$A$3:$C$350,3,0),"")</f>
        <v/>
      </c>
      <c r="E693" s="65"/>
      <c r="F693" s="65" t="str">
        <f>IFERROR(INDEX(منتجات!$G$3:$G$350,MATCH(B693,منتجات!$A$3:$A$115,0)),"")</f>
        <v/>
      </c>
      <c r="G693" s="65" t="str">
        <f t="shared" si="12"/>
        <v/>
      </c>
      <c r="H693" s="70"/>
    </row>
    <row r="694" spans="1:8" x14ac:dyDescent="0.35">
      <c r="A694" s="62"/>
      <c r="B694" s="63"/>
      <c r="C694" s="63" t="str">
        <f>IFERROR(VLOOKUP(B694,منتجات!$A$3:$C$350,2,0),"")</f>
        <v/>
      </c>
      <c r="D694" s="63" t="str">
        <f>IFERROR(VLOOKUP(B694,منتجات!$A$3:$C$350,3,0),"")</f>
        <v/>
      </c>
      <c r="E694" s="63"/>
      <c r="F694" s="63" t="str">
        <f>IFERROR(INDEX(منتجات!$G$3:$G$350,MATCH(B694,منتجات!$A$3:$A$115,0)),"")</f>
        <v/>
      </c>
      <c r="G694" s="63" t="str">
        <f t="shared" si="12"/>
        <v/>
      </c>
      <c r="H694" s="69"/>
    </row>
    <row r="695" spans="1:8" x14ac:dyDescent="0.35">
      <c r="A695" s="64"/>
      <c r="B695" s="65"/>
      <c r="C695" s="65" t="str">
        <f>IFERROR(VLOOKUP(B695,منتجات!$A$3:$C$350,2,0),"")</f>
        <v/>
      </c>
      <c r="D695" s="65" t="str">
        <f>IFERROR(VLOOKUP(B695,منتجات!$A$3:$C$350,3,0),"")</f>
        <v/>
      </c>
      <c r="E695" s="65"/>
      <c r="F695" s="65" t="str">
        <f>IFERROR(INDEX(منتجات!$G$3:$G$350,MATCH(B695,منتجات!$A$3:$A$115,0)),"")</f>
        <v/>
      </c>
      <c r="G695" s="65" t="str">
        <f t="shared" si="12"/>
        <v/>
      </c>
      <c r="H695" s="70"/>
    </row>
    <row r="696" spans="1:8" x14ac:dyDescent="0.35">
      <c r="A696" s="62"/>
      <c r="B696" s="63"/>
      <c r="C696" s="63" t="str">
        <f>IFERROR(VLOOKUP(B696,منتجات!$A$3:$C$350,2,0),"")</f>
        <v/>
      </c>
      <c r="D696" s="63" t="str">
        <f>IFERROR(VLOOKUP(B696,منتجات!$A$3:$C$350,3,0),"")</f>
        <v/>
      </c>
      <c r="E696" s="63"/>
      <c r="F696" s="63" t="str">
        <f>IFERROR(INDEX(منتجات!$G$3:$G$350,MATCH(B696,منتجات!$A$3:$A$115,0)),"")</f>
        <v/>
      </c>
      <c r="G696" s="63" t="str">
        <f t="shared" si="12"/>
        <v/>
      </c>
      <c r="H696" s="69"/>
    </row>
    <row r="697" spans="1:8" x14ac:dyDescent="0.35">
      <c r="A697" s="64"/>
      <c r="B697" s="65"/>
      <c r="C697" s="65" t="str">
        <f>IFERROR(VLOOKUP(B697,منتجات!$A$3:$C$350,2,0),"")</f>
        <v/>
      </c>
      <c r="D697" s="65" t="str">
        <f>IFERROR(VLOOKUP(B697,منتجات!$A$3:$C$350,3,0),"")</f>
        <v/>
      </c>
      <c r="E697" s="65"/>
      <c r="F697" s="65" t="str">
        <f>IFERROR(INDEX(منتجات!$G$3:$G$350,MATCH(B697,منتجات!$A$3:$A$115,0)),"")</f>
        <v/>
      </c>
      <c r="G697" s="65" t="str">
        <f t="shared" si="12"/>
        <v/>
      </c>
      <c r="H697" s="70"/>
    </row>
    <row r="698" spans="1:8" x14ac:dyDescent="0.35">
      <c r="A698" s="62"/>
      <c r="B698" s="63"/>
      <c r="C698" s="63" t="str">
        <f>IFERROR(VLOOKUP(B698,منتجات!$A$3:$C$350,2,0),"")</f>
        <v/>
      </c>
      <c r="D698" s="63" t="str">
        <f>IFERROR(VLOOKUP(B698,منتجات!$A$3:$C$350,3,0),"")</f>
        <v/>
      </c>
      <c r="E698" s="63"/>
      <c r="F698" s="63" t="str">
        <f>IFERROR(INDEX(منتجات!$G$3:$G$350,MATCH(B698,منتجات!$A$3:$A$115,0)),"")</f>
        <v/>
      </c>
      <c r="G698" s="63" t="str">
        <f t="shared" si="12"/>
        <v/>
      </c>
      <c r="H698" s="69"/>
    </row>
    <row r="699" spans="1:8" x14ac:dyDescent="0.35">
      <c r="A699" s="64"/>
      <c r="B699" s="65"/>
      <c r="C699" s="65" t="str">
        <f>IFERROR(VLOOKUP(B699,منتجات!$A$3:$C$350,2,0),"")</f>
        <v/>
      </c>
      <c r="D699" s="65" t="str">
        <f>IFERROR(VLOOKUP(B699,منتجات!$A$3:$C$350,3,0),"")</f>
        <v/>
      </c>
      <c r="E699" s="65"/>
      <c r="F699" s="65" t="str">
        <f>IFERROR(INDEX(منتجات!$G$3:$G$350,MATCH(B699,منتجات!$A$3:$A$115,0)),"")</f>
        <v/>
      </c>
      <c r="G699" s="65" t="str">
        <f t="shared" si="12"/>
        <v/>
      </c>
      <c r="H699" s="70"/>
    </row>
    <row r="700" spans="1:8" x14ac:dyDescent="0.35">
      <c r="A700" s="62"/>
      <c r="B700" s="63"/>
      <c r="C700" s="63" t="str">
        <f>IFERROR(VLOOKUP(B700,منتجات!$A$3:$C$350,2,0),"")</f>
        <v/>
      </c>
      <c r="D700" s="63" t="str">
        <f>IFERROR(VLOOKUP(B700,منتجات!$A$3:$C$350,3,0),"")</f>
        <v/>
      </c>
      <c r="E700" s="63"/>
      <c r="F700" s="63" t="str">
        <f>IFERROR(INDEX(منتجات!$G$3:$G$350,MATCH(B700,منتجات!$A$3:$A$115,0)),"")</f>
        <v/>
      </c>
      <c r="G700" s="63" t="str">
        <f t="shared" si="12"/>
        <v/>
      </c>
      <c r="H700" s="69"/>
    </row>
    <row r="701" spans="1:8" x14ac:dyDescent="0.35">
      <c r="A701" s="64"/>
      <c r="B701" s="65"/>
      <c r="C701" s="65" t="str">
        <f>IFERROR(VLOOKUP(B701,منتجات!$A$3:$C$350,2,0),"")</f>
        <v/>
      </c>
      <c r="D701" s="65" t="str">
        <f>IFERROR(VLOOKUP(B701,منتجات!$A$3:$C$350,3,0),"")</f>
        <v/>
      </c>
      <c r="E701" s="65"/>
      <c r="F701" s="65" t="str">
        <f>IFERROR(INDEX(منتجات!$G$3:$G$350,MATCH(B701,منتجات!$A$3:$A$115,0)),"")</f>
        <v/>
      </c>
      <c r="G701" s="65" t="str">
        <f t="shared" si="12"/>
        <v/>
      </c>
      <c r="H701" s="70"/>
    </row>
    <row r="702" spans="1:8" x14ac:dyDescent="0.35">
      <c r="A702" s="62"/>
      <c r="B702" s="63"/>
      <c r="C702" s="63" t="str">
        <f>IFERROR(VLOOKUP(B702,منتجات!$A$3:$C$350,2,0),"")</f>
        <v/>
      </c>
      <c r="D702" s="63" t="str">
        <f>IFERROR(VLOOKUP(B702,منتجات!$A$3:$C$350,3,0),"")</f>
        <v/>
      </c>
      <c r="E702" s="63"/>
      <c r="F702" s="63" t="str">
        <f>IFERROR(INDEX(منتجات!$G$3:$G$350,MATCH(B702,منتجات!$A$3:$A$115,0)),"")</f>
        <v/>
      </c>
      <c r="G702" s="63" t="str">
        <f t="shared" si="12"/>
        <v/>
      </c>
      <c r="H702" s="69"/>
    </row>
    <row r="703" spans="1:8" x14ac:dyDescent="0.35">
      <c r="A703" s="64"/>
      <c r="B703" s="65"/>
      <c r="C703" s="65" t="str">
        <f>IFERROR(VLOOKUP(B703,منتجات!$A$3:$C$350,2,0),"")</f>
        <v/>
      </c>
      <c r="D703" s="65" t="str">
        <f>IFERROR(VLOOKUP(B703,منتجات!$A$3:$C$350,3,0),"")</f>
        <v/>
      </c>
      <c r="E703" s="65"/>
      <c r="F703" s="65" t="str">
        <f>IFERROR(INDEX(منتجات!$G$3:$G$350,MATCH(B703,منتجات!$A$3:$A$115,0)),"")</f>
        <v/>
      </c>
      <c r="G703" s="65" t="str">
        <f t="shared" si="12"/>
        <v/>
      </c>
      <c r="H703" s="70"/>
    </row>
    <row r="704" spans="1:8" x14ac:dyDescent="0.35">
      <c r="A704" s="62"/>
      <c r="B704" s="63"/>
      <c r="C704" s="63" t="str">
        <f>IFERROR(VLOOKUP(B704,منتجات!$A$3:$C$350,2,0),"")</f>
        <v/>
      </c>
      <c r="D704" s="63" t="str">
        <f>IFERROR(VLOOKUP(B704,منتجات!$A$3:$C$350,3,0),"")</f>
        <v/>
      </c>
      <c r="E704" s="63"/>
      <c r="F704" s="63" t="str">
        <f>IFERROR(INDEX(منتجات!$G$3:$G$350,MATCH(B704,منتجات!$A$3:$A$115,0)),"")</f>
        <v/>
      </c>
      <c r="G704" s="63" t="str">
        <f t="shared" si="12"/>
        <v/>
      </c>
      <c r="H704" s="69"/>
    </row>
    <row r="705" spans="1:8" x14ac:dyDescent="0.35">
      <c r="A705" s="64"/>
      <c r="B705" s="65"/>
      <c r="C705" s="65" t="str">
        <f>IFERROR(VLOOKUP(B705,منتجات!$A$3:$C$350,2,0),"")</f>
        <v/>
      </c>
      <c r="D705" s="65" t="str">
        <f>IFERROR(VLOOKUP(B705,منتجات!$A$3:$C$350,3,0),"")</f>
        <v/>
      </c>
      <c r="E705" s="65"/>
      <c r="F705" s="65" t="str">
        <f>IFERROR(INDEX(منتجات!$G$3:$G$350,MATCH(B705,منتجات!$A$3:$A$115,0)),"")</f>
        <v/>
      </c>
      <c r="G705" s="65" t="str">
        <f t="shared" si="12"/>
        <v/>
      </c>
      <c r="H705" s="70"/>
    </row>
    <row r="706" spans="1:8" x14ac:dyDescent="0.35">
      <c r="A706" s="62"/>
      <c r="B706" s="63"/>
      <c r="C706" s="63" t="str">
        <f>IFERROR(VLOOKUP(B706,منتجات!$A$3:$C$350,2,0),"")</f>
        <v/>
      </c>
      <c r="D706" s="63" t="str">
        <f>IFERROR(VLOOKUP(B706,منتجات!$A$3:$C$350,3,0),"")</f>
        <v/>
      </c>
      <c r="E706" s="63"/>
      <c r="F706" s="63" t="str">
        <f>IFERROR(INDEX(منتجات!$G$3:$G$350,MATCH(B706,منتجات!$A$3:$A$115,0)),"")</f>
        <v/>
      </c>
      <c r="G706" s="63" t="str">
        <f t="shared" si="12"/>
        <v/>
      </c>
      <c r="H706" s="69"/>
    </row>
    <row r="707" spans="1:8" x14ac:dyDescent="0.35">
      <c r="A707" s="64"/>
      <c r="B707" s="65"/>
      <c r="C707" s="65" t="str">
        <f>IFERROR(VLOOKUP(B707,منتجات!$A$3:$C$350,2,0),"")</f>
        <v/>
      </c>
      <c r="D707" s="65" t="str">
        <f>IFERROR(VLOOKUP(B707,منتجات!$A$3:$C$350,3,0),"")</f>
        <v/>
      </c>
      <c r="E707" s="65"/>
      <c r="F707" s="65" t="str">
        <f>IFERROR(INDEX(منتجات!$G$3:$G$350,MATCH(B707,منتجات!$A$3:$A$115,0)),"")</f>
        <v/>
      </c>
      <c r="G707" s="65" t="str">
        <f t="shared" si="12"/>
        <v/>
      </c>
      <c r="H707" s="70"/>
    </row>
    <row r="708" spans="1:8" x14ac:dyDescent="0.35">
      <c r="A708" s="62"/>
      <c r="B708" s="63"/>
      <c r="C708" s="63" t="str">
        <f>IFERROR(VLOOKUP(B708,منتجات!$A$3:$C$350,2,0),"")</f>
        <v/>
      </c>
      <c r="D708" s="63" t="str">
        <f>IFERROR(VLOOKUP(B708,منتجات!$A$3:$C$350,3,0),"")</f>
        <v/>
      </c>
      <c r="E708" s="63"/>
      <c r="F708" s="63" t="str">
        <f>IFERROR(INDEX(منتجات!$G$3:$G$350,MATCH(B708,منتجات!$A$3:$A$115,0)),"")</f>
        <v/>
      </c>
      <c r="G708" s="63" t="str">
        <f t="shared" si="12"/>
        <v/>
      </c>
      <c r="H708" s="69"/>
    </row>
    <row r="709" spans="1:8" x14ac:dyDescent="0.35">
      <c r="A709" s="64"/>
      <c r="B709" s="65"/>
      <c r="C709" s="65" t="str">
        <f>IFERROR(VLOOKUP(B709,منتجات!$A$3:$C$350,2,0),"")</f>
        <v/>
      </c>
      <c r="D709" s="65" t="str">
        <f>IFERROR(VLOOKUP(B709,منتجات!$A$3:$C$350,3,0),"")</f>
        <v/>
      </c>
      <c r="E709" s="65"/>
      <c r="F709" s="65" t="str">
        <f>IFERROR(INDEX(منتجات!$G$3:$G$350,MATCH(B709,منتجات!$A$3:$A$115,0)),"")</f>
        <v/>
      </c>
      <c r="G709" s="65" t="str">
        <f t="shared" si="12"/>
        <v/>
      </c>
      <c r="H709" s="70"/>
    </row>
    <row r="710" spans="1:8" x14ac:dyDescent="0.35">
      <c r="A710" s="62"/>
      <c r="B710" s="63"/>
      <c r="C710" s="63" t="str">
        <f>IFERROR(VLOOKUP(B710,منتجات!$A$3:$C$350,2,0),"")</f>
        <v/>
      </c>
      <c r="D710" s="63" t="str">
        <f>IFERROR(VLOOKUP(B710,منتجات!$A$3:$C$350,3,0),"")</f>
        <v/>
      </c>
      <c r="E710" s="63"/>
      <c r="F710" s="63" t="str">
        <f>IFERROR(INDEX(منتجات!$G$3:$G$350,MATCH(B710,منتجات!$A$3:$A$115,0)),"")</f>
        <v/>
      </c>
      <c r="G710" s="63" t="str">
        <f t="shared" ref="G710:G773" si="13">IFERROR(E710*F710*D710,"")</f>
        <v/>
      </c>
      <c r="H710" s="69"/>
    </row>
    <row r="711" spans="1:8" x14ac:dyDescent="0.35">
      <c r="A711" s="64"/>
      <c r="B711" s="65"/>
      <c r="C711" s="65" t="str">
        <f>IFERROR(VLOOKUP(B711,منتجات!$A$3:$C$350,2,0),"")</f>
        <v/>
      </c>
      <c r="D711" s="65" t="str">
        <f>IFERROR(VLOOKUP(B711,منتجات!$A$3:$C$350,3,0),"")</f>
        <v/>
      </c>
      <c r="E711" s="65"/>
      <c r="F711" s="65" t="str">
        <f>IFERROR(INDEX(منتجات!$G$3:$G$350,MATCH(B711,منتجات!$A$3:$A$115,0)),"")</f>
        <v/>
      </c>
      <c r="G711" s="65" t="str">
        <f t="shared" si="13"/>
        <v/>
      </c>
      <c r="H711" s="70"/>
    </row>
    <row r="712" spans="1:8" x14ac:dyDescent="0.35">
      <c r="A712" s="62"/>
      <c r="B712" s="63"/>
      <c r="C712" s="63" t="str">
        <f>IFERROR(VLOOKUP(B712,منتجات!$A$3:$C$350,2,0),"")</f>
        <v/>
      </c>
      <c r="D712" s="63" t="str">
        <f>IFERROR(VLOOKUP(B712,منتجات!$A$3:$C$350,3,0),"")</f>
        <v/>
      </c>
      <c r="E712" s="63"/>
      <c r="F712" s="63" t="str">
        <f>IFERROR(INDEX(منتجات!$G$3:$G$350,MATCH(B712,منتجات!$A$3:$A$115,0)),"")</f>
        <v/>
      </c>
      <c r="G712" s="63" t="str">
        <f t="shared" si="13"/>
        <v/>
      </c>
      <c r="H712" s="69"/>
    </row>
    <row r="713" spans="1:8" x14ac:dyDescent="0.35">
      <c r="A713" s="64"/>
      <c r="B713" s="65"/>
      <c r="C713" s="65" t="str">
        <f>IFERROR(VLOOKUP(B713,منتجات!$A$3:$C$350,2,0),"")</f>
        <v/>
      </c>
      <c r="D713" s="65" t="str">
        <f>IFERROR(VLOOKUP(B713,منتجات!$A$3:$C$350,3,0),"")</f>
        <v/>
      </c>
      <c r="E713" s="65"/>
      <c r="F713" s="65" t="str">
        <f>IFERROR(INDEX(منتجات!$G$3:$G$350,MATCH(B713,منتجات!$A$3:$A$115,0)),"")</f>
        <v/>
      </c>
      <c r="G713" s="65" t="str">
        <f t="shared" si="13"/>
        <v/>
      </c>
      <c r="H713" s="70"/>
    </row>
    <row r="714" spans="1:8" x14ac:dyDescent="0.35">
      <c r="A714" s="62"/>
      <c r="B714" s="63"/>
      <c r="C714" s="63" t="str">
        <f>IFERROR(VLOOKUP(B714,منتجات!$A$3:$C$350,2,0),"")</f>
        <v/>
      </c>
      <c r="D714" s="63" t="str">
        <f>IFERROR(VLOOKUP(B714,منتجات!$A$3:$C$350,3,0),"")</f>
        <v/>
      </c>
      <c r="E714" s="63"/>
      <c r="F714" s="63" t="str">
        <f>IFERROR(INDEX(منتجات!$G$3:$G$350,MATCH(B714,منتجات!$A$3:$A$115,0)),"")</f>
        <v/>
      </c>
      <c r="G714" s="63" t="str">
        <f t="shared" si="13"/>
        <v/>
      </c>
      <c r="H714" s="69"/>
    </row>
    <row r="715" spans="1:8" x14ac:dyDescent="0.35">
      <c r="A715" s="64"/>
      <c r="B715" s="65"/>
      <c r="C715" s="65" t="str">
        <f>IFERROR(VLOOKUP(B715,منتجات!$A$3:$C$350,2,0),"")</f>
        <v/>
      </c>
      <c r="D715" s="65" t="str">
        <f>IFERROR(VLOOKUP(B715,منتجات!$A$3:$C$350,3,0),"")</f>
        <v/>
      </c>
      <c r="E715" s="65"/>
      <c r="F715" s="65" t="str">
        <f>IFERROR(INDEX(منتجات!$G$3:$G$350,MATCH(B715,منتجات!$A$3:$A$115,0)),"")</f>
        <v/>
      </c>
      <c r="G715" s="65" t="str">
        <f t="shared" si="13"/>
        <v/>
      </c>
      <c r="H715" s="70"/>
    </row>
    <row r="716" spans="1:8" x14ac:dyDescent="0.35">
      <c r="A716" s="62"/>
      <c r="B716" s="63"/>
      <c r="C716" s="63" t="str">
        <f>IFERROR(VLOOKUP(B716,منتجات!$A$3:$C$350,2,0),"")</f>
        <v/>
      </c>
      <c r="D716" s="63" t="str">
        <f>IFERROR(VLOOKUP(B716,منتجات!$A$3:$C$350,3,0),"")</f>
        <v/>
      </c>
      <c r="E716" s="63"/>
      <c r="F716" s="63" t="str">
        <f>IFERROR(INDEX(منتجات!$G$3:$G$350,MATCH(B716,منتجات!$A$3:$A$115,0)),"")</f>
        <v/>
      </c>
      <c r="G716" s="63" t="str">
        <f t="shared" si="13"/>
        <v/>
      </c>
      <c r="H716" s="69"/>
    </row>
    <row r="717" spans="1:8" x14ac:dyDescent="0.35">
      <c r="A717" s="64"/>
      <c r="B717" s="65"/>
      <c r="C717" s="65" t="str">
        <f>IFERROR(VLOOKUP(B717,منتجات!$A$3:$C$350,2,0),"")</f>
        <v/>
      </c>
      <c r="D717" s="65" t="str">
        <f>IFERROR(VLOOKUP(B717,منتجات!$A$3:$C$350,3,0),"")</f>
        <v/>
      </c>
      <c r="E717" s="65"/>
      <c r="F717" s="65" t="str">
        <f>IFERROR(INDEX(منتجات!$G$3:$G$350,MATCH(B717,منتجات!$A$3:$A$115,0)),"")</f>
        <v/>
      </c>
      <c r="G717" s="65" t="str">
        <f t="shared" si="13"/>
        <v/>
      </c>
      <c r="H717" s="70"/>
    </row>
    <row r="718" spans="1:8" x14ac:dyDescent="0.35">
      <c r="A718" s="62"/>
      <c r="B718" s="63"/>
      <c r="C718" s="63" t="str">
        <f>IFERROR(VLOOKUP(B718,منتجات!$A$3:$C$350,2,0),"")</f>
        <v/>
      </c>
      <c r="D718" s="63" t="str">
        <f>IFERROR(VLOOKUP(B718,منتجات!$A$3:$C$350,3,0),"")</f>
        <v/>
      </c>
      <c r="E718" s="63"/>
      <c r="F718" s="63" t="str">
        <f>IFERROR(INDEX(منتجات!$G$3:$G$350,MATCH(B718,منتجات!$A$3:$A$115,0)),"")</f>
        <v/>
      </c>
      <c r="G718" s="63" t="str">
        <f t="shared" si="13"/>
        <v/>
      </c>
      <c r="H718" s="69"/>
    </row>
    <row r="719" spans="1:8" x14ac:dyDescent="0.35">
      <c r="A719" s="64"/>
      <c r="B719" s="65"/>
      <c r="C719" s="65" t="str">
        <f>IFERROR(VLOOKUP(B719,منتجات!$A$3:$C$350,2,0),"")</f>
        <v/>
      </c>
      <c r="D719" s="65" t="str">
        <f>IFERROR(VLOOKUP(B719,منتجات!$A$3:$C$350,3,0),"")</f>
        <v/>
      </c>
      <c r="E719" s="65"/>
      <c r="F719" s="65" t="str">
        <f>IFERROR(INDEX(منتجات!$G$3:$G$350,MATCH(B719,منتجات!$A$3:$A$115,0)),"")</f>
        <v/>
      </c>
      <c r="G719" s="65" t="str">
        <f t="shared" si="13"/>
        <v/>
      </c>
      <c r="H719" s="70"/>
    </row>
    <row r="720" spans="1:8" x14ac:dyDescent="0.35">
      <c r="A720" s="62"/>
      <c r="B720" s="63"/>
      <c r="C720" s="63" t="str">
        <f>IFERROR(VLOOKUP(B720,منتجات!$A$3:$C$350,2,0),"")</f>
        <v/>
      </c>
      <c r="D720" s="63" t="str">
        <f>IFERROR(VLOOKUP(B720,منتجات!$A$3:$C$350,3,0),"")</f>
        <v/>
      </c>
      <c r="E720" s="63"/>
      <c r="F720" s="63" t="str">
        <f>IFERROR(INDEX(منتجات!$G$3:$G$350,MATCH(B720,منتجات!$A$3:$A$115,0)),"")</f>
        <v/>
      </c>
      <c r="G720" s="63" t="str">
        <f t="shared" si="13"/>
        <v/>
      </c>
      <c r="H720" s="69"/>
    </row>
    <row r="721" spans="1:8" x14ac:dyDescent="0.35">
      <c r="A721" s="64"/>
      <c r="B721" s="65"/>
      <c r="C721" s="65" t="str">
        <f>IFERROR(VLOOKUP(B721,منتجات!$A$3:$C$350,2,0),"")</f>
        <v/>
      </c>
      <c r="D721" s="65" t="str">
        <f>IFERROR(VLOOKUP(B721,منتجات!$A$3:$C$350,3,0),"")</f>
        <v/>
      </c>
      <c r="E721" s="65"/>
      <c r="F721" s="65" t="str">
        <f>IFERROR(INDEX(منتجات!$G$3:$G$350,MATCH(B721,منتجات!$A$3:$A$115,0)),"")</f>
        <v/>
      </c>
      <c r="G721" s="65" t="str">
        <f t="shared" si="13"/>
        <v/>
      </c>
      <c r="H721" s="70"/>
    </row>
    <row r="722" spans="1:8" x14ac:dyDescent="0.35">
      <c r="A722" s="62"/>
      <c r="B722" s="63"/>
      <c r="C722" s="63" t="str">
        <f>IFERROR(VLOOKUP(B722,منتجات!$A$3:$C$350,2,0),"")</f>
        <v/>
      </c>
      <c r="D722" s="63" t="str">
        <f>IFERROR(VLOOKUP(B722,منتجات!$A$3:$C$350,3,0),"")</f>
        <v/>
      </c>
      <c r="E722" s="63"/>
      <c r="F722" s="63" t="str">
        <f>IFERROR(INDEX(منتجات!$G$3:$G$350,MATCH(B722,منتجات!$A$3:$A$115,0)),"")</f>
        <v/>
      </c>
      <c r="G722" s="63" t="str">
        <f t="shared" si="13"/>
        <v/>
      </c>
      <c r="H722" s="69"/>
    </row>
    <row r="723" spans="1:8" x14ac:dyDescent="0.35">
      <c r="A723" s="64"/>
      <c r="B723" s="65"/>
      <c r="C723" s="65" t="str">
        <f>IFERROR(VLOOKUP(B723,منتجات!$A$3:$C$350,2,0),"")</f>
        <v/>
      </c>
      <c r="D723" s="65" t="str">
        <f>IFERROR(VLOOKUP(B723,منتجات!$A$3:$C$350,3,0),"")</f>
        <v/>
      </c>
      <c r="E723" s="65"/>
      <c r="F723" s="65" t="str">
        <f>IFERROR(INDEX(منتجات!$G$3:$G$350,MATCH(B723,منتجات!$A$3:$A$115,0)),"")</f>
        <v/>
      </c>
      <c r="G723" s="65" t="str">
        <f t="shared" si="13"/>
        <v/>
      </c>
      <c r="H723" s="70"/>
    </row>
    <row r="724" spans="1:8" x14ac:dyDescent="0.35">
      <c r="A724" s="62"/>
      <c r="B724" s="63"/>
      <c r="C724" s="63" t="str">
        <f>IFERROR(VLOOKUP(B724,منتجات!$A$3:$C$350,2,0),"")</f>
        <v/>
      </c>
      <c r="D724" s="63" t="str">
        <f>IFERROR(VLOOKUP(B724,منتجات!$A$3:$C$350,3,0),"")</f>
        <v/>
      </c>
      <c r="E724" s="63"/>
      <c r="F724" s="63" t="str">
        <f>IFERROR(INDEX(منتجات!$G$3:$G$350,MATCH(B724,منتجات!$A$3:$A$115,0)),"")</f>
        <v/>
      </c>
      <c r="G724" s="63" t="str">
        <f t="shared" si="13"/>
        <v/>
      </c>
      <c r="H724" s="69"/>
    </row>
    <row r="725" spans="1:8" x14ac:dyDescent="0.35">
      <c r="A725" s="64"/>
      <c r="B725" s="65"/>
      <c r="C725" s="65" t="str">
        <f>IFERROR(VLOOKUP(B725,منتجات!$A$3:$C$350,2,0),"")</f>
        <v/>
      </c>
      <c r="D725" s="65" t="str">
        <f>IFERROR(VLOOKUP(B725,منتجات!$A$3:$C$350,3,0),"")</f>
        <v/>
      </c>
      <c r="E725" s="65"/>
      <c r="F725" s="65" t="str">
        <f>IFERROR(INDEX(منتجات!$G$3:$G$350,MATCH(B725,منتجات!$A$3:$A$115,0)),"")</f>
        <v/>
      </c>
      <c r="G725" s="65" t="str">
        <f t="shared" si="13"/>
        <v/>
      </c>
      <c r="H725" s="70"/>
    </row>
    <row r="726" spans="1:8" x14ac:dyDescent="0.35">
      <c r="A726" s="62"/>
      <c r="B726" s="63"/>
      <c r="C726" s="63" t="str">
        <f>IFERROR(VLOOKUP(B726,منتجات!$A$3:$C$350,2,0),"")</f>
        <v/>
      </c>
      <c r="D726" s="63" t="str">
        <f>IFERROR(VLOOKUP(B726,منتجات!$A$3:$C$350,3,0),"")</f>
        <v/>
      </c>
      <c r="E726" s="63"/>
      <c r="F726" s="63" t="str">
        <f>IFERROR(INDEX(منتجات!$G$3:$G$350,MATCH(B726,منتجات!$A$3:$A$115,0)),"")</f>
        <v/>
      </c>
      <c r="G726" s="63" t="str">
        <f t="shared" si="13"/>
        <v/>
      </c>
      <c r="H726" s="69"/>
    </row>
    <row r="727" spans="1:8" x14ac:dyDescent="0.35">
      <c r="A727" s="64"/>
      <c r="B727" s="65"/>
      <c r="C727" s="65" t="str">
        <f>IFERROR(VLOOKUP(B727,منتجات!$A$3:$C$350,2,0),"")</f>
        <v/>
      </c>
      <c r="D727" s="65" t="str">
        <f>IFERROR(VLOOKUP(B727,منتجات!$A$3:$C$350,3,0),"")</f>
        <v/>
      </c>
      <c r="E727" s="65"/>
      <c r="F727" s="65" t="str">
        <f>IFERROR(INDEX(منتجات!$G$3:$G$350,MATCH(B727,منتجات!$A$3:$A$115,0)),"")</f>
        <v/>
      </c>
      <c r="G727" s="65" t="str">
        <f t="shared" si="13"/>
        <v/>
      </c>
      <c r="H727" s="70"/>
    </row>
    <row r="728" spans="1:8" x14ac:dyDescent="0.35">
      <c r="A728" s="62"/>
      <c r="B728" s="63"/>
      <c r="C728" s="63" t="str">
        <f>IFERROR(VLOOKUP(B728,منتجات!$A$3:$C$350,2,0),"")</f>
        <v/>
      </c>
      <c r="D728" s="63" t="str">
        <f>IFERROR(VLOOKUP(B728,منتجات!$A$3:$C$350,3,0),"")</f>
        <v/>
      </c>
      <c r="E728" s="63"/>
      <c r="F728" s="63" t="str">
        <f>IFERROR(INDEX(منتجات!$G$3:$G$350,MATCH(B728,منتجات!$A$3:$A$115,0)),"")</f>
        <v/>
      </c>
      <c r="G728" s="63" t="str">
        <f t="shared" si="13"/>
        <v/>
      </c>
      <c r="H728" s="69"/>
    </row>
    <row r="729" spans="1:8" x14ac:dyDescent="0.35">
      <c r="A729" s="64"/>
      <c r="B729" s="65"/>
      <c r="C729" s="65" t="str">
        <f>IFERROR(VLOOKUP(B729,منتجات!$A$3:$C$350,2,0),"")</f>
        <v/>
      </c>
      <c r="D729" s="65" t="str">
        <f>IFERROR(VLOOKUP(B729,منتجات!$A$3:$C$350,3,0),"")</f>
        <v/>
      </c>
      <c r="E729" s="65"/>
      <c r="F729" s="65" t="str">
        <f>IFERROR(INDEX(منتجات!$G$3:$G$350,MATCH(B729,منتجات!$A$3:$A$115,0)),"")</f>
        <v/>
      </c>
      <c r="G729" s="65" t="str">
        <f t="shared" si="13"/>
        <v/>
      </c>
      <c r="H729" s="70"/>
    </row>
    <row r="730" spans="1:8" x14ac:dyDescent="0.35">
      <c r="A730" s="62"/>
      <c r="B730" s="63"/>
      <c r="C730" s="63" t="str">
        <f>IFERROR(VLOOKUP(B730,منتجات!$A$3:$C$350,2,0),"")</f>
        <v/>
      </c>
      <c r="D730" s="63" t="str">
        <f>IFERROR(VLOOKUP(B730,منتجات!$A$3:$C$350,3,0),"")</f>
        <v/>
      </c>
      <c r="E730" s="63"/>
      <c r="F730" s="63" t="str">
        <f>IFERROR(INDEX(منتجات!$G$3:$G$350,MATCH(B730,منتجات!$A$3:$A$115,0)),"")</f>
        <v/>
      </c>
      <c r="G730" s="63" t="str">
        <f t="shared" si="13"/>
        <v/>
      </c>
      <c r="H730" s="69"/>
    </row>
    <row r="731" spans="1:8" x14ac:dyDescent="0.35">
      <c r="A731" s="64"/>
      <c r="B731" s="65"/>
      <c r="C731" s="65" t="str">
        <f>IFERROR(VLOOKUP(B731,منتجات!$A$3:$C$350,2,0),"")</f>
        <v/>
      </c>
      <c r="D731" s="65" t="str">
        <f>IFERROR(VLOOKUP(B731,منتجات!$A$3:$C$350,3,0),"")</f>
        <v/>
      </c>
      <c r="E731" s="65"/>
      <c r="F731" s="65" t="str">
        <f>IFERROR(INDEX(منتجات!$G$3:$G$350,MATCH(B731,منتجات!$A$3:$A$115,0)),"")</f>
        <v/>
      </c>
      <c r="G731" s="65" t="str">
        <f t="shared" si="13"/>
        <v/>
      </c>
      <c r="H731" s="70"/>
    </row>
    <row r="732" spans="1:8" x14ac:dyDescent="0.35">
      <c r="A732" s="62"/>
      <c r="B732" s="63"/>
      <c r="C732" s="63" t="str">
        <f>IFERROR(VLOOKUP(B732,منتجات!$A$3:$C$350,2,0),"")</f>
        <v/>
      </c>
      <c r="D732" s="63" t="str">
        <f>IFERROR(VLOOKUP(B732,منتجات!$A$3:$C$350,3,0),"")</f>
        <v/>
      </c>
      <c r="E732" s="63"/>
      <c r="F732" s="63" t="str">
        <f>IFERROR(INDEX(منتجات!$G$3:$G$350,MATCH(B732,منتجات!$A$3:$A$115,0)),"")</f>
        <v/>
      </c>
      <c r="G732" s="63" t="str">
        <f t="shared" si="13"/>
        <v/>
      </c>
      <c r="H732" s="69"/>
    </row>
    <row r="733" spans="1:8" x14ac:dyDescent="0.35">
      <c r="A733" s="64"/>
      <c r="B733" s="65"/>
      <c r="C733" s="65" t="str">
        <f>IFERROR(VLOOKUP(B733,منتجات!$A$3:$C$350,2,0),"")</f>
        <v/>
      </c>
      <c r="D733" s="65" t="str">
        <f>IFERROR(VLOOKUP(B733,منتجات!$A$3:$C$350,3,0),"")</f>
        <v/>
      </c>
      <c r="E733" s="65"/>
      <c r="F733" s="65" t="str">
        <f>IFERROR(INDEX(منتجات!$G$3:$G$350,MATCH(B733,منتجات!$A$3:$A$115,0)),"")</f>
        <v/>
      </c>
      <c r="G733" s="65" t="str">
        <f t="shared" si="13"/>
        <v/>
      </c>
      <c r="H733" s="70"/>
    </row>
    <row r="734" spans="1:8" x14ac:dyDescent="0.35">
      <c r="A734" s="62"/>
      <c r="B734" s="63"/>
      <c r="C734" s="63" t="str">
        <f>IFERROR(VLOOKUP(B734,منتجات!$A$3:$C$350,2,0),"")</f>
        <v/>
      </c>
      <c r="D734" s="63" t="str">
        <f>IFERROR(VLOOKUP(B734,منتجات!$A$3:$C$350,3,0),"")</f>
        <v/>
      </c>
      <c r="E734" s="63"/>
      <c r="F734" s="63" t="str">
        <f>IFERROR(INDEX(منتجات!$G$3:$G$350,MATCH(B734,منتجات!$A$3:$A$115,0)),"")</f>
        <v/>
      </c>
      <c r="G734" s="63" t="str">
        <f t="shared" si="13"/>
        <v/>
      </c>
      <c r="H734" s="69"/>
    </row>
    <row r="735" spans="1:8" x14ac:dyDescent="0.35">
      <c r="A735" s="64"/>
      <c r="B735" s="65"/>
      <c r="C735" s="65" t="str">
        <f>IFERROR(VLOOKUP(B735,منتجات!$A$3:$C$350,2,0),"")</f>
        <v/>
      </c>
      <c r="D735" s="65" t="str">
        <f>IFERROR(VLOOKUP(B735,منتجات!$A$3:$C$350,3,0),"")</f>
        <v/>
      </c>
      <c r="E735" s="65"/>
      <c r="F735" s="65" t="str">
        <f>IFERROR(INDEX(منتجات!$G$3:$G$350,MATCH(B735,منتجات!$A$3:$A$115,0)),"")</f>
        <v/>
      </c>
      <c r="G735" s="65" t="str">
        <f t="shared" si="13"/>
        <v/>
      </c>
      <c r="H735" s="70"/>
    </row>
    <row r="736" spans="1:8" x14ac:dyDescent="0.35">
      <c r="A736" s="62"/>
      <c r="B736" s="63"/>
      <c r="C736" s="63" t="str">
        <f>IFERROR(VLOOKUP(B736,منتجات!$A$3:$C$350,2,0),"")</f>
        <v/>
      </c>
      <c r="D736" s="63" t="str">
        <f>IFERROR(VLOOKUP(B736,منتجات!$A$3:$C$350,3,0),"")</f>
        <v/>
      </c>
      <c r="E736" s="63"/>
      <c r="F736" s="63" t="str">
        <f>IFERROR(INDEX(منتجات!$G$3:$G$350,MATCH(B736,منتجات!$A$3:$A$115,0)),"")</f>
        <v/>
      </c>
      <c r="G736" s="63" t="str">
        <f t="shared" si="13"/>
        <v/>
      </c>
      <c r="H736" s="69"/>
    </row>
    <row r="737" spans="1:8" x14ac:dyDescent="0.35">
      <c r="A737" s="64"/>
      <c r="B737" s="65"/>
      <c r="C737" s="65" t="str">
        <f>IFERROR(VLOOKUP(B737,منتجات!$A$3:$C$350,2,0),"")</f>
        <v/>
      </c>
      <c r="D737" s="65" t="str">
        <f>IFERROR(VLOOKUP(B737,منتجات!$A$3:$C$350,3,0),"")</f>
        <v/>
      </c>
      <c r="E737" s="65"/>
      <c r="F737" s="65" t="str">
        <f>IFERROR(INDEX(منتجات!$G$3:$G$350,MATCH(B737,منتجات!$A$3:$A$115,0)),"")</f>
        <v/>
      </c>
      <c r="G737" s="65" t="str">
        <f t="shared" si="13"/>
        <v/>
      </c>
      <c r="H737" s="70"/>
    </row>
    <row r="738" spans="1:8" x14ac:dyDescent="0.35">
      <c r="A738" s="62"/>
      <c r="B738" s="63"/>
      <c r="C738" s="63" t="str">
        <f>IFERROR(VLOOKUP(B738,منتجات!$A$3:$C$350,2,0),"")</f>
        <v/>
      </c>
      <c r="D738" s="63" t="str">
        <f>IFERROR(VLOOKUP(B738,منتجات!$A$3:$C$350,3,0),"")</f>
        <v/>
      </c>
      <c r="E738" s="63"/>
      <c r="F738" s="63" t="str">
        <f>IFERROR(INDEX(منتجات!$G$3:$G$350,MATCH(B738,منتجات!$A$3:$A$115,0)),"")</f>
        <v/>
      </c>
      <c r="G738" s="63" t="str">
        <f t="shared" si="13"/>
        <v/>
      </c>
      <c r="H738" s="69"/>
    </row>
    <row r="739" spans="1:8" x14ac:dyDescent="0.35">
      <c r="A739" s="64"/>
      <c r="B739" s="65"/>
      <c r="C739" s="65" t="str">
        <f>IFERROR(VLOOKUP(B739,منتجات!$A$3:$C$350,2,0),"")</f>
        <v/>
      </c>
      <c r="D739" s="65" t="str">
        <f>IFERROR(VLOOKUP(B739,منتجات!$A$3:$C$350,3,0),"")</f>
        <v/>
      </c>
      <c r="E739" s="65"/>
      <c r="F739" s="65" t="str">
        <f>IFERROR(INDEX(منتجات!$G$3:$G$350,MATCH(B739,منتجات!$A$3:$A$115,0)),"")</f>
        <v/>
      </c>
      <c r="G739" s="65" t="str">
        <f t="shared" si="13"/>
        <v/>
      </c>
      <c r="H739" s="70"/>
    </row>
    <row r="740" spans="1:8" x14ac:dyDescent="0.35">
      <c r="A740" s="62"/>
      <c r="B740" s="63"/>
      <c r="C740" s="63" t="str">
        <f>IFERROR(VLOOKUP(B740,منتجات!$A$3:$C$350,2,0),"")</f>
        <v/>
      </c>
      <c r="D740" s="63" t="str">
        <f>IFERROR(VLOOKUP(B740,منتجات!$A$3:$C$350,3,0),"")</f>
        <v/>
      </c>
      <c r="E740" s="63"/>
      <c r="F740" s="63" t="str">
        <f>IFERROR(INDEX(منتجات!$G$3:$G$350,MATCH(B740,منتجات!$A$3:$A$115,0)),"")</f>
        <v/>
      </c>
      <c r="G740" s="63" t="str">
        <f t="shared" si="13"/>
        <v/>
      </c>
      <c r="H740" s="69"/>
    </row>
    <row r="741" spans="1:8" x14ac:dyDescent="0.35">
      <c r="A741" s="64"/>
      <c r="B741" s="65"/>
      <c r="C741" s="65" t="str">
        <f>IFERROR(VLOOKUP(B741,منتجات!$A$3:$C$350,2,0),"")</f>
        <v/>
      </c>
      <c r="D741" s="65" t="str">
        <f>IFERROR(VLOOKUP(B741,منتجات!$A$3:$C$350,3,0),"")</f>
        <v/>
      </c>
      <c r="E741" s="65"/>
      <c r="F741" s="65" t="str">
        <f>IFERROR(INDEX(منتجات!$G$3:$G$350,MATCH(B741,منتجات!$A$3:$A$115,0)),"")</f>
        <v/>
      </c>
      <c r="G741" s="65" t="str">
        <f t="shared" si="13"/>
        <v/>
      </c>
      <c r="H741" s="70"/>
    </row>
    <row r="742" spans="1:8" x14ac:dyDescent="0.35">
      <c r="A742" s="62"/>
      <c r="B742" s="63"/>
      <c r="C742" s="63" t="str">
        <f>IFERROR(VLOOKUP(B742,منتجات!$A$3:$C$350,2,0),"")</f>
        <v/>
      </c>
      <c r="D742" s="63" t="str">
        <f>IFERROR(VLOOKUP(B742,منتجات!$A$3:$C$350,3,0),"")</f>
        <v/>
      </c>
      <c r="E742" s="63"/>
      <c r="F742" s="63" t="str">
        <f>IFERROR(INDEX(منتجات!$G$3:$G$350,MATCH(B742,منتجات!$A$3:$A$115,0)),"")</f>
        <v/>
      </c>
      <c r="G742" s="63" t="str">
        <f t="shared" si="13"/>
        <v/>
      </c>
      <c r="H742" s="69"/>
    </row>
    <row r="743" spans="1:8" x14ac:dyDescent="0.35">
      <c r="A743" s="64"/>
      <c r="B743" s="65"/>
      <c r="C743" s="65" t="str">
        <f>IFERROR(VLOOKUP(B743,منتجات!$A$3:$C$350,2,0),"")</f>
        <v/>
      </c>
      <c r="D743" s="65" t="str">
        <f>IFERROR(VLOOKUP(B743,منتجات!$A$3:$C$350,3,0),"")</f>
        <v/>
      </c>
      <c r="E743" s="65"/>
      <c r="F743" s="65" t="str">
        <f>IFERROR(INDEX(منتجات!$G$3:$G$350,MATCH(B743,منتجات!$A$3:$A$115,0)),"")</f>
        <v/>
      </c>
      <c r="G743" s="65" t="str">
        <f t="shared" si="13"/>
        <v/>
      </c>
      <c r="H743" s="70"/>
    </row>
    <row r="744" spans="1:8" x14ac:dyDescent="0.35">
      <c r="A744" s="62"/>
      <c r="B744" s="63"/>
      <c r="C744" s="63" t="str">
        <f>IFERROR(VLOOKUP(B744,منتجات!$A$3:$C$350,2,0),"")</f>
        <v/>
      </c>
      <c r="D744" s="63" t="str">
        <f>IFERROR(VLOOKUP(B744,منتجات!$A$3:$C$350,3,0),"")</f>
        <v/>
      </c>
      <c r="E744" s="63"/>
      <c r="F744" s="63" t="str">
        <f>IFERROR(INDEX(منتجات!$G$3:$G$350,MATCH(B744,منتجات!$A$3:$A$115,0)),"")</f>
        <v/>
      </c>
      <c r="G744" s="63" t="str">
        <f t="shared" si="13"/>
        <v/>
      </c>
      <c r="H744" s="69"/>
    </row>
    <row r="745" spans="1:8" x14ac:dyDescent="0.35">
      <c r="A745" s="64"/>
      <c r="B745" s="65"/>
      <c r="C745" s="65" t="str">
        <f>IFERROR(VLOOKUP(B745,منتجات!$A$3:$C$350,2,0),"")</f>
        <v/>
      </c>
      <c r="D745" s="65" t="str">
        <f>IFERROR(VLOOKUP(B745,منتجات!$A$3:$C$350,3,0),"")</f>
        <v/>
      </c>
      <c r="E745" s="65"/>
      <c r="F745" s="65" t="str">
        <f>IFERROR(INDEX(منتجات!$G$3:$G$350,MATCH(B745,منتجات!$A$3:$A$115,0)),"")</f>
        <v/>
      </c>
      <c r="G745" s="65" t="str">
        <f t="shared" si="13"/>
        <v/>
      </c>
      <c r="H745" s="70"/>
    </row>
    <row r="746" spans="1:8" x14ac:dyDescent="0.35">
      <c r="A746" s="62"/>
      <c r="B746" s="63"/>
      <c r="C746" s="63" t="str">
        <f>IFERROR(VLOOKUP(B746,منتجات!$A$3:$C$350,2,0),"")</f>
        <v/>
      </c>
      <c r="D746" s="63" t="str">
        <f>IFERROR(VLOOKUP(B746,منتجات!$A$3:$C$350,3,0),"")</f>
        <v/>
      </c>
      <c r="E746" s="63"/>
      <c r="F746" s="63" t="str">
        <f>IFERROR(INDEX(منتجات!$G$3:$G$350,MATCH(B746,منتجات!$A$3:$A$115,0)),"")</f>
        <v/>
      </c>
      <c r="G746" s="63" t="str">
        <f t="shared" si="13"/>
        <v/>
      </c>
      <c r="H746" s="69"/>
    </row>
    <row r="747" spans="1:8" x14ac:dyDescent="0.35">
      <c r="A747" s="64"/>
      <c r="B747" s="65"/>
      <c r="C747" s="65" t="str">
        <f>IFERROR(VLOOKUP(B747,منتجات!$A$3:$C$350,2,0),"")</f>
        <v/>
      </c>
      <c r="D747" s="65" t="str">
        <f>IFERROR(VLOOKUP(B747,منتجات!$A$3:$C$350,3,0),"")</f>
        <v/>
      </c>
      <c r="E747" s="65"/>
      <c r="F747" s="65" t="str">
        <f>IFERROR(INDEX(منتجات!$G$3:$G$350,MATCH(B747,منتجات!$A$3:$A$115,0)),"")</f>
        <v/>
      </c>
      <c r="G747" s="65" t="str">
        <f t="shared" si="13"/>
        <v/>
      </c>
      <c r="H747" s="70"/>
    </row>
    <row r="748" spans="1:8" x14ac:dyDescent="0.35">
      <c r="A748" s="62"/>
      <c r="B748" s="63"/>
      <c r="C748" s="63" t="str">
        <f>IFERROR(VLOOKUP(B748,منتجات!$A$3:$C$350,2,0),"")</f>
        <v/>
      </c>
      <c r="D748" s="63" t="str">
        <f>IFERROR(VLOOKUP(B748,منتجات!$A$3:$C$350,3,0),"")</f>
        <v/>
      </c>
      <c r="E748" s="63"/>
      <c r="F748" s="63" t="str">
        <f>IFERROR(INDEX(منتجات!$G$3:$G$350,MATCH(B748,منتجات!$A$3:$A$115,0)),"")</f>
        <v/>
      </c>
      <c r="G748" s="63" t="str">
        <f t="shared" si="13"/>
        <v/>
      </c>
      <c r="H748" s="69"/>
    </row>
    <row r="749" spans="1:8" x14ac:dyDescent="0.35">
      <c r="A749" s="64"/>
      <c r="B749" s="65"/>
      <c r="C749" s="65" t="str">
        <f>IFERROR(VLOOKUP(B749,منتجات!$A$3:$C$350,2,0),"")</f>
        <v/>
      </c>
      <c r="D749" s="65" t="str">
        <f>IFERROR(VLOOKUP(B749,منتجات!$A$3:$C$350,3,0),"")</f>
        <v/>
      </c>
      <c r="E749" s="65"/>
      <c r="F749" s="65" t="str">
        <f>IFERROR(INDEX(منتجات!$G$3:$G$350,MATCH(B749,منتجات!$A$3:$A$115,0)),"")</f>
        <v/>
      </c>
      <c r="G749" s="65" t="str">
        <f t="shared" si="13"/>
        <v/>
      </c>
      <c r="H749" s="70"/>
    </row>
    <row r="750" spans="1:8" x14ac:dyDescent="0.35">
      <c r="A750" s="62"/>
      <c r="B750" s="63"/>
      <c r="C750" s="63" t="str">
        <f>IFERROR(VLOOKUP(B750,منتجات!$A$3:$C$350,2,0),"")</f>
        <v/>
      </c>
      <c r="D750" s="63" t="str">
        <f>IFERROR(VLOOKUP(B750,منتجات!$A$3:$C$350,3,0),"")</f>
        <v/>
      </c>
      <c r="E750" s="63"/>
      <c r="F750" s="63" t="str">
        <f>IFERROR(INDEX(منتجات!$G$3:$G$350,MATCH(B750,منتجات!$A$3:$A$115,0)),"")</f>
        <v/>
      </c>
      <c r="G750" s="63" t="str">
        <f t="shared" si="13"/>
        <v/>
      </c>
      <c r="H750" s="69"/>
    </row>
    <row r="751" spans="1:8" x14ac:dyDescent="0.35">
      <c r="A751" s="64"/>
      <c r="B751" s="65"/>
      <c r="C751" s="65" t="str">
        <f>IFERROR(VLOOKUP(B751,منتجات!$A$3:$C$350,2,0),"")</f>
        <v/>
      </c>
      <c r="D751" s="65" t="str">
        <f>IFERROR(VLOOKUP(B751,منتجات!$A$3:$C$350,3,0),"")</f>
        <v/>
      </c>
      <c r="E751" s="65"/>
      <c r="F751" s="65" t="str">
        <f>IFERROR(INDEX(منتجات!$G$3:$G$350,MATCH(B751,منتجات!$A$3:$A$115,0)),"")</f>
        <v/>
      </c>
      <c r="G751" s="65" t="str">
        <f t="shared" si="13"/>
        <v/>
      </c>
      <c r="H751" s="70"/>
    </row>
    <row r="752" spans="1:8" x14ac:dyDescent="0.35">
      <c r="A752" s="62"/>
      <c r="B752" s="63"/>
      <c r="C752" s="63" t="str">
        <f>IFERROR(VLOOKUP(B752,منتجات!$A$3:$C$350,2,0),"")</f>
        <v/>
      </c>
      <c r="D752" s="63" t="str">
        <f>IFERROR(VLOOKUP(B752,منتجات!$A$3:$C$350,3,0),"")</f>
        <v/>
      </c>
      <c r="E752" s="63"/>
      <c r="F752" s="63" t="str">
        <f>IFERROR(INDEX(منتجات!$G$3:$G$350,MATCH(B752,منتجات!$A$3:$A$115,0)),"")</f>
        <v/>
      </c>
      <c r="G752" s="63" t="str">
        <f t="shared" si="13"/>
        <v/>
      </c>
      <c r="H752" s="69"/>
    </row>
    <row r="753" spans="1:8" x14ac:dyDescent="0.35">
      <c r="A753" s="64"/>
      <c r="B753" s="65"/>
      <c r="C753" s="65" t="str">
        <f>IFERROR(VLOOKUP(B753,منتجات!$A$3:$C$350,2,0),"")</f>
        <v/>
      </c>
      <c r="D753" s="65" t="str">
        <f>IFERROR(VLOOKUP(B753,منتجات!$A$3:$C$350,3,0),"")</f>
        <v/>
      </c>
      <c r="E753" s="65"/>
      <c r="F753" s="65" t="str">
        <f>IFERROR(INDEX(منتجات!$G$3:$G$350,MATCH(B753,منتجات!$A$3:$A$115,0)),"")</f>
        <v/>
      </c>
      <c r="G753" s="65" t="str">
        <f t="shared" si="13"/>
        <v/>
      </c>
      <c r="H753" s="70"/>
    </row>
    <row r="754" spans="1:8" x14ac:dyDescent="0.35">
      <c r="A754" s="62"/>
      <c r="B754" s="63"/>
      <c r="C754" s="63" t="str">
        <f>IFERROR(VLOOKUP(B754,منتجات!$A$3:$C$350,2,0),"")</f>
        <v/>
      </c>
      <c r="D754" s="63" t="str">
        <f>IFERROR(VLOOKUP(B754,منتجات!$A$3:$C$350,3,0),"")</f>
        <v/>
      </c>
      <c r="E754" s="63"/>
      <c r="F754" s="63" t="str">
        <f>IFERROR(INDEX(منتجات!$G$3:$G$350,MATCH(B754,منتجات!$A$3:$A$115,0)),"")</f>
        <v/>
      </c>
      <c r="G754" s="63" t="str">
        <f t="shared" si="13"/>
        <v/>
      </c>
      <c r="H754" s="69"/>
    </row>
    <row r="755" spans="1:8" x14ac:dyDescent="0.35">
      <c r="A755" s="64"/>
      <c r="B755" s="65"/>
      <c r="C755" s="65" t="str">
        <f>IFERROR(VLOOKUP(B755,منتجات!$A$3:$C$350,2,0),"")</f>
        <v/>
      </c>
      <c r="D755" s="65" t="str">
        <f>IFERROR(VLOOKUP(B755,منتجات!$A$3:$C$350,3,0),"")</f>
        <v/>
      </c>
      <c r="E755" s="65"/>
      <c r="F755" s="65" t="str">
        <f>IFERROR(INDEX(منتجات!$G$3:$G$350,MATCH(B755,منتجات!$A$3:$A$115,0)),"")</f>
        <v/>
      </c>
      <c r="G755" s="65" t="str">
        <f t="shared" si="13"/>
        <v/>
      </c>
      <c r="H755" s="70"/>
    </row>
    <row r="756" spans="1:8" x14ac:dyDescent="0.35">
      <c r="A756" s="62"/>
      <c r="B756" s="63"/>
      <c r="C756" s="63" t="str">
        <f>IFERROR(VLOOKUP(B756,منتجات!$A$3:$C$350,2,0),"")</f>
        <v/>
      </c>
      <c r="D756" s="63" t="str">
        <f>IFERROR(VLOOKUP(B756,منتجات!$A$3:$C$350,3,0),"")</f>
        <v/>
      </c>
      <c r="E756" s="63"/>
      <c r="F756" s="63" t="str">
        <f>IFERROR(INDEX(منتجات!$G$3:$G$350,MATCH(B756,منتجات!$A$3:$A$115,0)),"")</f>
        <v/>
      </c>
      <c r="G756" s="63" t="str">
        <f t="shared" si="13"/>
        <v/>
      </c>
      <c r="H756" s="69"/>
    </row>
    <row r="757" spans="1:8" x14ac:dyDescent="0.35">
      <c r="A757" s="64"/>
      <c r="B757" s="65"/>
      <c r="C757" s="65" t="str">
        <f>IFERROR(VLOOKUP(B757,منتجات!$A$3:$C$350,2,0),"")</f>
        <v/>
      </c>
      <c r="D757" s="65" t="str">
        <f>IFERROR(VLOOKUP(B757,منتجات!$A$3:$C$350,3,0),"")</f>
        <v/>
      </c>
      <c r="E757" s="65"/>
      <c r="F757" s="65" t="str">
        <f>IFERROR(INDEX(منتجات!$G$3:$G$350,MATCH(B757,منتجات!$A$3:$A$115,0)),"")</f>
        <v/>
      </c>
      <c r="G757" s="65" t="str">
        <f t="shared" si="13"/>
        <v/>
      </c>
      <c r="H757" s="70"/>
    </row>
    <row r="758" spans="1:8" x14ac:dyDescent="0.35">
      <c r="A758" s="62"/>
      <c r="B758" s="63"/>
      <c r="C758" s="63" t="str">
        <f>IFERROR(VLOOKUP(B758,منتجات!$A$3:$C$350,2,0),"")</f>
        <v/>
      </c>
      <c r="D758" s="63" t="str">
        <f>IFERROR(VLOOKUP(B758,منتجات!$A$3:$C$350,3,0),"")</f>
        <v/>
      </c>
      <c r="E758" s="63"/>
      <c r="F758" s="63" t="str">
        <f>IFERROR(INDEX(منتجات!$G$3:$G$350,MATCH(B758,منتجات!$A$3:$A$115,0)),"")</f>
        <v/>
      </c>
      <c r="G758" s="63" t="str">
        <f t="shared" si="13"/>
        <v/>
      </c>
      <c r="H758" s="69"/>
    </row>
    <row r="759" spans="1:8" x14ac:dyDescent="0.35">
      <c r="A759" s="64"/>
      <c r="B759" s="65"/>
      <c r="C759" s="65" t="str">
        <f>IFERROR(VLOOKUP(B759,منتجات!$A$3:$C$350,2,0),"")</f>
        <v/>
      </c>
      <c r="D759" s="65" t="str">
        <f>IFERROR(VLOOKUP(B759,منتجات!$A$3:$C$350,3,0),"")</f>
        <v/>
      </c>
      <c r="E759" s="65"/>
      <c r="F759" s="65" t="str">
        <f>IFERROR(INDEX(منتجات!$G$3:$G$350,MATCH(B759,منتجات!$A$3:$A$115,0)),"")</f>
        <v/>
      </c>
      <c r="G759" s="65" t="str">
        <f t="shared" si="13"/>
        <v/>
      </c>
      <c r="H759" s="70"/>
    </row>
    <row r="760" spans="1:8" x14ac:dyDescent="0.35">
      <c r="A760" s="62"/>
      <c r="B760" s="63"/>
      <c r="C760" s="63" t="str">
        <f>IFERROR(VLOOKUP(B760,منتجات!$A$3:$C$350,2,0),"")</f>
        <v/>
      </c>
      <c r="D760" s="63" t="str">
        <f>IFERROR(VLOOKUP(B760,منتجات!$A$3:$C$350,3,0),"")</f>
        <v/>
      </c>
      <c r="E760" s="63"/>
      <c r="F760" s="63" t="str">
        <f>IFERROR(INDEX(منتجات!$G$3:$G$350,MATCH(B760,منتجات!$A$3:$A$115,0)),"")</f>
        <v/>
      </c>
      <c r="G760" s="63" t="str">
        <f t="shared" si="13"/>
        <v/>
      </c>
      <c r="H760" s="69"/>
    </row>
    <row r="761" spans="1:8" x14ac:dyDescent="0.35">
      <c r="A761" s="64"/>
      <c r="B761" s="65"/>
      <c r="C761" s="65" t="str">
        <f>IFERROR(VLOOKUP(B761,منتجات!$A$3:$C$350,2,0),"")</f>
        <v/>
      </c>
      <c r="D761" s="65" t="str">
        <f>IFERROR(VLOOKUP(B761,منتجات!$A$3:$C$350,3,0),"")</f>
        <v/>
      </c>
      <c r="E761" s="65"/>
      <c r="F761" s="65" t="str">
        <f>IFERROR(INDEX(منتجات!$G$3:$G$350,MATCH(B761,منتجات!$A$3:$A$115,0)),"")</f>
        <v/>
      </c>
      <c r="G761" s="65" t="str">
        <f t="shared" si="13"/>
        <v/>
      </c>
      <c r="H761" s="70"/>
    </row>
    <row r="762" spans="1:8" x14ac:dyDescent="0.35">
      <c r="A762" s="62"/>
      <c r="B762" s="63"/>
      <c r="C762" s="63" t="str">
        <f>IFERROR(VLOOKUP(B762,منتجات!$A$3:$C$350,2,0),"")</f>
        <v/>
      </c>
      <c r="D762" s="63" t="str">
        <f>IFERROR(VLOOKUP(B762,منتجات!$A$3:$C$350,3,0),"")</f>
        <v/>
      </c>
      <c r="E762" s="63"/>
      <c r="F762" s="63" t="str">
        <f>IFERROR(INDEX(منتجات!$G$3:$G$350,MATCH(B762,منتجات!$A$3:$A$115,0)),"")</f>
        <v/>
      </c>
      <c r="G762" s="63" t="str">
        <f t="shared" si="13"/>
        <v/>
      </c>
      <c r="H762" s="69"/>
    </row>
    <row r="763" spans="1:8" x14ac:dyDescent="0.35">
      <c r="A763" s="64"/>
      <c r="B763" s="65"/>
      <c r="C763" s="65" t="str">
        <f>IFERROR(VLOOKUP(B763,منتجات!$A$3:$C$350,2,0),"")</f>
        <v/>
      </c>
      <c r="D763" s="65" t="str">
        <f>IFERROR(VLOOKUP(B763,منتجات!$A$3:$C$350,3,0),"")</f>
        <v/>
      </c>
      <c r="E763" s="65"/>
      <c r="F763" s="65" t="str">
        <f>IFERROR(INDEX(منتجات!$G$3:$G$350,MATCH(B763,منتجات!$A$3:$A$115,0)),"")</f>
        <v/>
      </c>
      <c r="G763" s="65" t="str">
        <f t="shared" si="13"/>
        <v/>
      </c>
      <c r="H763" s="70"/>
    </row>
    <row r="764" spans="1:8" x14ac:dyDescent="0.35">
      <c r="A764" s="62"/>
      <c r="B764" s="63"/>
      <c r="C764" s="63" t="str">
        <f>IFERROR(VLOOKUP(B764,منتجات!$A$3:$C$350,2,0),"")</f>
        <v/>
      </c>
      <c r="D764" s="63" t="str">
        <f>IFERROR(VLOOKUP(B764,منتجات!$A$3:$C$350,3,0),"")</f>
        <v/>
      </c>
      <c r="E764" s="63"/>
      <c r="F764" s="63" t="str">
        <f>IFERROR(INDEX(منتجات!$G$3:$G$350,MATCH(B764,منتجات!$A$3:$A$115,0)),"")</f>
        <v/>
      </c>
      <c r="G764" s="63" t="str">
        <f t="shared" si="13"/>
        <v/>
      </c>
      <c r="H764" s="69"/>
    </row>
    <row r="765" spans="1:8" x14ac:dyDescent="0.35">
      <c r="A765" s="64"/>
      <c r="B765" s="65"/>
      <c r="C765" s="65" t="str">
        <f>IFERROR(VLOOKUP(B765,منتجات!$A$3:$C$350,2,0),"")</f>
        <v/>
      </c>
      <c r="D765" s="65" t="str">
        <f>IFERROR(VLOOKUP(B765,منتجات!$A$3:$C$350,3,0),"")</f>
        <v/>
      </c>
      <c r="E765" s="65"/>
      <c r="F765" s="65" t="str">
        <f>IFERROR(INDEX(منتجات!$G$3:$G$350,MATCH(B765,منتجات!$A$3:$A$115,0)),"")</f>
        <v/>
      </c>
      <c r="G765" s="65" t="str">
        <f t="shared" si="13"/>
        <v/>
      </c>
      <c r="H765" s="70"/>
    </row>
    <row r="766" spans="1:8" x14ac:dyDescent="0.35">
      <c r="A766" s="62"/>
      <c r="B766" s="63"/>
      <c r="C766" s="63" t="str">
        <f>IFERROR(VLOOKUP(B766,منتجات!$A$3:$C$350,2,0),"")</f>
        <v/>
      </c>
      <c r="D766" s="63" t="str">
        <f>IFERROR(VLOOKUP(B766,منتجات!$A$3:$C$350,3,0),"")</f>
        <v/>
      </c>
      <c r="E766" s="63"/>
      <c r="F766" s="63" t="str">
        <f>IFERROR(INDEX(منتجات!$G$3:$G$350,MATCH(B766,منتجات!$A$3:$A$115,0)),"")</f>
        <v/>
      </c>
      <c r="G766" s="63" t="str">
        <f t="shared" si="13"/>
        <v/>
      </c>
      <c r="H766" s="69"/>
    </row>
    <row r="767" spans="1:8" x14ac:dyDescent="0.35">
      <c r="A767" s="64"/>
      <c r="B767" s="65"/>
      <c r="C767" s="65" t="str">
        <f>IFERROR(VLOOKUP(B767,منتجات!$A$3:$C$350,2,0),"")</f>
        <v/>
      </c>
      <c r="D767" s="65" t="str">
        <f>IFERROR(VLOOKUP(B767,منتجات!$A$3:$C$350,3,0),"")</f>
        <v/>
      </c>
      <c r="E767" s="65"/>
      <c r="F767" s="65" t="str">
        <f>IFERROR(INDEX(منتجات!$G$3:$G$350,MATCH(B767,منتجات!$A$3:$A$115,0)),"")</f>
        <v/>
      </c>
      <c r="G767" s="65" t="str">
        <f t="shared" si="13"/>
        <v/>
      </c>
      <c r="H767" s="70"/>
    </row>
    <row r="768" spans="1:8" x14ac:dyDescent="0.35">
      <c r="A768" s="62"/>
      <c r="B768" s="63"/>
      <c r="C768" s="63" t="str">
        <f>IFERROR(VLOOKUP(B768,منتجات!$A$3:$C$350,2,0),"")</f>
        <v/>
      </c>
      <c r="D768" s="63" t="str">
        <f>IFERROR(VLOOKUP(B768,منتجات!$A$3:$C$350,3,0),"")</f>
        <v/>
      </c>
      <c r="E768" s="63"/>
      <c r="F768" s="63" t="str">
        <f>IFERROR(INDEX(منتجات!$G$3:$G$350,MATCH(B768,منتجات!$A$3:$A$115,0)),"")</f>
        <v/>
      </c>
      <c r="G768" s="63" t="str">
        <f t="shared" si="13"/>
        <v/>
      </c>
      <c r="H768" s="69"/>
    </row>
    <row r="769" spans="1:8" x14ac:dyDescent="0.35">
      <c r="A769" s="64"/>
      <c r="B769" s="65"/>
      <c r="C769" s="65" t="str">
        <f>IFERROR(VLOOKUP(B769,منتجات!$A$3:$C$350,2,0),"")</f>
        <v/>
      </c>
      <c r="D769" s="65" t="str">
        <f>IFERROR(VLOOKUP(B769,منتجات!$A$3:$C$350,3,0),"")</f>
        <v/>
      </c>
      <c r="E769" s="65"/>
      <c r="F769" s="65" t="str">
        <f>IFERROR(INDEX(منتجات!$G$3:$G$350,MATCH(B769,منتجات!$A$3:$A$115,0)),"")</f>
        <v/>
      </c>
      <c r="G769" s="65" t="str">
        <f t="shared" si="13"/>
        <v/>
      </c>
      <c r="H769" s="70"/>
    </row>
    <row r="770" spans="1:8" x14ac:dyDescent="0.35">
      <c r="A770" s="62"/>
      <c r="B770" s="63"/>
      <c r="C770" s="63" t="str">
        <f>IFERROR(VLOOKUP(B770,منتجات!$A$3:$C$350,2,0),"")</f>
        <v/>
      </c>
      <c r="D770" s="63" t="str">
        <f>IFERROR(VLOOKUP(B770,منتجات!$A$3:$C$350,3,0),"")</f>
        <v/>
      </c>
      <c r="E770" s="63"/>
      <c r="F770" s="63" t="str">
        <f>IFERROR(INDEX(منتجات!$G$3:$G$350,MATCH(B770,منتجات!$A$3:$A$115,0)),"")</f>
        <v/>
      </c>
      <c r="G770" s="63" t="str">
        <f t="shared" si="13"/>
        <v/>
      </c>
      <c r="H770" s="69"/>
    </row>
    <row r="771" spans="1:8" x14ac:dyDescent="0.35">
      <c r="A771" s="64"/>
      <c r="B771" s="65"/>
      <c r="C771" s="65" t="str">
        <f>IFERROR(VLOOKUP(B771,منتجات!$A$3:$C$350,2,0),"")</f>
        <v/>
      </c>
      <c r="D771" s="65" t="str">
        <f>IFERROR(VLOOKUP(B771,منتجات!$A$3:$C$350,3,0),"")</f>
        <v/>
      </c>
      <c r="E771" s="65"/>
      <c r="F771" s="65" t="str">
        <f>IFERROR(INDEX(منتجات!$G$3:$G$350,MATCH(B771,منتجات!$A$3:$A$115,0)),"")</f>
        <v/>
      </c>
      <c r="G771" s="65" t="str">
        <f t="shared" si="13"/>
        <v/>
      </c>
      <c r="H771" s="70"/>
    </row>
    <row r="772" spans="1:8" x14ac:dyDescent="0.35">
      <c r="A772" s="62"/>
      <c r="B772" s="63"/>
      <c r="C772" s="63" t="str">
        <f>IFERROR(VLOOKUP(B772,منتجات!$A$3:$C$350,2,0),"")</f>
        <v/>
      </c>
      <c r="D772" s="63" t="str">
        <f>IFERROR(VLOOKUP(B772,منتجات!$A$3:$C$350,3,0),"")</f>
        <v/>
      </c>
      <c r="E772" s="63"/>
      <c r="F772" s="63" t="str">
        <f>IFERROR(INDEX(منتجات!$G$3:$G$350,MATCH(B772,منتجات!$A$3:$A$115,0)),"")</f>
        <v/>
      </c>
      <c r="G772" s="63" t="str">
        <f t="shared" si="13"/>
        <v/>
      </c>
      <c r="H772" s="69"/>
    </row>
    <row r="773" spans="1:8" x14ac:dyDescent="0.35">
      <c r="A773" s="64"/>
      <c r="B773" s="65"/>
      <c r="C773" s="65" t="str">
        <f>IFERROR(VLOOKUP(B773,منتجات!$A$3:$C$350,2,0),"")</f>
        <v/>
      </c>
      <c r="D773" s="65" t="str">
        <f>IFERROR(VLOOKUP(B773,منتجات!$A$3:$C$350,3,0),"")</f>
        <v/>
      </c>
      <c r="E773" s="65"/>
      <c r="F773" s="65" t="str">
        <f>IFERROR(INDEX(منتجات!$G$3:$G$350,MATCH(B773,منتجات!$A$3:$A$115,0)),"")</f>
        <v/>
      </c>
      <c r="G773" s="65" t="str">
        <f t="shared" si="13"/>
        <v/>
      </c>
      <c r="H773" s="70"/>
    </row>
    <row r="774" spans="1:8" x14ac:dyDescent="0.35">
      <c r="A774" s="62"/>
      <c r="B774" s="63"/>
      <c r="C774" s="63" t="str">
        <f>IFERROR(VLOOKUP(B774,منتجات!$A$3:$C$350,2,0),"")</f>
        <v/>
      </c>
      <c r="D774" s="63" t="str">
        <f>IFERROR(VLOOKUP(B774,منتجات!$A$3:$C$350,3,0),"")</f>
        <v/>
      </c>
      <c r="E774" s="63"/>
      <c r="F774" s="63" t="str">
        <f>IFERROR(INDEX(منتجات!$G$3:$G$350,MATCH(B774,منتجات!$A$3:$A$115,0)),"")</f>
        <v/>
      </c>
      <c r="G774" s="63" t="str">
        <f t="shared" ref="G774:G837" si="14">IFERROR(E774*F774*D774,"")</f>
        <v/>
      </c>
      <c r="H774" s="69"/>
    </row>
    <row r="775" spans="1:8" x14ac:dyDescent="0.35">
      <c r="A775" s="64"/>
      <c r="B775" s="65"/>
      <c r="C775" s="65" t="str">
        <f>IFERROR(VLOOKUP(B775,منتجات!$A$3:$C$350,2,0),"")</f>
        <v/>
      </c>
      <c r="D775" s="65" t="str">
        <f>IFERROR(VLOOKUP(B775,منتجات!$A$3:$C$350,3,0),"")</f>
        <v/>
      </c>
      <c r="E775" s="65"/>
      <c r="F775" s="65" t="str">
        <f>IFERROR(INDEX(منتجات!$G$3:$G$350,MATCH(B775,منتجات!$A$3:$A$115,0)),"")</f>
        <v/>
      </c>
      <c r="G775" s="65" t="str">
        <f t="shared" si="14"/>
        <v/>
      </c>
      <c r="H775" s="70"/>
    </row>
    <row r="776" spans="1:8" x14ac:dyDescent="0.35">
      <c r="A776" s="62"/>
      <c r="B776" s="63"/>
      <c r="C776" s="63" t="str">
        <f>IFERROR(VLOOKUP(B776,منتجات!$A$3:$C$350,2,0),"")</f>
        <v/>
      </c>
      <c r="D776" s="63" t="str">
        <f>IFERROR(VLOOKUP(B776,منتجات!$A$3:$C$350,3,0),"")</f>
        <v/>
      </c>
      <c r="E776" s="63"/>
      <c r="F776" s="63" t="str">
        <f>IFERROR(INDEX(منتجات!$G$3:$G$350,MATCH(B776,منتجات!$A$3:$A$115,0)),"")</f>
        <v/>
      </c>
      <c r="G776" s="63" t="str">
        <f t="shared" si="14"/>
        <v/>
      </c>
      <c r="H776" s="69"/>
    </row>
    <row r="777" spans="1:8" x14ac:dyDescent="0.35">
      <c r="A777" s="64"/>
      <c r="B777" s="65"/>
      <c r="C777" s="65" t="str">
        <f>IFERROR(VLOOKUP(B777,منتجات!$A$3:$C$350,2,0),"")</f>
        <v/>
      </c>
      <c r="D777" s="65" t="str">
        <f>IFERROR(VLOOKUP(B777,منتجات!$A$3:$C$350,3,0),"")</f>
        <v/>
      </c>
      <c r="E777" s="65"/>
      <c r="F777" s="65" t="str">
        <f>IFERROR(INDEX(منتجات!$G$3:$G$350,MATCH(B777,منتجات!$A$3:$A$115,0)),"")</f>
        <v/>
      </c>
      <c r="G777" s="65" t="str">
        <f t="shared" si="14"/>
        <v/>
      </c>
      <c r="H777" s="70"/>
    </row>
    <row r="778" spans="1:8" x14ac:dyDescent="0.35">
      <c r="A778" s="62"/>
      <c r="B778" s="63"/>
      <c r="C778" s="63" t="str">
        <f>IFERROR(VLOOKUP(B778,منتجات!$A$3:$C$350,2,0),"")</f>
        <v/>
      </c>
      <c r="D778" s="63" t="str">
        <f>IFERROR(VLOOKUP(B778,منتجات!$A$3:$C$350,3,0),"")</f>
        <v/>
      </c>
      <c r="E778" s="63"/>
      <c r="F778" s="63" t="str">
        <f>IFERROR(INDEX(منتجات!$G$3:$G$350,MATCH(B778,منتجات!$A$3:$A$115,0)),"")</f>
        <v/>
      </c>
      <c r="G778" s="63" t="str">
        <f t="shared" si="14"/>
        <v/>
      </c>
      <c r="H778" s="69"/>
    </row>
    <row r="779" spans="1:8" x14ac:dyDescent="0.35">
      <c r="A779" s="64"/>
      <c r="B779" s="65"/>
      <c r="C779" s="65" t="str">
        <f>IFERROR(VLOOKUP(B779,منتجات!$A$3:$C$350,2,0),"")</f>
        <v/>
      </c>
      <c r="D779" s="65" t="str">
        <f>IFERROR(VLOOKUP(B779,منتجات!$A$3:$C$350,3,0),"")</f>
        <v/>
      </c>
      <c r="E779" s="65"/>
      <c r="F779" s="65" t="str">
        <f>IFERROR(INDEX(منتجات!$G$3:$G$350,MATCH(B779,منتجات!$A$3:$A$115,0)),"")</f>
        <v/>
      </c>
      <c r="G779" s="65" t="str">
        <f t="shared" si="14"/>
        <v/>
      </c>
      <c r="H779" s="70"/>
    </row>
    <row r="780" spans="1:8" x14ac:dyDescent="0.35">
      <c r="A780" s="62"/>
      <c r="B780" s="63"/>
      <c r="C780" s="63" t="str">
        <f>IFERROR(VLOOKUP(B780,منتجات!$A$3:$C$350,2,0),"")</f>
        <v/>
      </c>
      <c r="D780" s="63" t="str">
        <f>IFERROR(VLOOKUP(B780,منتجات!$A$3:$C$350,3,0),"")</f>
        <v/>
      </c>
      <c r="E780" s="63"/>
      <c r="F780" s="63" t="str">
        <f>IFERROR(INDEX(منتجات!$G$3:$G$350,MATCH(B780,منتجات!$A$3:$A$115,0)),"")</f>
        <v/>
      </c>
      <c r="G780" s="63" t="str">
        <f t="shared" si="14"/>
        <v/>
      </c>
      <c r="H780" s="69"/>
    </row>
    <row r="781" spans="1:8" x14ac:dyDescent="0.35">
      <c r="A781" s="64"/>
      <c r="B781" s="65"/>
      <c r="C781" s="65" t="str">
        <f>IFERROR(VLOOKUP(B781,منتجات!$A$3:$C$350,2,0),"")</f>
        <v/>
      </c>
      <c r="D781" s="65" t="str">
        <f>IFERROR(VLOOKUP(B781,منتجات!$A$3:$C$350,3,0),"")</f>
        <v/>
      </c>
      <c r="E781" s="65"/>
      <c r="F781" s="65" t="str">
        <f>IFERROR(INDEX(منتجات!$G$3:$G$350,MATCH(B781,منتجات!$A$3:$A$115,0)),"")</f>
        <v/>
      </c>
      <c r="G781" s="65" t="str">
        <f t="shared" si="14"/>
        <v/>
      </c>
      <c r="H781" s="70"/>
    </row>
    <row r="782" spans="1:8" x14ac:dyDescent="0.35">
      <c r="A782" s="62"/>
      <c r="B782" s="63"/>
      <c r="C782" s="63" t="str">
        <f>IFERROR(VLOOKUP(B782,منتجات!$A$3:$C$350,2,0),"")</f>
        <v/>
      </c>
      <c r="D782" s="63" t="str">
        <f>IFERROR(VLOOKUP(B782,منتجات!$A$3:$C$350,3,0),"")</f>
        <v/>
      </c>
      <c r="E782" s="63"/>
      <c r="F782" s="63" t="str">
        <f>IFERROR(INDEX(منتجات!$G$3:$G$350,MATCH(B782,منتجات!$A$3:$A$115,0)),"")</f>
        <v/>
      </c>
      <c r="G782" s="63" t="str">
        <f t="shared" si="14"/>
        <v/>
      </c>
      <c r="H782" s="69"/>
    </row>
    <row r="783" spans="1:8" x14ac:dyDescent="0.35">
      <c r="A783" s="64"/>
      <c r="B783" s="65"/>
      <c r="C783" s="65" t="str">
        <f>IFERROR(VLOOKUP(B783,منتجات!$A$3:$C$350,2,0),"")</f>
        <v/>
      </c>
      <c r="D783" s="65" t="str">
        <f>IFERROR(VLOOKUP(B783,منتجات!$A$3:$C$350,3,0),"")</f>
        <v/>
      </c>
      <c r="E783" s="65"/>
      <c r="F783" s="65" t="str">
        <f>IFERROR(INDEX(منتجات!$G$3:$G$350,MATCH(B783,منتجات!$A$3:$A$115,0)),"")</f>
        <v/>
      </c>
      <c r="G783" s="65" t="str">
        <f t="shared" si="14"/>
        <v/>
      </c>
      <c r="H783" s="70"/>
    </row>
    <row r="784" spans="1:8" x14ac:dyDescent="0.35">
      <c r="A784" s="62"/>
      <c r="B784" s="63"/>
      <c r="C784" s="63" t="str">
        <f>IFERROR(VLOOKUP(B784,منتجات!$A$3:$C$350,2,0),"")</f>
        <v/>
      </c>
      <c r="D784" s="63" t="str">
        <f>IFERROR(VLOOKUP(B784,منتجات!$A$3:$C$350,3,0),"")</f>
        <v/>
      </c>
      <c r="E784" s="63"/>
      <c r="F784" s="63" t="str">
        <f>IFERROR(INDEX(منتجات!$G$3:$G$350,MATCH(B784,منتجات!$A$3:$A$115,0)),"")</f>
        <v/>
      </c>
      <c r="G784" s="63" t="str">
        <f t="shared" si="14"/>
        <v/>
      </c>
      <c r="H784" s="69"/>
    </row>
    <row r="785" spans="1:8" x14ac:dyDescent="0.35">
      <c r="A785" s="64"/>
      <c r="B785" s="65"/>
      <c r="C785" s="65" t="str">
        <f>IFERROR(VLOOKUP(B785,منتجات!$A$3:$C$350,2,0),"")</f>
        <v/>
      </c>
      <c r="D785" s="65" t="str">
        <f>IFERROR(VLOOKUP(B785,منتجات!$A$3:$C$350,3,0),"")</f>
        <v/>
      </c>
      <c r="E785" s="65"/>
      <c r="F785" s="65" t="str">
        <f>IFERROR(INDEX(منتجات!$G$3:$G$350,MATCH(B785,منتجات!$A$3:$A$115,0)),"")</f>
        <v/>
      </c>
      <c r="G785" s="65" t="str">
        <f t="shared" si="14"/>
        <v/>
      </c>
      <c r="H785" s="70"/>
    </row>
    <row r="786" spans="1:8" x14ac:dyDescent="0.35">
      <c r="A786" s="62"/>
      <c r="B786" s="63"/>
      <c r="C786" s="63" t="str">
        <f>IFERROR(VLOOKUP(B786,منتجات!$A$3:$C$350,2,0),"")</f>
        <v/>
      </c>
      <c r="D786" s="63" t="str">
        <f>IFERROR(VLOOKUP(B786,منتجات!$A$3:$C$350,3,0),"")</f>
        <v/>
      </c>
      <c r="E786" s="63"/>
      <c r="F786" s="63" t="str">
        <f>IFERROR(INDEX(منتجات!$G$3:$G$350,MATCH(B786,منتجات!$A$3:$A$115,0)),"")</f>
        <v/>
      </c>
      <c r="G786" s="63" t="str">
        <f t="shared" si="14"/>
        <v/>
      </c>
      <c r="H786" s="69"/>
    </row>
    <row r="787" spans="1:8" x14ac:dyDescent="0.35">
      <c r="A787" s="64"/>
      <c r="B787" s="65"/>
      <c r="C787" s="65" t="str">
        <f>IFERROR(VLOOKUP(B787,منتجات!$A$3:$C$350,2,0),"")</f>
        <v/>
      </c>
      <c r="D787" s="65" t="str">
        <f>IFERROR(VLOOKUP(B787,منتجات!$A$3:$C$350,3,0),"")</f>
        <v/>
      </c>
      <c r="E787" s="65"/>
      <c r="F787" s="65" t="str">
        <f>IFERROR(INDEX(منتجات!$G$3:$G$350,MATCH(B787,منتجات!$A$3:$A$115,0)),"")</f>
        <v/>
      </c>
      <c r="G787" s="65" t="str">
        <f t="shared" si="14"/>
        <v/>
      </c>
      <c r="H787" s="70"/>
    </row>
    <row r="788" spans="1:8" x14ac:dyDescent="0.35">
      <c r="A788" s="62"/>
      <c r="B788" s="63"/>
      <c r="C788" s="63" t="str">
        <f>IFERROR(VLOOKUP(B788,منتجات!$A$3:$C$350,2,0),"")</f>
        <v/>
      </c>
      <c r="D788" s="63" t="str">
        <f>IFERROR(VLOOKUP(B788,منتجات!$A$3:$C$350,3,0),"")</f>
        <v/>
      </c>
      <c r="E788" s="63"/>
      <c r="F788" s="63" t="str">
        <f>IFERROR(INDEX(منتجات!$G$3:$G$350,MATCH(B788,منتجات!$A$3:$A$115,0)),"")</f>
        <v/>
      </c>
      <c r="G788" s="63" t="str">
        <f t="shared" si="14"/>
        <v/>
      </c>
      <c r="H788" s="69"/>
    </row>
    <row r="789" spans="1:8" x14ac:dyDescent="0.35">
      <c r="A789" s="64"/>
      <c r="B789" s="65"/>
      <c r="C789" s="65" t="str">
        <f>IFERROR(VLOOKUP(B789,منتجات!$A$3:$C$350,2,0),"")</f>
        <v/>
      </c>
      <c r="D789" s="65" t="str">
        <f>IFERROR(VLOOKUP(B789,منتجات!$A$3:$C$350,3,0),"")</f>
        <v/>
      </c>
      <c r="E789" s="65"/>
      <c r="F789" s="65" t="str">
        <f>IFERROR(INDEX(منتجات!$G$3:$G$350,MATCH(B789,منتجات!$A$3:$A$115,0)),"")</f>
        <v/>
      </c>
      <c r="G789" s="65" t="str">
        <f t="shared" si="14"/>
        <v/>
      </c>
      <c r="H789" s="70"/>
    </row>
    <row r="790" spans="1:8" x14ac:dyDescent="0.35">
      <c r="A790" s="62"/>
      <c r="B790" s="63"/>
      <c r="C790" s="63" t="str">
        <f>IFERROR(VLOOKUP(B790,منتجات!$A$3:$C$350,2,0),"")</f>
        <v/>
      </c>
      <c r="D790" s="63" t="str">
        <f>IFERROR(VLOOKUP(B790,منتجات!$A$3:$C$350,3,0),"")</f>
        <v/>
      </c>
      <c r="E790" s="63"/>
      <c r="F790" s="63" t="str">
        <f>IFERROR(INDEX(منتجات!$G$3:$G$350,MATCH(B790,منتجات!$A$3:$A$115,0)),"")</f>
        <v/>
      </c>
      <c r="G790" s="63" t="str">
        <f t="shared" si="14"/>
        <v/>
      </c>
      <c r="H790" s="69"/>
    </row>
    <row r="791" spans="1:8" x14ac:dyDescent="0.35">
      <c r="A791" s="64"/>
      <c r="B791" s="65"/>
      <c r="C791" s="65" t="str">
        <f>IFERROR(VLOOKUP(B791,منتجات!$A$3:$C$350,2,0),"")</f>
        <v/>
      </c>
      <c r="D791" s="65" t="str">
        <f>IFERROR(VLOOKUP(B791,منتجات!$A$3:$C$350,3,0),"")</f>
        <v/>
      </c>
      <c r="E791" s="65"/>
      <c r="F791" s="65" t="str">
        <f>IFERROR(INDEX(منتجات!$G$3:$G$350,MATCH(B791,منتجات!$A$3:$A$115,0)),"")</f>
        <v/>
      </c>
      <c r="G791" s="65" t="str">
        <f t="shared" si="14"/>
        <v/>
      </c>
      <c r="H791" s="70"/>
    </row>
    <row r="792" spans="1:8" x14ac:dyDescent="0.35">
      <c r="A792" s="62"/>
      <c r="B792" s="63"/>
      <c r="C792" s="63" t="str">
        <f>IFERROR(VLOOKUP(B792,منتجات!$A$3:$C$350,2,0),"")</f>
        <v/>
      </c>
      <c r="D792" s="63" t="str">
        <f>IFERROR(VLOOKUP(B792,منتجات!$A$3:$C$350,3,0),"")</f>
        <v/>
      </c>
      <c r="E792" s="63"/>
      <c r="F792" s="63" t="str">
        <f>IFERROR(INDEX(منتجات!$G$3:$G$350,MATCH(B792,منتجات!$A$3:$A$115,0)),"")</f>
        <v/>
      </c>
      <c r="G792" s="63" t="str">
        <f t="shared" si="14"/>
        <v/>
      </c>
      <c r="H792" s="69"/>
    </row>
    <row r="793" spans="1:8" x14ac:dyDescent="0.35">
      <c r="A793" s="64"/>
      <c r="B793" s="65"/>
      <c r="C793" s="65" t="str">
        <f>IFERROR(VLOOKUP(B793,منتجات!$A$3:$C$350,2,0),"")</f>
        <v/>
      </c>
      <c r="D793" s="65" t="str">
        <f>IFERROR(VLOOKUP(B793,منتجات!$A$3:$C$350,3,0),"")</f>
        <v/>
      </c>
      <c r="E793" s="65"/>
      <c r="F793" s="65" t="str">
        <f>IFERROR(INDEX(منتجات!$G$3:$G$350,MATCH(B793,منتجات!$A$3:$A$115,0)),"")</f>
        <v/>
      </c>
      <c r="G793" s="65" t="str">
        <f t="shared" si="14"/>
        <v/>
      </c>
      <c r="H793" s="70"/>
    </row>
    <row r="794" spans="1:8" x14ac:dyDescent="0.35">
      <c r="A794" s="62"/>
      <c r="B794" s="63"/>
      <c r="C794" s="63" t="str">
        <f>IFERROR(VLOOKUP(B794,منتجات!$A$3:$C$350,2,0),"")</f>
        <v/>
      </c>
      <c r="D794" s="63" t="str">
        <f>IFERROR(VLOOKUP(B794,منتجات!$A$3:$C$350,3,0),"")</f>
        <v/>
      </c>
      <c r="E794" s="63"/>
      <c r="F794" s="63" t="str">
        <f>IFERROR(INDEX(منتجات!$G$3:$G$350,MATCH(B794,منتجات!$A$3:$A$115,0)),"")</f>
        <v/>
      </c>
      <c r="G794" s="63" t="str">
        <f t="shared" si="14"/>
        <v/>
      </c>
      <c r="H794" s="69"/>
    </row>
    <row r="795" spans="1:8" x14ac:dyDescent="0.35">
      <c r="A795" s="64"/>
      <c r="B795" s="65"/>
      <c r="C795" s="65" t="str">
        <f>IFERROR(VLOOKUP(B795,منتجات!$A$3:$C$350,2,0),"")</f>
        <v/>
      </c>
      <c r="D795" s="65" t="str">
        <f>IFERROR(VLOOKUP(B795,منتجات!$A$3:$C$350,3,0),"")</f>
        <v/>
      </c>
      <c r="E795" s="65"/>
      <c r="F795" s="65" t="str">
        <f>IFERROR(INDEX(منتجات!$G$3:$G$350,MATCH(B795,منتجات!$A$3:$A$115,0)),"")</f>
        <v/>
      </c>
      <c r="G795" s="65" t="str">
        <f t="shared" si="14"/>
        <v/>
      </c>
      <c r="H795" s="70"/>
    </row>
    <row r="796" spans="1:8" x14ac:dyDescent="0.35">
      <c r="A796" s="62"/>
      <c r="B796" s="63"/>
      <c r="C796" s="63" t="str">
        <f>IFERROR(VLOOKUP(B796,منتجات!$A$3:$C$350,2,0),"")</f>
        <v/>
      </c>
      <c r="D796" s="63" t="str">
        <f>IFERROR(VLOOKUP(B796,منتجات!$A$3:$C$350,3,0),"")</f>
        <v/>
      </c>
      <c r="E796" s="63"/>
      <c r="F796" s="63" t="str">
        <f>IFERROR(INDEX(منتجات!$G$3:$G$350,MATCH(B796,منتجات!$A$3:$A$115,0)),"")</f>
        <v/>
      </c>
      <c r="G796" s="63" t="str">
        <f t="shared" si="14"/>
        <v/>
      </c>
      <c r="H796" s="69"/>
    </row>
    <row r="797" spans="1:8" x14ac:dyDescent="0.35">
      <c r="A797" s="64"/>
      <c r="B797" s="65"/>
      <c r="C797" s="65" t="str">
        <f>IFERROR(VLOOKUP(B797,منتجات!$A$3:$C$350,2,0),"")</f>
        <v/>
      </c>
      <c r="D797" s="65" t="str">
        <f>IFERROR(VLOOKUP(B797,منتجات!$A$3:$C$350,3,0),"")</f>
        <v/>
      </c>
      <c r="E797" s="65"/>
      <c r="F797" s="65" t="str">
        <f>IFERROR(INDEX(منتجات!$G$3:$G$350,MATCH(B797,منتجات!$A$3:$A$115,0)),"")</f>
        <v/>
      </c>
      <c r="G797" s="65" t="str">
        <f t="shared" si="14"/>
        <v/>
      </c>
      <c r="H797" s="70"/>
    </row>
    <row r="798" spans="1:8" x14ac:dyDescent="0.35">
      <c r="A798" s="62"/>
      <c r="B798" s="63"/>
      <c r="C798" s="63" t="str">
        <f>IFERROR(VLOOKUP(B798,منتجات!$A$3:$C$350,2,0),"")</f>
        <v/>
      </c>
      <c r="D798" s="63" t="str">
        <f>IFERROR(VLOOKUP(B798,منتجات!$A$3:$C$350,3,0),"")</f>
        <v/>
      </c>
      <c r="E798" s="63"/>
      <c r="F798" s="63" t="str">
        <f>IFERROR(INDEX(منتجات!$G$3:$G$350,MATCH(B798,منتجات!$A$3:$A$115,0)),"")</f>
        <v/>
      </c>
      <c r="G798" s="63" t="str">
        <f t="shared" si="14"/>
        <v/>
      </c>
      <c r="H798" s="69"/>
    </row>
    <row r="799" spans="1:8" x14ac:dyDescent="0.35">
      <c r="A799" s="64"/>
      <c r="B799" s="65"/>
      <c r="C799" s="65" t="str">
        <f>IFERROR(VLOOKUP(B799,منتجات!$A$3:$C$350,2,0),"")</f>
        <v/>
      </c>
      <c r="D799" s="65" t="str">
        <f>IFERROR(VLOOKUP(B799,منتجات!$A$3:$C$350,3,0),"")</f>
        <v/>
      </c>
      <c r="E799" s="65"/>
      <c r="F799" s="65" t="str">
        <f>IFERROR(INDEX(منتجات!$G$3:$G$350,MATCH(B799,منتجات!$A$3:$A$115,0)),"")</f>
        <v/>
      </c>
      <c r="G799" s="65" t="str">
        <f t="shared" si="14"/>
        <v/>
      </c>
      <c r="H799" s="70"/>
    </row>
    <row r="800" spans="1:8" x14ac:dyDescent="0.35">
      <c r="A800" s="62"/>
      <c r="B800" s="63"/>
      <c r="C800" s="63" t="str">
        <f>IFERROR(VLOOKUP(B800,منتجات!$A$3:$C$350,2,0),"")</f>
        <v/>
      </c>
      <c r="D800" s="63" t="str">
        <f>IFERROR(VLOOKUP(B800,منتجات!$A$3:$C$350,3,0),"")</f>
        <v/>
      </c>
      <c r="E800" s="63"/>
      <c r="F800" s="63" t="str">
        <f>IFERROR(INDEX(منتجات!$G$3:$G$350,MATCH(B800,منتجات!$A$3:$A$115,0)),"")</f>
        <v/>
      </c>
      <c r="G800" s="63" t="str">
        <f t="shared" si="14"/>
        <v/>
      </c>
      <c r="H800" s="69"/>
    </row>
    <row r="801" spans="1:8" x14ac:dyDescent="0.35">
      <c r="A801" s="64"/>
      <c r="B801" s="65"/>
      <c r="C801" s="65" t="str">
        <f>IFERROR(VLOOKUP(B801,منتجات!$A$3:$C$350,2,0),"")</f>
        <v/>
      </c>
      <c r="D801" s="65" t="str">
        <f>IFERROR(VLOOKUP(B801,منتجات!$A$3:$C$350,3,0),"")</f>
        <v/>
      </c>
      <c r="E801" s="65"/>
      <c r="F801" s="65" t="str">
        <f>IFERROR(INDEX(منتجات!$G$3:$G$350,MATCH(B801,منتجات!$A$3:$A$115,0)),"")</f>
        <v/>
      </c>
      <c r="G801" s="65" t="str">
        <f t="shared" si="14"/>
        <v/>
      </c>
      <c r="H801" s="70"/>
    </row>
    <row r="802" spans="1:8" x14ac:dyDescent="0.35">
      <c r="A802" s="62"/>
      <c r="B802" s="63"/>
      <c r="C802" s="63" t="str">
        <f>IFERROR(VLOOKUP(B802,منتجات!$A$3:$C$350,2,0),"")</f>
        <v/>
      </c>
      <c r="D802" s="63" t="str">
        <f>IFERROR(VLOOKUP(B802,منتجات!$A$3:$C$350,3,0),"")</f>
        <v/>
      </c>
      <c r="E802" s="63"/>
      <c r="F802" s="63" t="str">
        <f>IFERROR(INDEX(منتجات!$G$3:$G$350,MATCH(B802,منتجات!$A$3:$A$115,0)),"")</f>
        <v/>
      </c>
      <c r="G802" s="63" t="str">
        <f t="shared" si="14"/>
        <v/>
      </c>
      <c r="H802" s="69"/>
    </row>
    <row r="803" spans="1:8" x14ac:dyDescent="0.35">
      <c r="A803" s="64"/>
      <c r="B803" s="65"/>
      <c r="C803" s="65" t="str">
        <f>IFERROR(VLOOKUP(B803,منتجات!$A$3:$C$350,2,0),"")</f>
        <v/>
      </c>
      <c r="D803" s="65" t="str">
        <f>IFERROR(VLOOKUP(B803,منتجات!$A$3:$C$350,3,0),"")</f>
        <v/>
      </c>
      <c r="E803" s="65"/>
      <c r="F803" s="65" t="str">
        <f>IFERROR(INDEX(منتجات!$G$3:$G$350,MATCH(B803,منتجات!$A$3:$A$115,0)),"")</f>
        <v/>
      </c>
      <c r="G803" s="65" t="str">
        <f t="shared" si="14"/>
        <v/>
      </c>
      <c r="H803" s="70"/>
    </row>
    <row r="804" spans="1:8" x14ac:dyDescent="0.35">
      <c r="A804" s="62"/>
      <c r="B804" s="63"/>
      <c r="C804" s="63" t="str">
        <f>IFERROR(VLOOKUP(B804,منتجات!$A$3:$C$350,2,0),"")</f>
        <v/>
      </c>
      <c r="D804" s="63" t="str">
        <f>IFERROR(VLOOKUP(B804,منتجات!$A$3:$C$350,3,0),"")</f>
        <v/>
      </c>
      <c r="E804" s="63"/>
      <c r="F804" s="63" t="str">
        <f>IFERROR(INDEX(منتجات!$G$3:$G$350,MATCH(B804,منتجات!$A$3:$A$115,0)),"")</f>
        <v/>
      </c>
      <c r="G804" s="63" t="str">
        <f t="shared" si="14"/>
        <v/>
      </c>
      <c r="H804" s="69"/>
    </row>
    <row r="805" spans="1:8" x14ac:dyDescent="0.35">
      <c r="A805" s="64"/>
      <c r="B805" s="65"/>
      <c r="C805" s="65" t="str">
        <f>IFERROR(VLOOKUP(B805,منتجات!$A$3:$C$350,2,0),"")</f>
        <v/>
      </c>
      <c r="D805" s="65" t="str">
        <f>IFERROR(VLOOKUP(B805,منتجات!$A$3:$C$350,3,0),"")</f>
        <v/>
      </c>
      <c r="E805" s="65"/>
      <c r="F805" s="65" t="str">
        <f>IFERROR(INDEX(منتجات!$G$3:$G$350,MATCH(B805,منتجات!$A$3:$A$115,0)),"")</f>
        <v/>
      </c>
      <c r="G805" s="65" t="str">
        <f t="shared" si="14"/>
        <v/>
      </c>
      <c r="H805" s="70"/>
    </row>
    <row r="806" spans="1:8" x14ac:dyDescent="0.35">
      <c r="A806" s="62"/>
      <c r="B806" s="63"/>
      <c r="C806" s="63" t="str">
        <f>IFERROR(VLOOKUP(B806,منتجات!$A$3:$C$350,2,0),"")</f>
        <v/>
      </c>
      <c r="D806" s="63" t="str">
        <f>IFERROR(VLOOKUP(B806,منتجات!$A$3:$C$350,3,0),"")</f>
        <v/>
      </c>
      <c r="E806" s="63"/>
      <c r="F806" s="63" t="str">
        <f>IFERROR(INDEX(منتجات!$G$3:$G$350,MATCH(B806,منتجات!$A$3:$A$115,0)),"")</f>
        <v/>
      </c>
      <c r="G806" s="63" t="str">
        <f t="shared" si="14"/>
        <v/>
      </c>
      <c r="H806" s="69"/>
    </row>
    <row r="807" spans="1:8" x14ac:dyDescent="0.35">
      <c r="A807" s="64"/>
      <c r="B807" s="65"/>
      <c r="C807" s="65" t="str">
        <f>IFERROR(VLOOKUP(B807,منتجات!$A$3:$C$350,2,0),"")</f>
        <v/>
      </c>
      <c r="D807" s="65" t="str">
        <f>IFERROR(VLOOKUP(B807,منتجات!$A$3:$C$350,3,0),"")</f>
        <v/>
      </c>
      <c r="E807" s="65"/>
      <c r="F807" s="65" t="str">
        <f>IFERROR(INDEX(منتجات!$G$3:$G$350,MATCH(B807,منتجات!$A$3:$A$115,0)),"")</f>
        <v/>
      </c>
      <c r="G807" s="65" t="str">
        <f t="shared" si="14"/>
        <v/>
      </c>
      <c r="H807" s="70"/>
    </row>
    <row r="808" spans="1:8" x14ac:dyDescent="0.35">
      <c r="A808" s="62"/>
      <c r="B808" s="63"/>
      <c r="C808" s="63" t="str">
        <f>IFERROR(VLOOKUP(B808,منتجات!$A$3:$C$350,2,0),"")</f>
        <v/>
      </c>
      <c r="D808" s="63" t="str">
        <f>IFERROR(VLOOKUP(B808,منتجات!$A$3:$C$350,3,0),"")</f>
        <v/>
      </c>
      <c r="E808" s="63"/>
      <c r="F808" s="63" t="str">
        <f>IFERROR(INDEX(منتجات!$G$3:$G$350,MATCH(B808,منتجات!$A$3:$A$115,0)),"")</f>
        <v/>
      </c>
      <c r="G808" s="63" t="str">
        <f t="shared" si="14"/>
        <v/>
      </c>
      <c r="H808" s="69"/>
    </row>
    <row r="809" spans="1:8" x14ac:dyDescent="0.35">
      <c r="A809" s="64"/>
      <c r="B809" s="65"/>
      <c r="C809" s="65" t="str">
        <f>IFERROR(VLOOKUP(B809,منتجات!$A$3:$C$350,2,0),"")</f>
        <v/>
      </c>
      <c r="D809" s="65" t="str">
        <f>IFERROR(VLOOKUP(B809,منتجات!$A$3:$C$350,3,0),"")</f>
        <v/>
      </c>
      <c r="E809" s="65"/>
      <c r="F809" s="65" t="str">
        <f>IFERROR(INDEX(منتجات!$G$3:$G$350,MATCH(B809,منتجات!$A$3:$A$115,0)),"")</f>
        <v/>
      </c>
      <c r="G809" s="65" t="str">
        <f t="shared" si="14"/>
        <v/>
      </c>
      <c r="H809" s="70"/>
    </row>
    <row r="810" spans="1:8" x14ac:dyDescent="0.35">
      <c r="A810" s="62"/>
      <c r="B810" s="63"/>
      <c r="C810" s="63" t="str">
        <f>IFERROR(VLOOKUP(B810,منتجات!$A$3:$C$350,2,0),"")</f>
        <v/>
      </c>
      <c r="D810" s="63" t="str">
        <f>IFERROR(VLOOKUP(B810,منتجات!$A$3:$C$350,3,0),"")</f>
        <v/>
      </c>
      <c r="E810" s="63"/>
      <c r="F810" s="63" t="str">
        <f>IFERROR(INDEX(منتجات!$G$3:$G$350,MATCH(B810,منتجات!$A$3:$A$115,0)),"")</f>
        <v/>
      </c>
      <c r="G810" s="63" t="str">
        <f t="shared" si="14"/>
        <v/>
      </c>
      <c r="H810" s="69"/>
    </row>
    <row r="811" spans="1:8" x14ac:dyDescent="0.35">
      <c r="A811" s="64"/>
      <c r="B811" s="65"/>
      <c r="C811" s="65" t="str">
        <f>IFERROR(VLOOKUP(B811,منتجات!$A$3:$C$350,2,0),"")</f>
        <v/>
      </c>
      <c r="D811" s="65" t="str">
        <f>IFERROR(VLOOKUP(B811,منتجات!$A$3:$C$350,3,0),"")</f>
        <v/>
      </c>
      <c r="E811" s="65"/>
      <c r="F811" s="65" t="str">
        <f>IFERROR(INDEX(منتجات!$G$3:$G$350,MATCH(B811,منتجات!$A$3:$A$115,0)),"")</f>
        <v/>
      </c>
      <c r="G811" s="65" t="str">
        <f t="shared" si="14"/>
        <v/>
      </c>
      <c r="H811" s="70"/>
    </row>
    <row r="812" spans="1:8" x14ac:dyDescent="0.35">
      <c r="A812" s="62"/>
      <c r="B812" s="63"/>
      <c r="C812" s="63" t="str">
        <f>IFERROR(VLOOKUP(B812,منتجات!$A$3:$C$350,2,0),"")</f>
        <v/>
      </c>
      <c r="D812" s="63" t="str">
        <f>IFERROR(VLOOKUP(B812,منتجات!$A$3:$C$350,3,0),"")</f>
        <v/>
      </c>
      <c r="E812" s="63"/>
      <c r="F812" s="63" t="str">
        <f>IFERROR(INDEX(منتجات!$G$3:$G$350,MATCH(B812,منتجات!$A$3:$A$115,0)),"")</f>
        <v/>
      </c>
      <c r="G812" s="63" t="str">
        <f t="shared" si="14"/>
        <v/>
      </c>
      <c r="H812" s="69"/>
    </row>
    <row r="813" spans="1:8" x14ac:dyDescent="0.35">
      <c r="A813" s="64"/>
      <c r="B813" s="65"/>
      <c r="C813" s="65" t="str">
        <f>IFERROR(VLOOKUP(B813,منتجات!$A$3:$C$350,2,0),"")</f>
        <v/>
      </c>
      <c r="D813" s="65" t="str">
        <f>IFERROR(VLOOKUP(B813,منتجات!$A$3:$C$350,3,0),"")</f>
        <v/>
      </c>
      <c r="E813" s="65"/>
      <c r="F813" s="65" t="str">
        <f>IFERROR(INDEX(منتجات!$G$3:$G$350,MATCH(B813,منتجات!$A$3:$A$115,0)),"")</f>
        <v/>
      </c>
      <c r="G813" s="65" t="str">
        <f t="shared" si="14"/>
        <v/>
      </c>
      <c r="H813" s="70"/>
    </row>
    <row r="814" spans="1:8" x14ac:dyDescent="0.35">
      <c r="A814" s="62"/>
      <c r="B814" s="63"/>
      <c r="C814" s="63" t="str">
        <f>IFERROR(VLOOKUP(B814,منتجات!$A$3:$C$350,2,0),"")</f>
        <v/>
      </c>
      <c r="D814" s="63" t="str">
        <f>IFERROR(VLOOKUP(B814,منتجات!$A$3:$C$350,3,0),"")</f>
        <v/>
      </c>
      <c r="E814" s="63"/>
      <c r="F814" s="63" t="str">
        <f>IFERROR(INDEX(منتجات!$G$3:$G$350,MATCH(B814,منتجات!$A$3:$A$115,0)),"")</f>
        <v/>
      </c>
      <c r="G814" s="63" t="str">
        <f t="shared" si="14"/>
        <v/>
      </c>
      <c r="H814" s="69"/>
    </row>
    <row r="815" spans="1:8" x14ac:dyDescent="0.35">
      <c r="A815" s="64"/>
      <c r="B815" s="65"/>
      <c r="C815" s="65" t="str">
        <f>IFERROR(VLOOKUP(B815,منتجات!$A$3:$C$350,2,0),"")</f>
        <v/>
      </c>
      <c r="D815" s="65" t="str">
        <f>IFERROR(VLOOKUP(B815,منتجات!$A$3:$C$350,3,0),"")</f>
        <v/>
      </c>
      <c r="E815" s="65"/>
      <c r="F815" s="65" t="str">
        <f>IFERROR(INDEX(منتجات!$G$3:$G$350,MATCH(B815,منتجات!$A$3:$A$115,0)),"")</f>
        <v/>
      </c>
      <c r="G815" s="65" t="str">
        <f t="shared" si="14"/>
        <v/>
      </c>
      <c r="H815" s="70"/>
    </row>
    <row r="816" spans="1:8" x14ac:dyDescent="0.35">
      <c r="A816" s="62"/>
      <c r="B816" s="63"/>
      <c r="C816" s="63" t="str">
        <f>IFERROR(VLOOKUP(B816,منتجات!$A$3:$C$350,2,0),"")</f>
        <v/>
      </c>
      <c r="D816" s="63" t="str">
        <f>IFERROR(VLOOKUP(B816,منتجات!$A$3:$C$350,3,0),"")</f>
        <v/>
      </c>
      <c r="E816" s="63"/>
      <c r="F816" s="63" t="str">
        <f>IFERROR(INDEX(منتجات!$G$3:$G$350,MATCH(B816,منتجات!$A$3:$A$115,0)),"")</f>
        <v/>
      </c>
      <c r="G816" s="63" t="str">
        <f t="shared" si="14"/>
        <v/>
      </c>
      <c r="H816" s="69"/>
    </row>
    <row r="817" spans="1:8" x14ac:dyDescent="0.35">
      <c r="A817" s="64"/>
      <c r="B817" s="65"/>
      <c r="C817" s="65" t="str">
        <f>IFERROR(VLOOKUP(B817,منتجات!$A$3:$C$350,2,0),"")</f>
        <v/>
      </c>
      <c r="D817" s="65" t="str">
        <f>IFERROR(VLOOKUP(B817,منتجات!$A$3:$C$350,3,0),"")</f>
        <v/>
      </c>
      <c r="E817" s="65"/>
      <c r="F817" s="65" t="str">
        <f>IFERROR(INDEX(منتجات!$G$3:$G$350,MATCH(B817,منتجات!$A$3:$A$115,0)),"")</f>
        <v/>
      </c>
      <c r="G817" s="65" t="str">
        <f t="shared" si="14"/>
        <v/>
      </c>
      <c r="H817" s="70"/>
    </row>
    <row r="818" spans="1:8" x14ac:dyDescent="0.35">
      <c r="A818" s="62"/>
      <c r="B818" s="63"/>
      <c r="C818" s="63" t="str">
        <f>IFERROR(VLOOKUP(B818,منتجات!$A$3:$C$350,2,0),"")</f>
        <v/>
      </c>
      <c r="D818" s="63" t="str">
        <f>IFERROR(VLOOKUP(B818,منتجات!$A$3:$C$350,3,0),"")</f>
        <v/>
      </c>
      <c r="E818" s="63"/>
      <c r="F818" s="63" t="str">
        <f>IFERROR(INDEX(منتجات!$G$3:$G$350,MATCH(B818,منتجات!$A$3:$A$115,0)),"")</f>
        <v/>
      </c>
      <c r="G818" s="63" t="str">
        <f t="shared" si="14"/>
        <v/>
      </c>
      <c r="H818" s="69"/>
    </row>
    <row r="819" spans="1:8" x14ac:dyDescent="0.35">
      <c r="A819" s="64"/>
      <c r="B819" s="65"/>
      <c r="C819" s="65" t="str">
        <f>IFERROR(VLOOKUP(B819,منتجات!$A$3:$C$350,2,0),"")</f>
        <v/>
      </c>
      <c r="D819" s="65" t="str">
        <f>IFERROR(VLOOKUP(B819,منتجات!$A$3:$C$350,3,0),"")</f>
        <v/>
      </c>
      <c r="E819" s="65"/>
      <c r="F819" s="65" t="str">
        <f>IFERROR(INDEX(منتجات!$G$3:$G$350,MATCH(B819,منتجات!$A$3:$A$115,0)),"")</f>
        <v/>
      </c>
      <c r="G819" s="65" t="str">
        <f t="shared" si="14"/>
        <v/>
      </c>
      <c r="H819" s="70"/>
    </row>
    <row r="820" spans="1:8" x14ac:dyDescent="0.35">
      <c r="A820" s="62"/>
      <c r="B820" s="63"/>
      <c r="C820" s="63" t="str">
        <f>IFERROR(VLOOKUP(B820,منتجات!$A$3:$C$350,2,0),"")</f>
        <v/>
      </c>
      <c r="D820" s="63" t="str">
        <f>IFERROR(VLOOKUP(B820,منتجات!$A$3:$C$350,3,0),"")</f>
        <v/>
      </c>
      <c r="E820" s="63"/>
      <c r="F820" s="63" t="str">
        <f>IFERROR(INDEX(منتجات!$G$3:$G$350,MATCH(B820,منتجات!$A$3:$A$115,0)),"")</f>
        <v/>
      </c>
      <c r="G820" s="63" t="str">
        <f t="shared" si="14"/>
        <v/>
      </c>
      <c r="H820" s="69"/>
    </row>
    <row r="821" spans="1:8" x14ac:dyDescent="0.35">
      <c r="A821" s="64"/>
      <c r="B821" s="65"/>
      <c r="C821" s="65" t="str">
        <f>IFERROR(VLOOKUP(B821,منتجات!$A$3:$C$350,2,0),"")</f>
        <v/>
      </c>
      <c r="D821" s="65" t="str">
        <f>IFERROR(VLOOKUP(B821,منتجات!$A$3:$C$350,3,0),"")</f>
        <v/>
      </c>
      <c r="E821" s="65"/>
      <c r="F821" s="65" t="str">
        <f>IFERROR(INDEX(منتجات!$G$3:$G$350,MATCH(B821,منتجات!$A$3:$A$115,0)),"")</f>
        <v/>
      </c>
      <c r="G821" s="65" t="str">
        <f t="shared" si="14"/>
        <v/>
      </c>
      <c r="H821" s="70"/>
    </row>
    <row r="822" spans="1:8" x14ac:dyDescent="0.35">
      <c r="A822" s="62"/>
      <c r="B822" s="63"/>
      <c r="C822" s="63" t="str">
        <f>IFERROR(VLOOKUP(B822,منتجات!$A$3:$C$350,2,0),"")</f>
        <v/>
      </c>
      <c r="D822" s="63" t="str">
        <f>IFERROR(VLOOKUP(B822,منتجات!$A$3:$C$350,3,0),"")</f>
        <v/>
      </c>
      <c r="E822" s="63"/>
      <c r="F822" s="63" t="str">
        <f>IFERROR(INDEX(منتجات!$G$3:$G$350,MATCH(B822,منتجات!$A$3:$A$115,0)),"")</f>
        <v/>
      </c>
      <c r="G822" s="63" t="str">
        <f t="shared" si="14"/>
        <v/>
      </c>
      <c r="H822" s="69"/>
    </row>
    <row r="823" spans="1:8" x14ac:dyDescent="0.35">
      <c r="A823" s="64"/>
      <c r="B823" s="65"/>
      <c r="C823" s="65" t="str">
        <f>IFERROR(VLOOKUP(B823,منتجات!$A$3:$C$350,2,0),"")</f>
        <v/>
      </c>
      <c r="D823" s="65" t="str">
        <f>IFERROR(VLOOKUP(B823,منتجات!$A$3:$C$350,3,0),"")</f>
        <v/>
      </c>
      <c r="E823" s="65"/>
      <c r="F823" s="65" t="str">
        <f>IFERROR(INDEX(منتجات!$G$3:$G$350,MATCH(B823,منتجات!$A$3:$A$115,0)),"")</f>
        <v/>
      </c>
      <c r="G823" s="65" t="str">
        <f t="shared" si="14"/>
        <v/>
      </c>
      <c r="H823" s="70"/>
    </row>
    <row r="824" spans="1:8" x14ac:dyDescent="0.35">
      <c r="A824" s="62"/>
      <c r="B824" s="63"/>
      <c r="C824" s="63" t="str">
        <f>IFERROR(VLOOKUP(B824,منتجات!$A$3:$C$350,2,0),"")</f>
        <v/>
      </c>
      <c r="D824" s="63" t="str">
        <f>IFERROR(VLOOKUP(B824,منتجات!$A$3:$C$350,3,0),"")</f>
        <v/>
      </c>
      <c r="E824" s="63"/>
      <c r="F824" s="63" t="str">
        <f>IFERROR(INDEX(منتجات!$G$3:$G$350,MATCH(B824,منتجات!$A$3:$A$115,0)),"")</f>
        <v/>
      </c>
      <c r="G824" s="63" t="str">
        <f t="shared" si="14"/>
        <v/>
      </c>
      <c r="H824" s="69"/>
    </row>
    <row r="825" spans="1:8" x14ac:dyDescent="0.35">
      <c r="A825" s="64"/>
      <c r="B825" s="65"/>
      <c r="C825" s="65" t="str">
        <f>IFERROR(VLOOKUP(B825,منتجات!$A$3:$C$350,2,0),"")</f>
        <v/>
      </c>
      <c r="D825" s="65" t="str">
        <f>IFERROR(VLOOKUP(B825,منتجات!$A$3:$C$350,3,0),"")</f>
        <v/>
      </c>
      <c r="E825" s="65"/>
      <c r="F825" s="65" t="str">
        <f>IFERROR(INDEX(منتجات!$G$3:$G$350,MATCH(B825,منتجات!$A$3:$A$115,0)),"")</f>
        <v/>
      </c>
      <c r="G825" s="65" t="str">
        <f t="shared" si="14"/>
        <v/>
      </c>
      <c r="H825" s="70"/>
    </row>
    <row r="826" spans="1:8" x14ac:dyDescent="0.35">
      <c r="A826" s="62"/>
      <c r="B826" s="63"/>
      <c r="C826" s="63" t="str">
        <f>IFERROR(VLOOKUP(B826,منتجات!$A$3:$C$350,2,0),"")</f>
        <v/>
      </c>
      <c r="D826" s="63" t="str">
        <f>IFERROR(VLOOKUP(B826,منتجات!$A$3:$C$350,3,0),"")</f>
        <v/>
      </c>
      <c r="E826" s="63"/>
      <c r="F826" s="63" t="str">
        <f>IFERROR(INDEX(منتجات!$G$3:$G$350,MATCH(B826,منتجات!$A$3:$A$115,0)),"")</f>
        <v/>
      </c>
      <c r="G826" s="63" t="str">
        <f t="shared" si="14"/>
        <v/>
      </c>
      <c r="H826" s="69"/>
    </row>
    <row r="827" spans="1:8" x14ac:dyDescent="0.35">
      <c r="A827" s="64"/>
      <c r="B827" s="65"/>
      <c r="C827" s="65" t="str">
        <f>IFERROR(VLOOKUP(B827,منتجات!$A$3:$C$350,2,0),"")</f>
        <v/>
      </c>
      <c r="D827" s="65" t="str">
        <f>IFERROR(VLOOKUP(B827,منتجات!$A$3:$C$350,3,0),"")</f>
        <v/>
      </c>
      <c r="E827" s="65"/>
      <c r="F827" s="65" t="str">
        <f>IFERROR(INDEX(منتجات!$G$3:$G$350,MATCH(B827,منتجات!$A$3:$A$115,0)),"")</f>
        <v/>
      </c>
      <c r="G827" s="65" t="str">
        <f t="shared" si="14"/>
        <v/>
      </c>
      <c r="H827" s="70"/>
    </row>
    <row r="828" spans="1:8" x14ac:dyDescent="0.35">
      <c r="A828" s="62"/>
      <c r="B828" s="63"/>
      <c r="C828" s="63" t="str">
        <f>IFERROR(VLOOKUP(B828,منتجات!$A$3:$C$350,2,0),"")</f>
        <v/>
      </c>
      <c r="D828" s="63" t="str">
        <f>IFERROR(VLOOKUP(B828,منتجات!$A$3:$C$350,3,0),"")</f>
        <v/>
      </c>
      <c r="E828" s="63"/>
      <c r="F828" s="63" t="str">
        <f>IFERROR(INDEX(منتجات!$G$3:$G$350,MATCH(B828,منتجات!$A$3:$A$115,0)),"")</f>
        <v/>
      </c>
      <c r="G828" s="63" t="str">
        <f t="shared" si="14"/>
        <v/>
      </c>
      <c r="H828" s="69"/>
    </row>
    <row r="829" spans="1:8" x14ac:dyDescent="0.35">
      <c r="A829" s="64"/>
      <c r="B829" s="65"/>
      <c r="C829" s="65" t="str">
        <f>IFERROR(VLOOKUP(B829,منتجات!$A$3:$C$350,2,0),"")</f>
        <v/>
      </c>
      <c r="D829" s="65" t="str">
        <f>IFERROR(VLOOKUP(B829,منتجات!$A$3:$C$350,3,0),"")</f>
        <v/>
      </c>
      <c r="E829" s="65"/>
      <c r="F829" s="65" t="str">
        <f>IFERROR(INDEX(منتجات!$G$3:$G$350,MATCH(B829,منتجات!$A$3:$A$115,0)),"")</f>
        <v/>
      </c>
      <c r="G829" s="65" t="str">
        <f t="shared" si="14"/>
        <v/>
      </c>
      <c r="H829" s="70"/>
    </row>
    <row r="830" spans="1:8" x14ac:dyDescent="0.35">
      <c r="A830" s="62"/>
      <c r="B830" s="63"/>
      <c r="C830" s="63" t="str">
        <f>IFERROR(VLOOKUP(B830,منتجات!$A$3:$C$350,2,0),"")</f>
        <v/>
      </c>
      <c r="D830" s="63" t="str">
        <f>IFERROR(VLOOKUP(B830,منتجات!$A$3:$C$350,3,0),"")</f>
        <v/>
      </c>
      <c r="E830" s="63"/>
      <c r="F830" s="63" t="str">
        <f>IFERROR(INDEX(منتجات!$G$3:$G$350,MATCH(B830,منتجات!$A$3:$A$115,0)),"")</f>
        <v/>
      </c>
      <c r="G830" s="63" t="str">
        <f t="shared" si="14"/>
        <v/>
      </c>
      <c r="H830" s="69"/>
    </row>
    <row r="831" spans="1:8" x14ac:dyDescent="0.35">
      <c r="A831" s="64"/>
      <c r="B831" s="65"/>
      <c r="C831" s="65" t="str">
        <f>IFERROR(VLOOKUP(B831,منتجات!$A$3:$C$350,2,0),"")</f>
        <v/>
      </c>
      <c r="D831" s="65" t="str">
        <f>IFERROR(VLOOKUP(B831,منتجات!$A$3:$C$350,3,0),"")</f>
        <v/>
      </c>
      <c r="E831" s="65"/>
      <c r="F831" s="65" t="str">
        <f>IFERROR(INDEX(منتجات!$G$3:$G$350,MATCH(B831,منتجات!$A$3:$A$115,0)),"")</f>
        <v/>
      </c>
      <c r="G831" s="65" t="str">
        <f t="shared" si="14"/>
        <v/>
      </c>
      <c r="H831" s="70"/>
    </row>
    <row r="832" spans="1:8" x14ac:dyDescent="0.35">
      <c r="A832" s="62"/>
      <c r="B832" s="63"/>
      <c r="C832" s="63" t="str">
        <f>IFERROR(VLOOKUP(B832,منتجات!$A$3:$C$350,2,0),"")</f>
        <v/>
      </c>
      <c r="D832" s="63" t="str">
        <f>IFERROR(VLOOKUP(B832,منتجات!$A$3:$C$350,3,0),"")</f>
        <v/>
      </c>
      <c r="E832" s="63"/>
      <c r="F832" s="63" t="str">
        <f>IFERROR(INDEX(منتجات!$G$3:$G$350,MATCH(B832,منتجات!$A$3:$A$115,0)),"")</f>
        <v/>
      </c>
      <c r="G832" s="63" t="str">
        <f t="shared" si="14"/>
        <v/>
      </c>
      <c r="H832" s="69"/>
    </row>
    <row r="833" spans="1:8" x14ac:dyDescent="0.35">
      <c r="A833" s="64"/>
      <c r="B833" s="65"/>
      <c r="C833" s="65" t="str">
        <f>IFERROR(VLOOKUP(B833,منتجات!$A$3:$C$350,2,0),"")</f>
        <v/>
      </c>
      <c r="D833" s="65" t="str">
        <f>IFERROR(VLOOKUP(B833,منتجات!$A$3:$C$350,3,0),"")</f>
        <v/>
      </c>
      <c r="E833" s="65"/>
      <c r="F833" s="65" t="str">
        <f>IFERROR(INDEX(منتجات!$G$3:$G$350,MATCH(B833,منتجات!$A$3:$A$115,0)),"")</f>
        <v/>
      </c>
      <c r="G833" s="65" t="str">
        <f t="shared" si="14"/>
        <v/>
      </c>
      <c r="H833" s="70"/>
    </row>
    <row r="834" spans="1:8" x14ac:dyDescent="0.35">
      <c r="A834" s="62"/>
      <c r="B834" s="63"/>
      <c r="C834" s="63" t="str">
        <f>IFERROR(VLOOKUP(B834,منتجات!$A$3:$C$350,2,0),"")</f>
        <v/>
      </c>
      <c r="D834" s="63" t="str">
        <f>IFERROR(VLOOKUP(B834,منتجات!$A$3:$C$350,3,0),"")</f>
        <v/>
      </c>
      <c r="E834" s="63"/>
      <c r="F834" s="63" t="str">
        <f>IFERROR(INDEX(منتجات!$G$3:$G$350,MATCH(B834,منتجات!$A$3:$A$115,0)),"")</f>
        <v/>
      </c>
      <c r="G834" s="63" t="str">
        <f t="shared" si="14"/>
        <v/>
      </c>
      <c r="H834" s="69"/>
    </row>
    <row r="835" spans="1:8" x14ac:dyDescent="0.35">
      <c r="A835" s="64"/>
      <c r="B835" s="65"/>
      <c r="C835" s="65" t="str">
        <f>IFERROR(VLOOKUP(B835,منتجات!$A$3:$C$350,2,0),"")</f>
        <v/>
      </c>
      <c r="D835" s="65" t="str">
        <f>IFERROR(VLOOKUP(B835,منتجات!$A$3:$C$350,3,0),"")</f>
        <v/>
      </c>
      <c r="E835" s="65"/>
      <c r="F835" s="65" t="str">
        <f>IFERROR(INDEX(منتجات!$G$3:$G$350,MATCH(B835,منتجات!$A$3:$A$115,0)),"")</f>
        <v/>
      </c>
      <c r="G835" s="65" t="str">
        <f t="shared" si="14"/>
        <v/>
      </c>
      <c r="H835" s="70"/>
    </row>
    <row r="836" spans="1:8" x14ac:dyDescent="0.35">
      <c r="A836" s="62"/>
      <c r="B836" s="63"/>
      <c r="C836" s="63" t="str">
        <f>IFERROR(VLOOKUP(B836,منتجات!$A$3:$C$350,2,0),"")</f>
        <v/>
      </c>
      <c r="D836" s="63" t="str">
        <f>IFERROR(VLOOKUP(B836,منتجات!$A$3:$C$350,3,0),"")</f>
        <v/>
      </c>
      <c r="E836" s="63"/>
      <c r="F836" s="63" t="str">
        <f>IFERROR(INDEX(منتجات!$G$3:$G$350,MATCH(B836,منتجات!$A$3:$A$115,0)),"")</f>
        <v/>
      </c>
      <c r="G836" s="63" t="str">
        <f t="shared" si="14"/>
        <v/>
      </c>
      <c r="H836" s="69"/>
    </row>
    <row r="837" spans="1:8" x14ac:dyDescent="0.35">
      <c r="A837" s="64"/>
      <c r="B837" s="65"/>
      <c r="C837" s="65" t="str">
        <f>IFERROR(VLOOKUP(B837,منتجات!$A$3:$C$350,2,0),"")</f>
        <v/>
      </c>
      <c r="D837" s="65" t="str">
        <f>IFERROR(VLOOKUP(B837,منتجات!$A$3:$C$350,3,0),"")</f>
        <v/>
      </c>
      <c r="E837" s="65"/>
      <c r="F837" s="65" t="str">
        <f>IFERROR(INDEX(منتجات!$G$3:$G$350,MATCH(B837,منتجات!$A$3:$A$115,0)),"")</f>
        <v/>
      </c>
      <c r="G837" s="65" t="str">
        <f t="shared" si="14"/>
        <v/>
      </c>
      <c r="H837" s="70"/>
    </row>
    <row r="838" spans="1:8" x14ac:dyDescent="0.35">
      <c r="A838" s="62"/>
      <c r="B838" s="63"/>
      <c r="C838" s="63" t="str">
        <f>IFERROR(VLOOKUP(B838,منتجات!$A$3:$C$350,2,0),"")</f>
        <v/>
      </c>
      <c r="D838" s="63" t="str">
        <f>IFERROR(VLOOKUP(B838,منتجات!$A$3:$C$350,3,0),"")</f>
        <v/>
      </c>
      <c r="E838" s="63"/>
      <c r="F838" s="63" t="str">
        <f>IFERROR(INDEX(منتجات!$G$3:$G$350,MATCH(B838,منتجات!$A$3:$A$115,0)),"")</f>
        <v/>
      </c>
      <c r="G838" s="63" t="str">
        <f t="shared" ref="G838:G901" si="15">IFERROR(E838*F838*D838,"")</f>
        <v/>
      </c>
      <c r="H838" s="69"/>
    </row>
    <row r="839" spans="1:8" x14ac:dyDescent="0.35">
      <c r="A839" s="64"/>
      <c r="B839" s="65"/>
      <c r="C839" s="65" t="str">
        <f>IFERROR(VLOOKUP(B839,منتجات!$A$3:$C$350,2,0),"")</f>
        <v/>
      </c>
      <c r="D839" s="65" t="str">
        <f>IFERROR(VLOOKUP(B839,منتجات!$A$3:$C$350,3,0),"")</f>
        <v/>
      </c>
      <c r="E839" s="65"/>
      <c r="F839" s="65" t="str">
        <f>IFERROR(INDEX(منتجات!$G$3:$G$350,MATCH(B839,منتجات!$A$3:$A$115,0)),"")</f>
        <v/>
      </c>
      <c r="G839" s="65" t="str">
        <f t="shared" si="15"/>
        <v/>
      </c>
      <c r="H839" s="70"/>
    </row>
    <row r="840" spans="1:8" x14ac:dyDescent="0.35">
      <c r="A840" s="62"/>
      <c r="B840" s="63"/>
      <c r="C840" s="63" t="str">
        <f>IFERROR(VLOOKUP(B840,منتجات!$A$3:$C$350,2,0),"")</f>
        <v/>
      </c>
      <c r="D840" s="63" t="str">
        <f>IFERROR(VLOOKUP(B840,منتجات!$A$3:$C$350,3,0),"")</f>
        <v/>
      </c>
      <c r="E840" s="63"/>
      <c r="F840" s="63" t="str">
        <f>IFERROR(INDEX(منتجات!$G$3:$G$350,MATCH(B840,منتجات!$A$3:$A$115,0)),"")</f>
        <v/>
      </c>
      <c r="G840" s="63" t="str">
        <f t="shared" si="15"/>
        <v/>
      </c>
      <c r="H840" s="69"/>
    </row>
    <row r="841" spans="1:8" x14ac:dyDescent="0.35">
      <c r="A841" s="64"/>
      <c r="B841" s="65"/>
      <c r="C841" s="65" t="str">
        <f>IFERROR(VLOOKUP(B841,منتجات!$A$3:$C$350,2,0),"")</f>
        <v/>
      </c>
      <c r="D841" s="65" t="str">
        <f>IFERROR(VLOOKUP(B841,منتجات!$A$3:$C$350,3,0),"")</f>
        <v/>
      </c>
      <c r="E841" s="65"/>
      <c r="F841" s="65" t="str">
        <f>IFERROR(INDEX(منتجات!$G$3:$G$350,MATCH(B841,منتجات!$A$3:$A$115,0)),"")</f>
        <v/>
      </c>
      <c r="G841" s="65" t="str">
        <f t="shared" si="15"/>
        <v/>
      </c>
      <c r="H841" s="70"/>
    </row>
    <row r="842" spans="1:8" x14ac:dyDescent="0.35">
      <c r="A842" s="62"/>
      <c r="B842" s="63"/>
      <c r="C842" s="63" t="str">
        <f>IFERROR(VLOOKUP(B842,منتجات!$A$3:$C$350,2,0),"")</f>
        <v/>
      </c>
      <c r="D842" s="63" t="str">
        <f>IFERROR(VLOOKUP(B842,منتجات!$A$3:$C$350,3,0),"")</f>
        <v/>
      </c>
      <c r="E842" s="63"/>
      <c r="F842" s="63" t="str">
        <f>IFERROR(INDEX(منتجات!$G$3:$G$350,MATCH(B842,منتجات!$A$3:$A$115,0)),"")</f>
        <v/>
      </c>
      <c r="G842" s="63" t="str">
        <f t="shared" si="15"/>
        <v/>
      </c>
      <c r="H842" s="69"/>
    </row>
    <row r="843" spans="1:8" x14ac:dyDescent="0.35">
      <c r="A843" s="64"/>
      <c r="B843" s="65"/>
      <c r="C843" s="65" t="str">
        <f>IFERROR(VLOOKUP(B843,منتجات!$A$3:$C$350,2,0),"")</f>
        <v/>
      </c>
      <c r="D843" s="65" t="str">
        <f>IFERROR(VLOOKUP(B843,منتجات!$A$3:$C$350,3,0),"")</f>
        <v/>
      </c>
      <c r="E843" s="65"/>
      <c r="F843" s="65" t="str">
        <f>IFERROR(INDEX(منتجات!$G$3:$G$350,MATCH(B843,منتجات!$A$3:$A$115,0)),"")</f>
        <v/>
      </c>
      <c r="G843" s="65" t="str">
        <f t="shared" si="15"/>
        <v/>
      </c>
      <c r="H843" s="70"/>
    </row>
    <row r="844" spans="1:8" x14ac:dyDescent="0.35">
      <c r="A844" s="62"/>
      <c r="B844" s="63"/>
      <c r="C844" s="63" t="str">
        <f>IFERROR(VLOOKUP(B844,منتجات!$A$3:$C$350,2,0),"")</f>
        <v/>
      </c>
      <c r="D844" s="63" t="str">
        <f>IFERROR(VLOOKUP(B844,منتجات!$A$3:$C$350,3,0),"")</f>
        <v/>
      </c>
      <c r="E844" s="63"/>
      <c r="F844" s="63" t="str">
        <f>IFERROR(INDEX(منتجات!$G$3:$G$350,MATCH(B844,منتجات!$A$3:$A$115,0)),"")</f>
        <v/>
      </c>
      <c r="G844" s="63" t="str">
        <f t="shared" si="15"/>
        <v/>
      </c>
      <c r="H844" s="69"/>
    </row>
    <row r="845" spans="1:8" x14ac:dyDescent="0.35">
      <c r="A845" s="64"/>
      <c r="B845" s="65"/>
      <c r="C845" s="65" t="str">
        <f>IFERROR(VLOOKUP(B845,منتجات!$A$3:$C$350,2,0),"")</f>
        <v/>
      </c>
      <c r="D845" s="65" t="str">
        <f>IFERROR(VLOOKUP(B845,منتجات!$A$3:$C$350,3,0),"")</f>
        <v/>
      </c>
      <c r="E845" s="65"/>
      <c r="F845" s="65" t="str">
        <f>IFERROR(INDEX(منتجات!$G$3:$G$350,MATCH(B845,منتجات!$A$3:$A$115,0)),"")</f>
        <v/>
      </c>
      <c r="G845" s="65" t="str">
        <f t="shared" si="15"/>
        <v/>
      </c>
      <c r="H845" s="70"/>
    </row>
    <row r="846" spans="1:8" x14ac:dyDescent="0.35">
      <c r="A846" s="62"/>
      <c r="B846" s="63"/>
      <c r="C846" s="63" t="str">
        <f>IFERROR(VLOOKUP(B846,منتجات!$A$3:$C$350,2,0),"")</f>
        <v/>
      </c>
      <c r="D846" s="63" t="str">
        <f>IFERROR(VLOOKUP(B846,منتجات!$A$3:$C$350,3,0),"")</f>
        <v/>
      </c>
      <c r="E846" s="63"/>
      <c r="F846" s="63" t="str">
        <f>IFERROR(INDEX(منتجات!$G$3:$G$350,MATCH(B846,منتجات!$A$3:$A$115,0)),"")</f>
        <v/>
      </c>
      <c r="G846" s="63" t="str">
        <f t="shared" si="15"/>
        <v/>
      </c>
      <c r="H846" s="69"/>
    </row>
    <row r="847" spans="1:8" x14ac:dyDescent="0.35">
      <c r="A847" s="64"/>
      <c r="B847" s="65"/>
      <c r="C847" s="65" t="str">
        <f>IFERROR(VLOOKUP(B847,منتجات!$A$3:$C$350,2,0),"")</f>
        <v/>
      </c>
      <c r="D847" s="65" t="str">
        <f>IFERROR(VLOOKUP(B847,منتجات!$A$3:$C$350,3,0),"")</f>
        <v/>
      </c>
      <c r="E847" s="65"/>
      <c r="F847" s="65" t="str">
        <f>IFERROR(INDEX(منتجات!$G$3:$G$350,MATCH(B847,منتجات!$A$3:$A$115,0)),"")</f>
        <v/>
      </c>
      <c r="G847" s="65" t="str">
        <f t="shared" si="15"/>
        <v/>
      </c>
      <c r="H847" s="70"/>
    </row>
    <row r="848" spans="1:8" x14ac:dyDescent="0.35">
      <c r="A848" s="62"/>
      <c r="B848" s="63"/>
      <c r="C848" s="63" t="str">
        <f>IFERROR(VLOOKUP(B848,منتجات!$A$3:$C$350,2,0),"")</f>
        <v/>
      </c>
      <c r="D848" s="63" t="str">
        <f>IFERROR(VLOOKUP(B848,منتجات!$A$3:$C$350,3,0),"")</f>
        <v/>
      </c>
      <c r="E848" s="63"/>
      <c r="F848" s="63" t="str">
        <f>IFERROR(INDEX(منتجات!$G$3:$G$350,MATCH(B848,منتجات!$A$3:$A$115,0)),"")</f>
        <v/>
      </c>
      <c r="G848" s="63" t="str">
        <f t="shared" si="15"/>
        <v/>
      </c>
      <c r="H848" s="69"/>
    </row>
    <row r="849" spans="1:8" x14ac:dyDescent="0.35">
      <c r="A849" s="64"/>
      <c r="B849" s="65"/>
      <c r="C849" s="65" t="str">
        <f>IFERROR(VLOOKUP(B849,منتجات!$A$3:$C$350,2,0),"")</f>
        <v/>
      </c>
      <c r="D849" s="65" t="str">
        <f>IFERROR(VLOOKUP(B849,منتجات!$A$3:$C$350,3,0),"")</f>
        <v/>
      </c>
      <c r="E849" s="65"/>
      <c r="F849" s="65" t="str">
        <f>IFERROR(INDEX(منتجات!$G$3:$G$350,MATCH(B849,منتجات!$A$3:$A$115,0)),"")</f>
        <v/>
      </c>
      <c r="G849" s="65" t="str">
        <f t="shared" si="15"/>
        <v/>
      </c>
      <c r="H849" s="70"/>
    </row>
    <row r="850" spans="1:8" x14ac:dyDescent="0.35">
      <c r="A850" s="62"/>
      <c r="B850" s="63"/>
      <c r="C850" s="63" t="str">
        <f>IFERROR(VLOOKUP(B850,منتجات!$A$3:$C$350,2,0),"")</f>
        <v/>
      </c>
      <c r="D850" s="63" t="str">
        <f>IFERROR(VLOOKUP(B850,منتجات!$A$3:$C$350,3,0),"")</f>
        <v/>
      </c>
      <c r="E850" s="63"/>
      <c r="F850" s="63" t="str">
        <f>IFERROR(INDEX(منتجات!$G$3:$G$350,MATCH(B850,منتجات!$A$3:$A$115,0)),"")</f>
        <v/>
      </c>
      <c r="G850" s="63" t="str">
        <f t="shared" si="15"/>
        <v/>
      </c>
      <c r="H850" s="69"/>
    </row>
    <row r="851" spans="1:8" x14ac:dyDescent="0.35">
      <c r="A851" s="64"/>
      <c r="B851" s="65"/>
      <c r="C851" s="65" t="str">
        <f>IFERROR(VLOOKUP(B851,منتجات!$A$3:$C$350,2,0),"")</f>
        <v/>
      </c>
      <c r="D851" s="65" t="str">
        <f>IFERROR(VLOOKUP(B851,منتجات!$A$3:$C$350,3,0),"")</f>
        <v/>
      </c>
      <c r="E851" s="65"/>
      <c r="F851" s="65" t="str">
        <f>IFERROR(INDEX(منتجات!$G$3:$G$350,MATCH(B851,منتجات!$A$3:$A$115,0)),"")</f>
        <v/>
      </c>
      <c r="G851" s="65" t="str">
        <f t="shared" si="15"/>
        <v/>
      </c>
      <c r="H851" s="70"/>
    </row>
    <row r="852" spans="1:8" x14ac:dyDescent="0.35">
      <c r="A852" s="62"/>
      <c r="B852" s="63"/>
      <c r="C852" s="63" t="str">
        <f>IFERROR(VLOOKUP(B852,منتجات!$A$3:$C$350,2,0),"")</f>
        <v/>
      </c>
      <c r="D852" s="63" t="str">
        <f>IFERROR(VLOOKUP(B852,منتجات!$A$3:$C$350,3,0),"")</f>
        <v/>
      </c>
      <c r="E852" s="63"/>
      <c r="F852" s="63" t="str">
        <f>IFERROR(INDEX(منتجات!$G$3:$G$350,MATCH(B852,منتجات!$A$3:$A$115,0)),"")</f>
        <v/>
      </c>
      <c r="G852" s="63" t="str">
        <f t="shared" si="15"/>
        <v/>
      </c>
      <c r="H852" s="69"/>
    </row>
    <row r="853" spans="1:8" x14ac:dyDescent="0.35">
      <c r="A853" s="64"/>
      <c r="B853" s="65"/>
      <c r="C853" s="65" t="str">
        <f>IFERROR(VLOOKUP(B853,منتجات!$A$3:$C$350,2,0),"")</f>
        <v/>
      </c>
      <c r="D853" s="65" t="str">
        <f>IFERROR(VLOOKUP(B853,منتجات!$A$3:$C$350,3,0),"")</f>
        <v/>
      </c>
      <c r="E853" s="65"/>
      <c r="F853" s="65" t="str">
        <f>IFERROR(INDEX(منتجات!$G$3:$G$350,MATCH(B853,منتجات!$A$3:$A$115,0)),"")</f>
        <v/>
      </c>
      <c r="G853" s="65" t="str">
        <f t="shared" si="15"/>
        <v/>
      </c>
      <c r="H853" s="70"/>
    </row>
    <row r="854" spans="1:8" x14ac:dyDescent="0.35">
      <c r="A854" s="62"/>
      <c r="B854" s="63"/>
      <c r="C854" s="63" t="str">
        <f>IFERROR(VLOOKUP(B854,منتجات!$A$3:$C$350,2,0),"")</f>
        <v/>
      </c>
      <c r="D854" s="63" t="str">
        <f>IFERROR(VLOOKUP(B854,منتجات!$A$3:$C$350,3,0),"")</f>
        <v/>
      </c>
      <c r="E854" s="63"/>
      <c r="F854" s="63" t="str">
        <f>IFERROR(INDEX(منتجات!$G$3:$G$350,MATCH(B854,منتجات!$A$3:$A$115,0)),"")</f>
        <v/>
      </c>
      <c r="G854" s="63" t="str">
        <f t="shared" si="15"/>
        <v/>
      </c>
      <c r="H854" s="69"/>
    </row>
    <row r="855" spans="1:8" x14ac:dyDescent="0.35">
      <c r="A855" s="64"/>
      <c r="B855" s="65"/>
      <c r="C855" s="65" t="str">
        <f>IFERROR(VLOOKUP(B855,منتجات!$A$3:$C$350,2,0),"")</f>
        <v/>
      </c>
      <c r="D855" s="65" t="str">
        <f>IFERROR(VLOOKUP(B855,منتجات!$A$3:$C$350,3,0),"")</f>
        <v/>
      </c>
      <c r="E855" s="65"/>
      <c r="F855" s="65" t="str">
        <f>IFERROR(INDEX(منتجات!$G$3:$G$350,MATCH(B855,منتجات!$A$3:$A$115,0)),"")</f>
        <v/>
      </c>
      <c r="G855" s="65" t="str">
        <f t="shared" si="15"/>
        <v/>
      </c>
      <c r="H855" s="70"/>
    </row>
    <row r="856" spans="1:8" x14ac:dyDescent="0.35">
      <c r="A856" s="62"/>
      <c r="B856" s="63"/>
      <c r="C856" s="63" t="str">
        <f>IFERROR(VLOOKUP(B856,منتجات!$A$3:$C$350,2,0),"")</f>
        <v/>
      </c>
      <c r="D856" s="63" t="str">
        <f>IFERROR(VLOOKUP(B856,منتجات!$A$3:$C$350,3,0),"")</f>
        <v/>
      </c>
      <c r="E856" s="63"/>
      <c r="F856" s="63" t="str">
        <f>IFERROR(INDEX(منتجات!$G$3:$G$350,MATCH(B856,منتجات!$A$3:$A$115,0)),"")</f>
        <v/>
      </c>
      <c r="G856" s="63" t="str">
        <f t="shared" si="15"/>
        <v/>
      </c>
      <c r="H856" s="69"/>
    </row>
    <row r="857" spans="1:8" x14ac:dyDescent="0.35">
      <c r="A857" s="64"/>
      <c r="B857" s="65"/>
      <c r="C857" s="65" t="str">
        <f>IFERROR(VLOOKUP(B857,منتجات!$A$3:$C$350,2,0),"")</f>
        <v/>
      </c>
      <c r="D857" s="65" t="str">
        <f>IFERROR(VLOOKUP(B857,منتجات!$A$3:$C$350,3,0),"")</f>
        <v/>
      </c>
      <c r="E857" s="65"/>
      <c r="F857" s="65" t="str">
        <f>IFERROR(INDEX(منتجات!$G$3:$G$350,MATCH(B857,منتجات!$A$3:$A$115,0)),"")</f>
        <v/>
      </c>
      <c r="G857" s="65" t="str">
        <f t="shared" si="15"/>
        <v/>
      </c>
      <c r="H857" s="70"/>
    </row>
    <row r="858" spans="1:8" x14ac:dyDescent="0.35">
      <c r="A858" s="62"/>
      <c r="B858" s="63"/>
      <c r="C858" s="63" t="str">
        <f>IFERROR(VLOOKUP(B858,منتجات!$A$3:$C$350,2,0),"")</f>
        <v/>
      </c>
      <c r="D858" s="63" t="str">
        <f>IFERROR(VLOOKUP(B858,منتجات!$A$3:$C$350,3,0),"")</f>
        <v/>
      </c>
      <c r="E858" s="63"/>
      <c r="F858" s="63" t="str">
        <f>IFERROR(INDEX(منتجات!$G$3:$G$350,MATCH(B858,منتجات!$A$3:$A$115,0)),"")</f>
        <v/>
      </c>
      <c r="G858" s="63" t="str">
        <f t="shared" si="15"/>
        <v/>
      </c>
      <c r="H858" s="69"/>
    </row>
    <row r="859" spans="1:8" x14ac:dyDescent="0.35">
      <c r="A859" s="64"/>
      <c r="B859" s="65"/>
      <c r="C859" s="65" t="str">
        <f>IFERROR(VLOOKUP(B859,منتجات!$A$3:$C$350,2,0),"")</f>
        <v/>
      </c>
      <c r="D859" s="65" t="str">
        <f>IFERROR(VLOOKUP(B859,منتجات!$A$3:$C$350,3,0),"")</f>
        <v/>
      </c>
      <c r="E859" s="65"/>
      <c r="F859" s="65" t="str">
        <f>IFERROR(INDEX(منتجات!$G$3:$G$350,MATCH(B859,منتجات!$A$3:$A$115,0)),"")</f>
        <v/>
      </c>
      <c r="G859" s="65" t="str">
        <f t="shared" si="15"/>
        <v/>
      </c>
      <c r="H859" s="70"/>
    </row>
    <row r="860" spans="1:8" x14ac:dyDescent="0.35">
      <c r="A860" s="62"/>
      <c r="B860" s="63"/>
      <c r="C860" s="63" t="str">
        <f>IFERROR(VLOOKUP(B860,منتجات!$A$3:$C$350,2,0),"")</f>
        <v/>
      </c>
      <c r="D860" s="63" t="str">
        <f>IFERROR(VLOOKUP(B860,منتجات!$A$3:$C$350,3,0),"")</f>
        <v/>
      </c>
      <c r="E860" s="63"/>
      <c r="F860" s="63" t="str">
        <f>IFERROR(INDEX(منتجات!$G$3:$G$350,MATCH(B860,منتجات!$A$3:$A$115,0)),"")</f>
        <v/>
      </c>
      <c r="G860" s="63" t="str">
        <f t="shared" si="15"/>
        <v/>
      </c>
      <c r="H860" s="69"/>
    </row>
    <row r="861" spans="1:8" x14ac:dyDescent="0.35">
      <c r="A861" s="64"/>
      <c r="B861" s="65"/>
      <c r="C861" s="65" t="str">
        <f>IFERROR(VLOOKUP(B861,منتجات!$A$3:$C$350,2,0),"")</f>
        <v/>
      </c>
      <c r="D861" s="65" t="str">
        <f>IFERROR(VLOOKUP(B861,منتجات!$A$3:$C$350,3,0),"")</f>
        <v/>
      </c>
      <c r="E861" s="65"/>
      <c r="F861" s="65" t="str">
        <f>IFERROR(INDEX(منتجات!$G$3:$G$350,MATCH(B861,منتجات!$A$3:$A$115,0)),"")</f>
        <v/>
      </c>
      <c r="G861" s="65" t="str">
        <f t="shared" si="15"/>
        <v/>
      </c>
      <c r="H861" s="70"/>
    </row>
    <row r="862" spans="1:8" x14ac:dyDescent="0.35">
      <c r="A862" s="62"/>
      <c r="B862" s="63"/>
      <c r="C862" s="63" t="str">
        <f>IFERROR(VLOOKUP(B862,منتجات!$A$3:$C$350,2,0),"")</f>
        <v/>
      </c>
      <c r="D862" s="63" t="str">
        <f>IFERROR(VLOOKUP(B862,منتجات!$A$3:$C$350,3,0),"")</f>
        <v/>
      </c>
      <c r="E862" s="63"/>
      <c r="F862" s="63" t="str">
        <f>IFERROR(INDEX(منتجات!$G$3:$G$350,MATCH(B862,منتجات!$A$3:$A$115,0)),"")</f>
        <v/>
      </c>
      <c r="G862" s="63" t="str">
        <f t="shared" si="15"/>
        <v/>
      </c>
      <c r="H862" s="69"/>
    </row>
    <row r="863" spans="1:8" x14ac:dyDescent="0.35">
      <c r="A863" s="64"/>
      <c r="B863" s="65"/>
      <c r="C863" s="65" t="str">
        <f>IFERROR(VLOOKUP(B863,منتجات!$A$3:$C$350,2,0),"")</f>
        <v/>
      </c>
      <c r="D863" s="65" t="str">
        <f>IFERROR(VLOOKUP(B863,منتجات!$A$3:$C$350,3,0),"")</f>
        <v/>
      </c>
      <c r="E863" s="65"/>
      <c r="F863" s="65" t="str">
        <f>IFERROR(INDEX(منتجات!$G$3:$G$350,MATCH(B863,منتجات!$A$3:$A$115,0)),"")</f>
        <v/>
      </c>
      <c r="G863" s="65" t="str">
        <f t="shared" si="15"/>
        <v/>
      </c>
      <c r="H863" s="70"/>
    </row>
    <row r="864" spans="1:8" x14ac:dyDescent="0.35">
      <c r="A864" s="62"/>
      <c r="B864" s="63"/>
      <c r="C864" s="63" t="str">
        <f>IFERROR(VLOOKUP(B864,منتجات!$A$3:$C$350,2,0),"")</f>
        <v/>
      </c>
      <c r="D864" s="63" t="str">
        <f>IFERROR(VLOOKUP(B864,منتجات!$A$3:$C$350,3,0),"")</f>
        <v/>
      </c>
      <c r="E864" s="63"/>
      <c r="F864" s="63" t="str">
        <f>IFERROR(INDEX(منتجات!$G$3:$G$350,MATCH(B864,منتجات!$A$3:$A$115,0)),"")</f>
        <v/>
      </c>
      <c r="G864" s="63" t="str">
        <f t="shared" si="15"/>
        <v/>
      </c>
      <c r="H864" s="69"/>
    </row>
    <row r="865" spans="1:8" x14ac:dyDescent="0.35">
      <c r="A865" s="64"/>
      <c r="B865" s="65"/>
      <c r="C865" s="65" t="str">
        <f>IFERROR(VLOOKUP(B865,منتجات!$A$3:$C$350,2,0),"")</f>
        <v/>
      </c>
      <c r="D865" s="65" t="str">
        <f>IFERROR(VLOOKUP(B865,منتجات!$A$3:$C$350,3,0),"")</f>
        <v/>
      </c>
      <c r="E865" s="65"/>
      <c r="F865" s="65" t="str">
        <f>IFERROR(INDEX(منتجات!$G$3:$G$350,MATCH(B865,منتجات!$A$3:$A$115,0)),"")</f>
        <v/>
      </c>
      <c r="G865" s="65" t="str">
        <f t="shared" si="15"/>
        <v/>
      </c>
      <c r="H865" s="70"/>
    </row>
    <row r="866" spans="1:8" x14ac:dyDescent="0.35">
      <c r="A866" s="62"/>
      <c r="B866" s="63"/>
      <c r="C866" s="63" t="str">
        <f>IFERROR(VLOOKUP(B866,منتجات!$A$3:$C$350,2,0),"")</f>
        <v/>
      </c>
      <c r="D866" s="63" t="str">
        <f>IFERROR(VLOOKUP(B866,منتجات!$A$3:$C$350,3,0),"")</f>
        <v/>
      </c>
      <c r="E866" s="63"/>
      <c r="F866" s="63" t="str">
        <f>IFERROR(INDEX(منتجات!$G$3:$G$350,MATCH(B866,منتجات!$A$3:$A$115,0)),"")</f>
        <v/>
      </c>
      <c r="G866" s="63" t="str">
        <f t="shared" si="15"/>
        <v/>
      </c>
      <c r="H866" s="69"/>
    </row>
    <row r="867" spans="1:8" x14ac:dyDescent="0.35">
      <c r="A867" s="64"/>
      <c r="B867" s="65"/>
      <c r="C867" s="65" t="str">
        <f>IFERROR(VLOOKUP(B867,منتجات!$A$3:$C$350,2,0),"")</f>
        <v/>
      </c>
      <c r="D867" s="65" t="str">
        <f>IFERROR(VLOOKUP(B867,منتجات!$A$3:$C$350,3,0),"")</f>
        <v/>
      </c>
      <c r="E867" s="65"/>
      <c r="F867" s="65" t="str">
        <f>IFERROR(INDEX(منتجات!$G$3:$G$350,MATCH(B867,منتجات!$A$3:$A$115,0)),"")</f>
        <v/>
      </c>
      <c r="G867" s="65" t="str">
        <f t="shared" si="15"/>
        <v/>
      </c>
      <c r="H867" s="70"/>
    </row>
    <row r="868" spans="1:8" x14ac:dyDescent="0.35">
      <c r="A868" s="62"/>
      <c r="B868" s="63"/>
      <c r="C868" s="63" t="str">
        <f>IFERROR(VLOOKUP(B868,منتجات!$A$3:$C$350,2,0),"")</f>
        <v/>
      </c>
      <c r="D868" s="63" t="str">
        <f>IFERROR(VLOOKUP(B868,منتجات!$A$3:$C$350,3,0),"")</f>
        <v/>
      </c>
      <c r="E868" s="63"/>
      <c r="F868" s="63" t="str">
        <f>IFERROR(INDEX(منتجات!$G$3:$G$350,MATCH(B868,منتجات!$A$3:$A$115,0)),"")</f>
        <v/>
      </c>
      <c r="G868" s="63" t="str">
        <f t="shared" si="15"/>
        <v/>
      </c>
      <c r="H868" s="69"/>
    </row>
    <row r="869" spans="1:8" x14ac:dyDescent="0.35">
      <c r="A869" s="64"/>
      <c r="B869" s="65"/>
      <c r="C869" s="65" t="str">
        <f>IFERROR(VLOOKUP(B869,منتجات!$A$3:$C$350,2,0),"")</f>
        <v/>
      </c>
      <c r="D869" s="65" t="str">
        <f>IFERROR(VLOOKUP(B869,منتجات!$A$3:$C$350,3,0),"")</f>
        <v/>
      </c>
      <c r="E869" s="65"/>
      <c r="F869" s="65" t="str">
        <f>IFERROR(INDEX(منتجات!$G$3:$G$350,MATCH(B869,منتجات!$A$3:$A$115,0)),"")</f>
        <v/>
      </c>
      <c r="G869" s="65" t="str">
        <f t="shared" si="15"/>
        <v/>
      </c>
      <c r="H869" s="70"/>
    </row>
    <row r="870" spans="1:8" x14ac:dyDescent="0.35">
      <c r="A870" s="62"/>
      <c r="B870" s="63"/>
      <c r="C870" s="63" t="str">
        <f>IFERROR(VLOOKUP(B870,منتجات!$A$3:$C$350,2,0),"")</f>
        <v/>
      </c>
      <c r="D870" s="63" t="str">
        <f>IFERROR(VLOOKUP(B870,منتجات!$A$3:$C$350,3,0),"")</f>
        <v/>
      </c>
      <c r="E870" s="63"/>
      <c r="F870" s="63" t="str">
        <f>IFERROR(INDEX(منتجات!$G$3:$G$350,MATCH(B870,منتجات!$A$3:$A$115,0)),"")</f>
        <v/>
      </c>
      <c r="G870" s="63" t="str">
        <f t="shared" si="15"/>
        <v/>
      </c>
      <c r="H870" s="69"/>
    </row>
    <row r="871" spans="1:8" x14ac:dyDescent="0.35">
      <c r="A871" s="64"/>
      <c r="B871" s="65"/>
      <c r="C871" s="65" t="str">
        <f>IFERROR(VLOOKUP(B871,منتجات!$A$3:$C$350,2,0),"")</f>
        <v/>
      </c>
      <c r="D871" s="65" t="str">
        <f>IFERROR(VLOOKUP(B871,منتجات!$A$3:$C$350,3,0),"")</f>
        <v/>
      </c>
      <c r="E871" s="65"/>
      <c r="F871" s="65" t="str">
        <f>IFERROR(INDEX(منتجات!$G$3:$G$350,MATCH(B871,منتجات!$A$3:$A$115,0)),"")</f>
        <v/>
      </c>
      <c r="G871" s="65" t="str">
        <f t="shared" si="15"/>
        <v/>
      </c>
      <c r="H871" s="70"/>
    </row>
    <row r="872" spans="1:8" x14ac:dyDescent="0.35">
      <c r="A872" s="62"/>
      <c r="B872" s="63"/>
      <c r="C872" s="63" t="str">
        <f>IFERROR(VLOOKUP(B872,منتجات!$A$3:$C$350,2,0),"")</f>
        <v/>
      </c>
      <c r="D872" s="63" t="str">
        <f>IFERROR(VLOOKUP(B872,منتجات!$A$3:$C$350,3,0),"")</f>
        <v/>
      </c>
      <c r="E872" s="63"/>
      <c r="F872" s="63" t="str">
        <f>IFERROR(INDEX(منتجات!$G$3:$G$350,MATCH(B872,منتجات!$A$3:$A$115,0)),"")</f>
        <v/>
      </c>
      <c r="G872" s="63" t="str">
        <f t="shared" si="15"/>
        <v/>
      </c>
      <c r="H872" s="69"/>
    </row>
    <row r="873" spans="1:8" x14ac:dyDescent="0.35">
      <c r="A873" s="64"/>
      <c r="B873" s="65"/>
      <c r="C873" s="65" t="str">
        <f>IFERROR(VLOOKUP(B873,منتجات!$A$3:$C$350,2,0),"")</f>
        <v/>
      </c>
      <c r="D873" s="65" t="str">
        <f>IFERROR(VLOOKUP(B873,منتجات!$A$3:$C$350,3,0),"")</f>
        <v/>
      </c>
      <c r="E873" s="65"/>
      <c r="F873" s="65" t="str">
        <f>IFERROR(INDEX(منتجات!$G$3:$G$350,MATCH(B873,منتجات!$A$3:$A$115,0)),"")</f>
        <v/>
      </c>
      <c r="G873" s="65" t="str">
        <f t="shared" si="15"/>
        <v/>
      </c>
      <c r="H873" s="70"/>
    </row>
    <row r="874" spans="1:8" x14ac:dyDescent="0.35">
      <c r="A874" s="62"/>
      <c r="B874" s="63"/>
      <c r="C874" s="63" t="str">
        <f>IFERROR(VLOOKUP(B874,منتجات!$A$3:$C$350,2,0),"")</f>
        <v/>
      </c>
      <c r="D874" s="63" t="str">
        <f>IFERROR(VLOOKUP(B874,منتجات!$A$3:$C$350,3,0),"")</f>
        <v/>
      </c>
      <c r="E874" s="63"/>
      <c r="F874" s="63" t="str">
        <f>IFERROR(INDEX(منتجات!$G$3:$G$350,MATCH(B874,منتجات!$A$3:$A$115,0)),"")</f>
        <v/>
      </c>
      <c r="G874" s="63" t="str">
        <f t="shared" si="15"/>
        <v/>
      </c>
      <c r="H874" s="69"/>
    </row>
    <row r="875" spans="1:8" x14ac:dyDescent="0.35">
      <c r="A875" s="64"/>
      <c r="B875" s="65"/>
      <c r="C875" s="65" t="str">
        <f>IFERROR(VLOOKUP(B875,منتجات!$A$3:$C$350,2,0),"")</f>
        <v/>
      </c>
      <c r="D875" s="65" t="str">
        <f>IFERROR(VLOOKUP(B875,منتجات!$A$3:$C$350,3,0),"")</f>
        <v/>
      </c>
      <c r="E875" s="65"/>
      <c r="F875" s="65" t="str">
        <f>IFERROR(INDEX(منتجات!$G$3:$G$350,MATCH(B875,منتجات!$A$3:$A$115,0)),"")</f>
        <v/>
      </c>
      <c r="G875" s="65" t="str">
        <f t="shared" si="15"/>
        <v/>
      </c>
      <c r="H875" s="70"/>
    </row>
    <row r="876" spans="1:8" x14ac:dyDescent="0.35">
      <c r="A876" s="62"/>
      <c r="B876" s="63"/>
      <c r="C876" s="63" t="str">
        <f>IFERROR(VLOOKUP(B876,منتجات!$A$3:$C$350,2,0),"")</f>
        <v/>
      </c>
      <c r="D876" s="63" t="str">
        <f>IFERROR(VLOOKUP(B876,منتجات!$A$3:$C$350,3,0),"")</f>
        <v/>
      </c>
      <c r="E876" s="63"/>
      <c r="F876" s="63" t="str">
        <f>IFERROR(INDEX(منتجات!$G$3:$G$350,MATCH(B876,منتجات!$A$3:$A$115,0)),"")</f>
        <v/>
      </c>
      <c r="G876" s="63" t="str">
        <f t="shared" si="15"/>
        <v/>
      </c>
      <c r="H876" s="69"/>
    </row>
    <row r="877" spans="1:8" x14ac:dyDescent="0.35">
      <c r="A877" s="64"/>
      <c r="B877" s="65"/>
      <c r="C877" s="65" t="str">
        <f>IFERROR(VLOOKUP(B877,منتجات!$A$3:$C$350,2,0),"")</f>
        <v/>
      </c>
      <c r="D877" s="65" t="str">
        <f>IFERROR(VLOOKUP(B877,منتجات!$A$3:$C$350,3,0),"")</f>
        <v/>
      </c>
      <c r="E877" s="65"/>
      <c r="F877" s="65" t="str">
        <f>IFERROR(INDEX(منتجات!$G$3:$G$350,MATCH(B877,منتجات!$A$3:$A$115,0)),"")</f>
        <v/>
      </c>
      <c r="G877" s="65" t="str">
        <f t="shared" si="15"/>
        <v/>
      </c>
      <c r="H877" s="70"/>
    </row>
    <row r="878" spans="1:8" x14ac:dyDescent="0.35">
      <c r="A878" s="62"/>
      <c r="B878" s="63"/>
      <c r="C878" s="63" t="str">
        <f>IFERROR(VLOOKUP(B878,منتجات!$A$3:$C$350,2,0),"")</f>
        <v/>
      </c>
      <c r="D878" s="63" t="str">
        <f>IFERROR(VLOOKUP(B878,منتجات!$A$3:$C$350,3,0),"")</f>
        <v/>
      </c>
      <c r="E878" s="63"/>
      <c r="F878" s="63" t="str">
        <f>IFERROR(INDEX(منتجات!$G$3:$G$350,MATCH(B878,منتجات!$A$3:$A$115,0)),"")</f>
        <v/>
      </c>
      <c r="G878" s="63" t="str">
        <f t="shared" si="15"/>
        <v/>
      </c>
      <c r="H878" s="69"/>
    </row>
    <row r="879" spans="1:8" x14ac:dyDescent="0.35">
      <c r="A879" s="64"/>
      <c r="B879" s="65"/>
      <c r="C879" s="65" t="str">
        <f>IFERROR(VLOOKUP(B879,منتجات!$A$3:$C$350,2,0),"")</f>
        <v/>
      </c>
      <c r="D879" s="65" t="str">
        <f>IFERROR(VLOOKUP(B879,منتجات!$A$3:$C$350,3,0),"")</f>
        <v/>
      </c>
      <c r="E879" s="65"/>
      <c r="F879" s="65" t="str">
        <f>IFERROR(INDEX(منتجات!$G$3:$G$350,MATCH(B879,منتجات!$A$3:$A$115,0)),"")</f>
        <v/>
      </c>
      <c r="G879" s="65" t="str">
        <f t="shared" si="15"/>
        <v/>
      </c>
      <c r="H879" s="70"/>
    </row>
    <row r="880" spans="1:8" x14ac:dyDescent="0.35">
      <c r="A880" s="62"/>
      <c r="B880" s="63"/>
      <c r="C880" s="63" t="str">
        <f>IFERROR(VLOOKUP(B880,منتجات!$A$3:$C$350,2,0),"")</f>
        <v/>
      </c>
      <c r="D880" s="63" t="str">
        <f>IFERROR(VLOOKUP(B880,منتجات!$A$3:$C$350,3,0),"")</f>
        <v/>
      </c>
      <c r="E880" s="63"/>
      <c r="F880" s="63" t="str">
        <f>IFERROR(INDEX(منتجات!$G$3:$G$350,MATCH(B880,منتجات!$A$3:$A$115,0)),"")</f>
        <v/>
      </c>
      <c r="G880" s="63" t="str">
        <f t="shared" si="15"/>
        <v/>
      </c>
      <c r="H880" s="69"/>
    </row>
    <row r="881" spans="1:8" x14ac:dyDescent="0.35">
      <c r="A881" s="64"/>
      <c r="B881" s="65"/>
      <c r="C881" s="65" t="str">
        <f>IFERROR(VLOOKUP(B881,منتجات!$A$3:$C$350,2,0),"")</f>
        <v/>
      </c>
      <c r="D881" s="65" t="str">
        <f>IFERROR(VLOOKUP(B881,منتجات!$A$3:$C$350,3,0),"")</f>
        <v/>
      </c>
      <c r="E881" s="65"/>
      <c r="F881" s="65" t="str">
        <f>IFERROR(INDEX(منتجات!$G$3:$G$350,MATCH(B881,منتجات!$A$3:$A$115,0)),"")</f>
        <v/>
      </c>
      <c r="G881" s="65" t="str">
        <f t="shared" si="15"/>
        <v/>
      </c>
      <c r="H881" s="70"/>
    </row>
    <row r="882" spans="1:8" x14ac:dyDescent="0.35">
      <c r="A882" s="62"/>
      <c r="B882" s="63"/>
      <c r="C882" s="63" t="str">
        <f>IFERROR(VLOOKUP(B882,منتجات!$A$3:$C$350,2,0),"")</f>
        <v/>
      </c>
      <c r="D882" s="63" t="str">
        <f>IFERROR(VLOOKUP(B882,منتجات!$A$3:$C$350,3,0),"")</f>
        <v/>
      </c>
      <c r="E882" s="63"/>
      <c r="F882" s="63" t="str">
        <f>IFERROR(INDEX(منتجات!$G$3:$G$350,MATCH(B882,منتجات!$A$3:$A$115,0)),"")</f>
        <v/>
      </c>
      <c r="G882" s="63" t="str">
        <f t="shared" si="15"/>
        <v/>
      </c>
      <c r="H882" s="69"/>
    </row>
    <row r="883" spans="1:8" x14ac:dyDescent="0.35">
      <c r="A883" s="64"/>
      <c r="B883" s="65"/>
      <c r="C883" s="65" t="str">
        <f>IFERROR(VLOOKUP(B883,منتجات!$A$3:$C$350,2,0),"")</f>
        <v/>
      </c>
      <c r="D883" s="65" t="str">
        <f>IFERROR(VLOOKUP(B883,منتجات!$A$3:$C$350,3,0),"")</f>
        <v/>
      </c>
      <c r="E883" s="65"/>
      <c r="F883" s="65" t="str">
        <f>IFERROR(INDEX(منتجات!$G$3:$G$350,MATCH(B883,منتجات!$A$3:$A$115,0)),"")</f>
        <v/>
      </c>
      <c r="G883" s="65" t="str">
        <f t="shared" si="15"/>
        <v/>
      </c>
      <c r="H883" s="70"/>
    </row>
    <row r="884" spans="1:8" x14ac:dyDescent="0.35">
      <c r="A884" s="62"/>
      <c r="B884" s="63"/>
      <c r="C884" s="63" t="str">
        <f>IFERROR(VLOOKUP(B884,منتجات!$A$3:$C$350,2,0),"")</f>
        <v/>
      </c>
      <c r="D884" s="63" t="str">
        <f>IFERROR(VLOOKUP(B884,منتجات!$A$3:$C$350,3,0),"")</f>
        <v/>
      </c>
      <c r="E884" s="63"/>
      <c r="F884" s="63" t="str">
        <f>IFERROR(INDEX(منتجات!$G$3:$G$350,MATCH(B884,منتجات!$A$3:$A$115,0)),"")</f>
        <v/>
      </c>
      <c r="G884" s="63" t="str">
        <f t="shared" si="15"/>
        <v/>
      </c>
      <c r="H884" s="69"/>
    </row>
    <row r="885" spans="1:8" x14ac:dyDescent="0.35">
      <c r="A885" s="64"/>
      <c r="B885" s="65"/>
      <c r="C885" s="65" t="str">
        <f>IFERROR(VLOOKUP(B885,منتجات!$A$3:$C$350,2,0),"")</f>
        <v/>
      </c>
      <c r="D885" s="65" t="str">
        <f>IFERROR(VLOOKUP(B885,منتجات!$A$3:$C$350,3,0),"")</f>
        <v/>
      </c>
      <c r="E885" s="65"/>
      <c r="F885" s="65" t="str">
        <f>IFERROR(INDEX(منتجات!$G$3:$G$350,MATCH(B885,منتجات!$A$3:$A$115,0)),"")</f>
        <v/>
      </c>
      <c r="G885" s="65" t="str">
        <f t="shared" si="15"/>
        <v/>
      </c>
      <c r="H885" s="70"/>
    </row>
    <row r="886" spans="1:8" x14ac:dyDescent="0.35">
      <c r="A886" s="62"/>
      <c r="B886" s="63"/>
      <c r="C886" s="63" t="str">
        <f>IFERROR(VLOOKUP(B886,منتجات!$A$3:$C$350,2,0),"")</f>
        <v/>
      </c>
      <c r="D886" s="63" t="str">
        <f>IFERROR(VLOOKUP(B886,منتجات!$A$3:$C$350,3,0),"")</f>
        <v/>
      </c>
      <c r="E886" s="63"/>
      <c r="F886" s="63" t="str">
        <f>IFERROR(INDEX(منتجات!$G$3:$G$350,MATCH(B886,منتجات!$A$3:$A$115,0)),"")</f>
        <v/>
      </c>
      <c r="G886" s="63" t="str">
        <f t="shared" si="15"/>
        <v/>
      </c>
      <c r="H886" s="69"/>
    </row>
    <row r="887" spans="1:8" x14ac:dyDescent="0.35">
      <c r="A887" s="64"/>
      <c r="B887" s="65"/>
      <c r="C887" s="65" t="str">
        <f>IFERROR(VLOOKUP(B887,منتجات!$A$3:$C$350,2,0),"")</f>
        <v/>
      </c>
      <c r="D887" s="65" t="str">
        <f>IFERROR(VLOOKUP(B887,منتجات!$A$3:$C$350,3,0),"")</f>
        <v/>
      </c>
      <c r="E887" s="65"/>
      <c r="F887" s="65" t="str">
        <f>IFERROR(INDEX(منتجات!$G$3:$G$350,MATCH(B887,منتجات!$A$3:$A$115,0)),"")</f>
        <v/>
      </c>
      <c r="G887" s="65" t="str">
        <f t="shared" si="15"/>
        <v/>
      </c>
      <c r="H887" s="70"/>
    </row>
    <row r="888" spans="1:8" x14ac:dyDescent="0.35">
      <c r="A888" s="62"/>
      <c r="B888" s="63"/>
      <c r="C888" s="63" t="str">
        <f>IFERROR(VLOOKUP(B888,منتجات!$A$3:$C$350,2,0),"")</f>
        <v/>
      </c>
      <c r="D888" s="63" t="str">
        <f>IFERROR(VLOOKUP(B888,منتجات!$A$3:$C$350,3,0),"")</f>
        <v/>
      </c>
      <c r="E888" s="63"/>
      <c r="F888" s="63" t="str">
        <f>IFERROR(INDEX(منتجات!$G$3:$G$350,MATCH(B888,منتجات!$A$3:$A$115,0)),"")</f>
        <v/>
      </c>
      <c r="G888" s="63" t="str">
        <f t="shared" si="15"/>
        <v/>
      </c>
      <c r="H888" s="69"/>
    </row>
    <row r="889" spans="1:8" x14ac:dyDescent="0.35">
      <c r="A889" s="64"/>
      <c r="B889" s="65"/>
      <c r="C889" s="65" t="str">
        <f>IFERROR(VLOOKUP(B889,منتجات!$A$3:$C$350,2,0),"")</f>
        <v/>
      </c>
      <c r="D889" s="65" t="str">
        <f>IFERROR(VLOOKUP(B889,منتجات!$A$3:$C$350,3,0),"")</f>
        <v/>
      </c>
      <c r="E889" s="65"/>
      <c r="F889" s="65" t="str">
        <f>IFERROR(INDEX(منتجات!$G$3:$G$350,MATCH(B889,منتجات!$A$3:$A$115,0)),"")</f>
        <v/>
      </c>
      <c r="G889" s="65" t="str">
        <f t="shared" si="15"/>
        <v/>
      </c>
      <c r="H889" s="70"/>
    </row>
    <row r="890" spans="1:8" x14ac:dyDescent="0.35">
      <c r="A890" s="62"/>
      <c r="B890" s="63"/>
      <c r="C890" s="63" t="str">
        <f>IFERROR(VLOOKUP(B890,منتجات!$A$3:$C$350,2,0),"")</f>
        <v/>
      </c>
      <c r="D890" s="63" t="str">
        <f>IFERROR(VLOOKUP(B890,منتجات!$A$3:$C$350,3,0),"")</f>
        <v/>
      </c>
      <c r="E890" s="63"/>
      <c r="F890" s="63" t="str">
        <f>IFERROR(INDEX(منتجات!$G$3:$G$350,MATCH(B890,منتجات!$A$3:$A$115,0)),"")</f>
        <v/>
      </c>
      <c r="G890" s="63" t="str">
        <f t="shared" si="15"/>
        <v/>
      </c>
      <c r="H890" s="69"/>
    </row>
    <row r="891" spans="1:8" x14ac:dyDescent="0.35">
      <c r="A891" s="64"/>
      <c r="B891" s="65"/>
      <c r="C891" s="65" t="str">
        <f>IFERROR(VLOOKUP(B891,منتجات!$A$3:$C$350,2,0),"")</f>
        <v/>
      </c>
      <c r="D891" s="65" t="str">
        <f>IFERROR(VLOOKUP(B891,منتجات!$A$3:$C$350,3,0),"")</f>
        <v/>
      </c>
      <c r="E891" s="65"/>
      <c r="F891" s="65" t="str">
        <f>IFERROR(INDEX(منتجات!$G$3:$G$350,MATCH(B891,منتجات!$A$3:$A$115,0)),"")</f>
        <v/>
      </c>
      <c r="G891" s="65" t="str">
        <f t="shared" si="15"/>
        <v/>
      </c>
      <c r="H891" s="70"/>
    </row>
    <row r="892" spans="1:8" x14ac:dyDescent="0.35">
      <c r="A892" s="62"/>
      <c r="B892" s="63"/>
      <c r="C892" s="63" t="str">
        <f>IFERROR(VLOOKUP(B892,منتجات!$A$3:$C$350,2,0),"")</f>
        <v/>
      </c>
      <c r="D892" s="63" t="str">
        <f>IFERROR(VLOOKUP(B892,منتجات!$A$3:$C$350,3,0),"")</f>
        <v/>
      </c>
      <c r="E892" s="63"/>
      <c r="F892" s="63" t="str">
        <f>IFERROR(INDEX(منتجات!$G$3:$G$350,MATCH(B892,منتجات!$A$3:$A$115,0)),"")</f>
        <v/>
      </c>
      <c r="G892" s="63" t="str">
        <f t="shared" si="15"/>
        <v/>
      </c>
      <c r="H892" s="69"/>
    </row>
    <row r="893" spans="1:8" x14ac:dyDescent="0.35">
      <c r="A893" s="64"/>
      <c r="B893" s="65"/>
      <c r="C893" s="65" t="str">
        <f>IFERROR(VLOOKUP(B893,منتجات!$A$3:$C$350,2,0),"")</f>
        <v/>
      </c>
      <c r="D893" s="65" t="str">
        <f>IFERROR(VLOOKUP(B893,منتجات!$A$3:$C$350,3,0),"")</f>
        <v/>
      </c>
      <c r="E893" s="65"/>
      <c r="F893" s="65" t="str">
        <f>IFERROR(INDEX(منتجات!$G$3:$G$350,MATCH(B893,منتجات!$A$3:$A$115,0)),"")</f>
        <v/>
      </c>
      <c r="G893" s="65" t="str">
        <f t="shared" si="15"/>
        <v/>
      </c>
      <c r="H893" s="70"/>
    </row>
    <row r="894" spans="1:8" x14ac:dyDescent="0.35">
      <c r="A894" s="62"/>
      <c r="B894" s="63"/>
      <c r="C894" s="63" t="str">
        <f>IFERROR(VLOOKUP(B894,منتجات!$A$3:$C$350,2,0),"")</f>
        <v/>
      </c>
      <c r="D894" s="63" t="str">
        <f>IFERROR(VLOOKUP(B894,منتجات!$A$3:$C$350,3,0),"")</f>
        <v/>
      </c>
      <c r="E894" s="63"/>
      <c r="F894" s="63" t="str">
        <f>IFERROR(INDEX(منتجات!$G$3:$G$350,MATCH(B894,منتجات!$A$3:$A$115,0)),"")</f>
        <v/>
      </c>
      <c r="G894" s="63" t="str">
        <f t="shared" si="15"/>
        <v/>
      </c>
      <c r="H894" s="69"/>
    </row>
    <row r="895" spans="1:8" x14ac:dyDescent="0.35">
      <c r="A895" s="64"/>
      <c r="B895" s="65"/>
      <c r="C895" s="65" t="str">
        <f>IFERROR(VLOOKUP(B895,منتجات!$A$3:$C$350,2,0),"")</f>
        <v/>
      </c>
      <c r="D895" s="65" t="str">
        <f>IFERROR(VLOOKUP(B895,منتجات!$A$3:$C$350,3,0),"")</f>
        <v/>
      </c>
      <c r="E895" s="65"/>
      <c r="F895" s="65" t="str">
        <f>IFERROR(INDEX(منتجات!$G$3:$G$350,MATCH(B895,منتجات!$A$3:$A$115,0)),"")</f>
        <v/>
      </c>
      <c r="G895" s="65" t="str">
        <f t="shared" si="15"/>
        <v/>
      </c>
      <c r="H895" s="70"/>
    </row>
    <row r="896" spans="1:8" x14ac:dyDescent="0.35">
      <c r="A896" s="62"/>
      <c r="B896" s="63"/>
      <c r="C896" s="63" t="str">
        <f>IFERROR(VLOOKUP(B896,منتجات!$A$3:$C$350,2,0),"")</f>
        <v/>
      </c>
      <c r="D896" s="63" t="str">
        <f>IFERROR(VLOOKUP(B896,منتجات!$A$3:$C$350,3,0),"")</f>
        <v/>
      </c>
      <c r="E896" s="63"/>
      <c r="F896" s="63" t="str">
        <f>IFERROR(INDEX(منتجات!$G$3:$G$350,MATCH(B896,منتجات!$A$3:$A$115,0)),"")</f>
        <v/>
      </c>
      <c r="G896" s="63" t="str">
        <f t="shared" si="15"/>
        <v/>
      </c>
      <c r="H896" s="69"/>
    </row>
    <row r="897" spans="1:8" x14ac:dyDescent="0.35">
      <c r="A897" s="64"/>
      <c r="B897" s="65"/>
      <c r="C897" s="65" t="str">
        <f>IFERROR(VLOOKUP(B897,منتجات!$A$3:$C$350,2,0),"")</f>
        <v/>
      </c>
      <c r="D897" s="65" t="str">
        <f>IFERROR(VLOOKUP(B897,منتجات!$A$3:$C$350,3,0),"")</f>
        <v/>
      </c>
      <c r="E897" s="65"/>
      <c r="F897" s="65" t="str">
        <f>IFERROR(INDEX(منتجات!$G$3:$G$350,MATCH(B897,منتجات!$A$3:$A$115,0)),"")</f>
        <v/>
      </c>
      <c r="G897" s="65" t="str">
        <f t="shared" si="15"/>
        <v/>
      </c>
      <c r="H897" s="70"/>
    </row>
    <row r="898" spans="1:8" x14ac:dyDescent="0.35">
      <c r="A898" s="62"/>
      <c r="B898" s="63"/>
      <c r="C898" s="63" t="str">
        <f>IFERROR(VLOOKUP(B898,منتجات!$A$3:$C$350,2,0),"")</f>
        <v/>
      </c>
      <c r="D898" s="63" t="str">
        <f>IFERROR(VLOOKUP(B898,منتجات!$A$3:$C$350,3,0),"")</f>
        <v/>
      </c>
      <c r="E898" s="63"/>
      <c r="F898" s="63" t="str">
        <f>IFERROR(INDEX(منتجات!$G$3:$G$350,MATCH(B898,منتجات!$A$3:$A$115,0)),"")</f>
        <v/>
      </c>
      <c r="G898" s="63" t="str">
        <f t="shared" si="15"/>
        <v/>
      </c>
      <c r="H898" s="69"/>
    </row>
    <row r="899" spans="1:8" x14ac:dyDescent="0.35">
      <c r="A899" s="64"/>
      <c r="B899" s="65"/>
      <c r="C899" s="65" t="str">
        <f>IFERROR(VLOOKUP(B899,منتجات!$A$3:$C$350,2,0),"")</f>
        <v/>
      </c>
      <c r="D899" s="65" t="str">
        <f>IFERROR(VLOOKUP(B899,منتجات!$A$3:$C$350,3,0),"")</f>
        <v/>
      </c>
      <c r="E899" s="65"/>
      <c r="F899" s="65" t="str">
        <f>IFERROR(INDEX(منتجات!$G$3:$G$350,MATCH(B899,منتجات!$A$3:$A$115,0)),"")</f>
        <v/>
      </c>
      <c r="G899" s="65" t="str">
        <f t="shared" si="15"/>
        <v/>
      </c>
      <c r="H899" s="70"/>
    </row>
    <row r="900" spans="1:8" x14ac:dyDescent="0.35">
      <c r="A900" s="62"/>
      <c r="B900" s="63"/>
      <c r="C900" s="63" t="str">
        <f>IFERROR(VLOOKUP(B900,منتجات!$A$3:$C$350,2,0),"")</f>
        <v/>
      </c>
      <c r="D900" s="63" t="str">
        <f>IFERROR(VLOOKUP(B900,منتجات!$A$3:$C$350,3,0),"")</f>
        <v/>
      </c>
      <c r="E900" s="63"/>
      <c r="F900" s="63" t="str">
        <f>IFERROR(INDEX(منتجات!$G$3:$G$350,MATCH(B900,منتجات!$A$3:$A$115,0)),"")</f>
        <v/>
      </c>
      <c r="G900" s="63" t="str">
        <f t="shared" si="15"/>
        <v/>
      </c>
      <c r="H900" s="69"/>
    </row>
    <row r="901" spans="1:8" x14ac:dyDescent="0.35">
      <c r="A901" s="64"/>
      <c r="B901" s="65"/>
      <c r="C901" s="65" t="str">
        <f>IFERROR(VLOOKUP(B901,منتجات!$A$3:$C$350,2,0),"")</f>
        <v/>
      </c>
      <c r="D901" s="65" t="str">
        <f>IFERROR(VLOOKUP(B901,منتجات!$A$3:$C$350,3,0),"")</f>
        <v/>
      </c>
      <c r="E901" s="65"/>
      <c r="F901" s="65" t="str">
        <f>IFERROR(INDEX(منتجات!$G$3:$G$350,MATCH(B901,منتجات!$A$3:$A$115,0)),"")</f>
        <v/>
      </c>
      <c r="G901" s="65" t="str">
        <f t="shared" si="15"/>
        <v/>
      </c>
      <c r="H901" s="70"/>
    </row>
    <row r="902" spans="1:8" x14ac:dyDescent="0.35">
      <c r="A902" s="62"/>
      <c r="B902" s="63"/>
      <c r="C902" s="63" t="str">
        <f>IFERROR(VLOOKUP(B902,منتجات!$A$3:$C$350,2,0),"")</f>
        <v/>
      </c>
      <c r="D902" s="63" t="str">
        <f>IFERROR(VLOOKUP(B902,منتجات!$A$3:$C$350,3,0),"")</f>
        <v/>
      </c>
      <c r="E902" s="63"/>
      <c r="F902" s="63" t="str">
        <f>IFERROR(INDEX(منتجات!$G$3:$G$350,MATCH(B902,منتجات!$A$3:$A$115,0)),"")</f>
        <v/>
      </c>
      <c r="G902" s="63" t="str">
        <f t="shared" ref="G902:G965" si="16">IFERROR(E902*F902*D902,"")</f>
        <v/>
      </c>
      <c r="H902" s="69"/>
    </row>
    <row r="903" spans="1:8" x14ac:dyDescent="0.35">
      <c r="A903" s="64"/>
      <c r="B903" s="65"/>
      <c r="C903" s="65" t="str">
        <f>IFERROR(VLOOKUP(B903,منتجات!$A$3:$C$350,2,0),"")</f>
        <v/>
      </c>
      <c r="D903" s="65" t="str">
        <f>IFERROR(VLOOKUP(B903,منتجات!$A$3:$C$350,3,0),"")</f>
        <v/>
      </c>
      <c r="E903" s="65"/>
      <c r="F903" s="65" t="str">
        <f>IFERROR(INDEX(منتجات!$G$3:$G$350,MATCH(B903,منتجات!$A$3:$A$115,0)),"")</f>
        <v/>
      </c>
      <c r="G903" s="65" t="str">
        <f t="shared" si="16"/>
        <v/>
      </c>
      <c r="H903" s="70"/>
    </row>
    <row r="904" spans="1:8" x14ac:dyDescent="0.35">
      <c r="A904" s="62"/>
      <c r="B904" s="63"/>
      <c r="C904" s="63" t="str">
        <f>IFERROR(VLOOKUP(B904,منتجات!$A$3:$C$350,2,0),"")</f>
        <v/>
      </c>
      <c r="D904" s="63" t="str">
        <f>IFERROR(VLOOKUP(B904,منتجات!$A$3:$C$350,3,0),"")</f>
        <v/>
      </c>
      <c r="E904" s="63"/>
      <c r="F904" s="63" t="str">
        <f>IFERROR(INDEX(منتجات!$G$3:$G$350,MATCH(B904,منتجات!$A$3:$A$115,0)),"")</f>
        <v/>
      </c>
      <c r="G904" s="63" t="str">
        <f t="shared" si="16"/>
        <v/>
      </c>
      <c r="H904" s="69"/>
    </row>
    <row r="905" spans="1:8" x14ac:dyDescent="0.35">
      <c r="A905" s="64"/>
      <c r="B905" s="65"/>
      <c r="C905" s="65" t="str">
        <f>IFERROR(VLOOKUP(B905,منتجات!$A$3:$C$350,2,0),"")</f>
        <v/>
      </c>
      <c r="D905" s="65" t="str">
        <f>IFERROR(VLOOKUP(B905,منتجات!$A$3:$C$350,3,0),"")</f>
        <v/>
      </c>
      <c r="E905" s="65"/>
      <c r="F905" s="65" t="str">
        <f>IFERROR(INDEX(منتجات!$G$3:$G$350,MATCH(B905,منتجات!$A$3:$A$115,0)),"")</f>
        <v/>
      </c>
      <c r="G905" s="65" t="str">
        <f t="shared" si="16"/>
        <v/>
      </c>
      <c r="H905" s="70"/>
    </row>
    <row r="906" spans="1:8" x14ac:dyDescent="0.35">
      <c r="A906" s="62"/>
      <c r="B906" s="63"/>
      <c r="C906" s="63" t="str">
        <f>IFERROR(VLOOKUP(B906,منتجات!$A$3:$C$350,2,0),"")</f>
        <v/>
      </c>
      <c r="D906" s="63" t="str">
        <f>IFERROR(VLOOKUP(B906,منتجات!$A$3:$C$350,3,0),"")</f>
        <v/>
      </c>
      <c r="E906" s="63"/>
      <c r="F906" s="63" t="str">
        <f>IFERROR(INDEX(منتجات!$G$3:$G$350,MATCH(B906,منتجات!$A$3:$A$115,0)),"")</f>
        <v/>
      </c>
      <c r="G906" s="63" t="str">
        <f t="shared" si="16"/>
        <v/>
      </c>
      <c r="H906" s="69"/>
    </row>
    <row r="907" spans="1:8" x14ac:dyDescent="0.35">
      <c r="A907" s="64"/>
      <c r="B907" s="65"/>
      <c r="C907" s="65" t="str">
        <f>IFERROR(VLOOKUP(B907,منتجات!$A$3:$C$350,2,0),"")</f>
        <v/>
      </c>
      <c r="D907" s="65" t="str">
        <f>IFERROR(VLOOKUP(B907,منتجات!$A$3:$C$350,3,0),"")</f>
        <v/>
      </c>
      <c r="E907" s="65"/>
      <c r="F907" s="65" t="str">
        <f>IFERROR(INDEX(منتجات!$G$3:$G$350,MATCH(B907,منتجات!$A$3:$A$115,0)),"")</f>
        <v/>
      </c>
      <c r="G907" s="65" t="str">
        <f t="shared" si="16"/>
        <v/>
      </c>
      <c r="H907" s="70"/>
    </row>
    <row r="908" spans="1:8" x14ac:dyDescent="0.35">
      <c r="A908" s="62"/>
      <c r="B908" s="63"/>
      <c r="C908" s="63" t="str">
        <f>IFERROR(VLOOKUP(B908,منتجات!$A$3:$C$350,2,0),"")</f>
        <v/>
      </c>
      <c r="D908" s="63" t="str">
        <f>IFERROR(VLOOKUP(B908,منتجات!$A$3:$C$350,3,0),"")</f>
        <v/>
      </c>
      <c r="E908" s="63"/>
      <c r="F908" s="63" t="str">
        <f>IFERROR(INDEX(منتجات!$G$3:$G$350,MATCH(B908,منتجات!$A$3:$A$115,0)),"")</f>
        <v/>
      </c>
      <c r="G908" s="63" t="str">
        <f t="shared" si="16"/>
        <v/>
      </c>
      <c r="H908" s="69"/>
    </row>
    <row r="909" spans="1:8" x14ac:dyDescent="0.35">
      <c r="A909" s="64"/>
      <c r="B909" s="65"/>
      <c r="C909" s="65" t="str">
        <f>IFERROR(VLOOKUP(B909,منتجات!$A$3:$C$350,2,0),"")</f>
        <v/>
      </c>
      <c r="D909" s="65" t="str">
        <f>IFERROR(VLOOKUP(B909,منتجات!$A$3:$C$350,3,0),"")</f>
        <v/>
      </c>
      <c r="E909" s="65"/>
      <c r="F909" s="65" t="str">
        <f>IFERROR(INDEX(منتجات!$G$3:$G$350,MATCH(B909,منتجات!$A$3:$A$115,0)),"")</f>
        <v/>
      </c>
      <c r="G909" s="65" t="str">
        <f t="shared" si="16"/>
        <v/>
      </c>
      <c r="H909" s="70"/>
    </row>
    <row r="910" spans="1:8" x14ac:dyDescent="0.35">
      <c r="A910" s="62"/>
      <c r="B910" s="63"/>
      <c r="C910" s="63" t="str">
        <f>IFERROR(VLOOKUP(B910,منتجات!$A$3:$C$350,2,0),"")</f>
        <v/>
      </c>
      <c r="D910" s="63" t="str">
        <f>IFERROR(VLOOKUP(B910,منتجات!$A$3:$C$350,3,0),"")</f>
        <v/>
      </c>
      <c r="E910" s="63"/>
      <c r="F910" s="63" t="str">
        <f>IFERROR(INDEX(منتجات!$G$3:$G$350,MATCH(B910,منتجات!$A$3:$A$115,0)),"")</f>
        <v/>
      </c>
      <c r="G910" s="63" t="str">
        <f t="shared" si="16"/>
        <v/>
      </c>
      <c r="H910" s="69"/>
    </row>
    <row r="911" spans="1:8" x14ac:dyDescent="0.35">
      <c r="A911" s="64"/>
      <c r="B911" s="65"/>
      <c r="C911" s="65" t="str">
        <f>IFERROR(VLOOKUP(B911,منتجات!$A$3:$C$350,2,0),"")</f>
        <v/>
      </c>
      <c r="D911" s="65" t="str">
        <f>IFERROR(VLOOKUP(B911,منتجات!$A$3:$C$350,3,0),"")</f>
        <v/>
      </c>
      <c r="E911" s="65"/>
      <c r="F911" s="65" t="str">
        <f>IFERROR(INDEX(منتجات!$G$3:$G$350,MATCH(B911,منتجات!$A$3:$A$115,0)),"")</f>
        <v/>
      </c>
      <c r="G911" s="65" t="str">
        <f t="shared" si="16"/>
        <v/>
      </c>
      <c r="H911" s="70"/>
    </row>
    <row r="912" spans="1:8" x14ac:dyDescent="0.35">
      <c r="A912" s="62"/>
      <c r="B912" s="63"/>
      <c r="C912" s="63" t="str">
        <f>IFERROR(VLOOKUP(B912,منتجات!$A$3:$C$350,2,0),"")</f>
        <v/>
      </c>
      <c r="D912" s="63" t="str">
        <f>IFERROR(VLOOKUP(B912,منتجات!$A$3:$C$350,3,0),"")</f>
        <v/>
      </c>
      <c r="E912" s="63"/>
      <c r="F912" s="63" t="str">
        <f>IFERROR(INDEX(منتجات!$G$3:$G$350,MATCH(B912,منتجات!$A$3:$A$115,0)),"")</f>
        <v/>
      </c>
      <c r="G912" s="63" t="str">
        <f t="shared" si="16"/>
        <v/>
      </c>
      <c r="H912" s="69"/>
    </row>
    <row r="913" spans="1:8" x14ac:dyDescent="0.35">
      <c r="A913" s="64"/>
      <c r="B913" s="65"/>
      <c r="C913" s="65" t="str">
        <f>IFERROR(VLOOKUP(B913,منتجات!$A$3:$C$350,2,0),"")</f>
        <v/>
      </c>
      <c r="D913" s="65" t="str">
        <f>IFERROR(VLOOKUP(B913,منتجات!$A$3:$C$350,3,0),"")</f>
        <v/>
      </c>
      <c r="E913" s="65"/>
      <c r="F913" s="65" t="str">
        <f>IFERROR(INDEX(منتجات!$G$3:$G$350,MATCH(B913,منتجات!$A$3:$A$115,0)),"")</f>
        <v/>
      </c>
      <c r="G913" s="65" t="str">
        <f t="shared" si="16"/>
        <v/>
      </c>
      <c r="H913" s="70"/>
    </row>
    <row r="914" spans="1:8" x14ac:dyDescent="0.35">
      <c r="A914" s="62"/>
      <c r="B914" s="63"/>
      <c r="C914" s="63" t="str">
        <f>IFERROR(VLOOKUP(B914,منتجات!$A$3:$C$350,2,0),"")</f>
        <v/>
      </c>
      <c r="D914" s="63" t="str">
        <f>IFERROR(VLOOKUP(B914,منتجات!$A$3:$C$350,3,0),"")</f>
        <v/>
      </c>
      <c r="E914" s="63"/>
      <c r="F914" s="63" t="str">
        <f>IFERROR(INDEX(منتجات!$G$3:$G$350,MATCH(B914,منتجات!$A$3:$A$115,0)),"")</f>
        <v/>
      </c>
      <c r="G914" s="63" t="str">
        <f t="shared" si="16"/>
        <v/>
      </c>
      <c r="H914" s="69"/>
    </row>
    <row r="915" spans="1:8" x14ac:dyDescent="0.35">
      <c r="A915" s="64"/>
      <c r="B915" s="65"/>
      <c r="C915" s="65" t="str">
        <f>IFERROR(VLOOKUP(B915,منتجات!$A$3:$C$350,2,0),"")</f>
        <v/>
      </c>
      <c r="D915" s="65" t="str">
        <f>IFERROR(VLOOKUP(B915,منتجات!$A$3:$C$350,3,0),"")</f>
        <v/>
      </c>
      <c r="E915" s="65"/>
      <c r="F915" s="65" t="str">
        <f>IFERROR(INDEX(منتجات!$G$3:$G$350,MATCH(B915,منتجات!$A$3:$A$115,0)),"")</f>
        <v/>
      </c>
      <c r="G915" s="65" t="str">
        <f t="shared" si="16"/>
        <v/>
      </c>
      <c r="H915" s="70"/>
    </row>
    <row r="916" spans="1:8" x14ac:dyDescent="0.35">
      <c r="A916" s="62"/>
      <c r="B916" s="63"/>
      <c r="C916" s="63" t="str">
        <f>IFERROR(VLOOKUP(B916,منتجات!$A$3:$C$350,2,0),"")</f>
        <v/>
      </c>
      <c r="D916" s="63" t="str">
        <f>IFERROR(VLOOKUP(B916,منتجات!$A$3:$C$350,3,0),"")</f>
        <v/>
      </c>
      <c r="E916" s="63"/>
      <c r="F916" s="63" t="str">
        <f>IFERROR(INDEX(منتجات!$G$3:$G$350,MATCH(B916,منتجات!$A$3:$A$115,0)),"")</f>
        <v/>
      </c>
      <c r="G916" s="63" t="str">
        <f t="shared" si="16"/>
        <v/>
      </c>
      <c r="H916" s="69"/>
    </row>
    <row r="917" spans="1:8" x14ac:dyDescent="0.35">
      <c r="A917" s="64"/>
      <c r="B917" s="65"/>
      <c r="C917" s="65" t="str">
        <f>IFERROR(VLOOKUP(B917,منتجات!$A$3:$C$350,2,0),"")</f>
        <v/>
      </c>
      <c r="D917" s="65" t="str">
        <f>IFERROR(VLOOKUP(B917,منتجات!$A$3:$C$350,3,0),"")</f>
        <v/>
      </c>
      <c r="E917" s="65"/>
      <c r="F917" s="65" t="str">
        <f>IFERROR(INDEX(منتجات!$G$3:$G$350,MATCH(B917,منتجات!$A$3:$A$115,0)),"")</f>
        <v/>
      </c>
      <c r="G917" s="65" t="str">
        <f t="shared" si="16"/>
        <v/>
      </c>
      <c r="H917" s="70"/>
    </row>
    <row r="918" spans="1:8" x14ac:dyDescent="0.35">
      <c r="A918" s="62"/>
      <c r="B918" s="63"/>
      <c r="C918" s="63" t="str">
        <f>IFERROR(VLOOKUP(B918,منتجات!$A$3:$C$350,2,0),"")</f>
        <v/>
      </c>
      <c r="D918" s="63" t="str">
        <f>IFERROR(VLOOKUP(B918,منتجات!$A$3:$C$350,3,0),"")</f>
        <v/>
      </c>
      <c r="E918" s="63"/>
      <c r="F918" s="63" t="str">
        <f>IFERROR(INDEX(منتجات!$G$3:$G$350,MATCH(B918,منتجات!$A$3:$A$115,0)),"")</f>
        <v/>
      </c>
      <c r="G918" s="63" t="str">
        <f t="shared" si="16"/>
        <v/>
      </c>
      <c r="H918" s="69"/>
    </row>
    <row r="919" spans="1:8" x14ac:dyDescent="0.35">
      <c r="A919" s="64"/>
      <c r="B919" s="65"/>
      <c r="C919" s="65" t="str">
        <f>IFERROR(VLOOKUP(B919,منتجات!$A$3:$C$350,2,0),"")</f>
        <v/>
      </c>
      <c r="D919" s="65" t="str">
        <f>IFERROR(VLOOKUP(B919,منتجات!$A$3:$C$350,3,0),"")</f>
        <v/>
      </c>
      <c r="E919" s="65"/>
      <c r="F919" s="65" t="str">
        <f>IFERROR(INDEX(منتجات!$G$3:$G$350,MATCH(B919,منتجات!$A$3:$A$115,0)),"")</f>
        <v/>
      </c>
      <c r="G919" s="65" t="str">
        <f t="shared" si="16"/>
        <v/>
      </c>
      <c r="H919" s="70"/>
    </row>
    <row r="920" spans="1:8" x14ac:dyDescent="0.35">
      <c r="A920" s="62"/>
      <c r="B920" s="63"/>
      <c r="C920" s="63" t="str">
        <f>IFERROR(VLOOKUP(B920,منتجات!$A$3:$C$350,2,0),"")</f>
        <v/>
      </c>
      <c r="D920" s="63" t="str">
        <f>IFERROR(VLOOKUP(B920,منتجات!$A$3:$C$350,3,0),"")</f>
        <v/>
      </c>
      <c r="E920" s="63"/>
      <c r="F920" s="63" t="str">
        <f>IFERROR(INDEX(منتجات!$G$3:$G$350,MATCH(B920,منتجات!$A$3:$A$115,0)),"")</f>
        <v/>
      </c>
      <c r="G920" s="63" t="str">
        <f t="shared" si="16"/>
        <v/>
      </c>
      <c r="H920" s="69"/>
    </row>
    <row r="921" spans="1:8" x14ac:dyDescent="0.35">
      <c r="A921" s="64"/>
      <c r="B921" s="65"/>
      <c r="C921" s="65" t="str">
        <f>IFERROR(VLOOKUP(B921,منتجات!$A$3:$C$350,2,0),"")</f>
        <v/>
      </c>
      <c r="D921" s="65" t="str">
        <f>IFERROR(VLOOKUP(B921,منتجات!$A$3:$C$350,3,0),"")</f>
        <v/>
      </c>
      <c r="E921" s="65"/>
      <c r="F921" s="65" t="str">
        <f>IFERROR(INDEX(منتجات!$G$3:$G$350,MATCH(B921,منتجات!$A$3:$A$115,0)),"")</f>
        <v/>
      </c>
      <c r="G921" s="65" t="str">
        <f t="shared" si="16"/>
        <v/>
      </c>
      <c r="H921" s="70"/>
    </row>
    <row r="922" spans="1:8" x14ac:dyDescent="0.35">
      <c r="A922" s="62"/>
      <c r="B922" s="63"/>
      <c r="C922" s="63" t="str">
        <f>IFERROR(VLOOKUP(B922,منتجات!$A$3:$C$350,2,0),"")</f>
        <v/>
      </c>
      <c r="D922" s="63" t="str">
        <f>IFERROR(VLOOKUP(B922,منتجات!$A$3:$C$350,3,0),"")</f>
        <v/>
      </c>
      <c r="E922" s="63"/>
      <c r="F922" s="63" t="str">
        <f>IFERROR(INDEX(منتجات!$G$3:$G$350,MATCH(B922,منتجات!$A$3:$A$115,0)),"")</f>
        <v/>
      </c>
      <c r="G922" s="63" t="str">
        <f t="shared" si="16"/>
        <v/>
      </c>
      <c r="H922" s="69"/>
    </row>
    <row r="923" spans="1:8" x14ac:dyDescent="0.35">
      <c r="A923" s="64"/>
      <c r="B923" s="65"/>
      <c r="C923" s="65" t="str">
        <f>IFERROR(VLOOKUP(B923,منتجات!$A$3:$C$350,2,0),"")</f>
        <v/>
      </c>
      <c r="D923" s="65" t="str">
        <f>IFERROR(VLOOKUP(B923,منتجات!$A$3:$C$350,3,0),"")</f>
        <v/>
      </c>
      <c r="E923" s="65"/>
      <c r="F923" s="65" t="str">
        <f>IFERROR(INDEX(منتجات!$G$3:$G$350,MATCH(B923,منتجات!$A$3:$A$115,0)),"")</f>
        <v/>
      </c>
      <c r="G923" s="65" t="str">
        <f t="shared" si="16"/>
        <v/>
      </c>
      <c r="H923" s="70"/>
    </row>
    <row r="924" spans="1:8" x14ac:dyDescent="0.35">
      <c r="A924" s="62"/>
      <c r="B924" s="63"/>
      <c r="C924" s="63" t="str">
        <f>IFERROR(VLOOKUP(B924,منتجات!$A$3:$C$350,2,0),"")</f>
        <v/>
      </c>
      <c r="D924" s="63" t="str">
        <f>IFERROR(VLOOKUP(B924,منتجات!$A$3:$C$350,3,0),"")</f>
        <v/>
      </c>
      <c r="E924" s="63"/>
      <c r="F924" s="63" t="str">
        <f>IFERROR(INDEX(منتجات!$G$3:$G$350,MATCH(B924,منتجات!$A$3:$A$115,0)),"")</f>
        <v/>
      </c>
      <c r="G924" s="63" t="str">
        <f t="shared" si="16"/>
        <v/>
      </c>
      <c r="H924" s="69"/>
    </row>
    <row r="925" spans="1:8" x14ac:dyDescent="0.35">
      <c r="A925" s="64"/>
      <c r="B925" s="65"/>
      <c r="C925" s="65" t="str">
        <f>IFERROR(VLOOKUP(B925,منتجات!$A$3:$C$350,2,0),"")</f>
        <v/>
      </c>
      <c r="D925" s="65" t="str">
        <f>IFERROR(VLOOKUP(B925,منتجات!$A$3:$C$350,3,0),"")</f>
        <v/>
      </c>
      <c r="E925" s="65"/>
      <c r="F925" s="65" t="str">
        <f>IFERROR(INDEX(منتجات!$G$3:$G$350,MATCH(B925,منتجات!$A$3:$A$115,0)),"")</f>
        <v/>
      </c>
      <c r="G925" s="65" t="str">
        <f t="shared" si="16"/>
        <v/>
      </c>
      <c r="H925" s="70"/>
    </row>
    <row r="926" spans="1:8" x14ac:dyDescent="0.35">
      <c r="A926" s="62"/>
      <c r="B926" s="63"/>
      <c r="C926" s="63" t="str">
        <f>IFERROR(VLOOKUP(B926,منتجات!$A$3:$C$350,2,0),"")</f>
        <v/>
      </c>
      <c r="D926" s="63" t="str">
        <f>IFERROR(VLOOKUP(B926,منتجات!$A$3:$C$350,3,0),"")</f>
        <v/>
      </c>
      <c r="E926" s="63"/>
      <c r="F926" s="63" t="str">
        <f>IFERROR(INDEX(منتجات!$G$3:$G$350,MATCH(B926,منتجات!$A$3:$A$115,0)),"")</f>
        <v/>
      </c>
      <c r="G926" s="63" t="str">
        <f t="shared" si="16"/>
        <v/>
      </c>
      <c r="H926" s="69"/>
    </row>
    <row r="927" spans="1:8" x14ac:dyDescent="0.35">
      <c r="A927" s="64"/>
      <c r="B927" s="65"/>
      <c r="C927" s="65" t="str">
        <f>IFERROR(VLOOKUP(B927,منتجات!$A$3:$C$350,2,0),"")</f>
        <v/>
      </c>
      <c r="D927" s="65" t="str">
        <f>IFERROR(VLOOKUP(B927,منتجات!$A$3:$C$350,3,0),"")</f>
        <v/>
      </c>
      <c r="E927" s="65"/>
      <c r="F927" s="65" t="str">
        <f>IFERROR(INDEX(منتجات!$G$3:$G$350,MATCH(B927,منتجات!$A$3:$A$115,0)),"")</f>
        <v/>
      </c>
      <c r="G927" s="65" t="str">
        <f t="shared" si="16"/>
        <v/>
      </c>
      <c r="H927" s="70"/>
    </row>
    <row r="928" spans="1:8" x14ac:dyDescent="0.35">
      <c r="A928" s="62"/>
      <c r="B928" s="63"/>
      <c r="C928" s="63" t="str">
        <f>IFERROR(VLOOKUP(B928,منتجات!$A$3:$C$350,2,0),"")</f>
        <v/>
      </c>
      <c r="D928" s="63" t="str">
        <f>IFERROR(VLOOKUP(B928,منتجات!$A$3:$C$350,3,0),"")</f>
        <v/>
      </c>
      <c r="E928" s="63"/>
      <c r="F928" s="63" t="str">
        <f>IFERROR(INDEX(منتجات!$G$3:$G$350,MATCH(B928,منتجات!$A$3:$A$115,0)),"")</f>
        <v/>
      </c>
      <c r="G928" s="63" t="str">
        <f t="shared" si="16"/>
        <v/>
      </c>
      <c r="H928" s="69"/>
    </row>
    <row r="929" spans="1:8" x14ac:dyDescent="0.35">
      <c r="A929" s="64"/>
      <c r="B929" s="65"/>
      <c r="C929" s="65" t="str">
        <f>IFERROR(VLOOKUP(B929,منتجات!$A$3:$C$350,2,0),"")</f>
        <v/>
      </c>
      <c r="D929" s="65" t="str">
        <f>IFERROR(VLOOKUP(B929,منتجات!$A$3:$C$350,3,0),"")</f>
        <v/>
      </c>
      <c r="E929" s="65"/>
      <c r="F929" s="65" t="str">
        <f>IFERROR(INDEX(منتجات!$G$3:$G$350,MATCH(B929,منتجات!$A$3:$A$115,0)),"")</f>
        <v/>
      </c>
      <c r="G929" s="65" t="str">
        <f t="shared" si="16"/>
        <v/>
      </c>
      <c r="H929" s="70"/>
    </row>
    <row r="930" spans="1:8" x14ac:dyDescent="0.35">
      <c r="A930" s="62"/>
      <c r="B930" s="63"/>
      <c r="C930" s="63" t="str">
        <f>IFERROR(VLOOKUP(B930,منتجات!$A$3:$C$350,2,0),"")</f>
        <v/>
      </c>
      <c r="D930" s="63" t="str">
        <f>IFERROR(VLOOKUP(B930,منتجات!$A$3:$C$350,3,0),"")</f>
        <v/>
      </c>
      <c r="E930" s="63"/>
      <c r="F930" s="63" t="str">
        <f>IFERROR(INDEX(منتجات!$G$3:$G$350,MATCH(B930,منتجات!$A$3:$A$115,0)),"")</f>
        <v/>
      </c>
      <c r="G930" s="63" t="str">
        <f t="shared" si="16"/>
        <v/>
      </c>
      <c r="H930" s="69"/>
    </row>
    <row r="931" spans="1:8" x14ac:dyDescent="0.35">
      <c r="A931" s="64"/>
      <c r="B931" s="65"/>
      <c r="C931" s="65" t="str">
        <f>IFERROR(VLOOKUP(B931,منتجات!$A$3:$C$350,2,0),"")</f>
        <v/>
      </c>
      <c r="D931" s="65" t="str">
        <f>IFERROR(VLOOKUP(B931,منتجات!$A$3:$C$350,3,0),"")</f>
        <v/>
      </c>
      <c r="E931" s="65"/>
      <c r="F931" s="65" t="str">
        <f>IFERROR(INDEX(منتجات!$G$3:$G$350,MATCH(B931,منتجات!$A$3:$A$115,0)),"")</f>
        <v/>
      </c>
      <c r="G931" s="65" t="str">
        <f t="shared" si="16"/>
        <v/>
      </c>
      <c r="H931" s="70"/>
    </row>
    <row r="932" spans="1:8" x14ac:dyDescent="0.35">
      <c r="A932" s="62"/>
      <c r="B932" s="63"/>
      <c r="C932" s="63" t="str">
        <f>IFERROR(VLOOKUP(B932,منتجات!$A$3:$C$350,2,0),"")</f>
        <v/>
      </c>
      <c r="D932" s="63" t="str">
        <f>IFERROR(VLOOKUP(B932,منتجات!$A$3:$C$350,3,0),"")</f>
        <v/>
      </c>
      <c r="E932" s="63"/>
      <c r="F932" s="63" t="str">
        <f>IFERROR(INDEX(منتجات!$G$3:$G$350,MATCH(B932,منتجات!$A$3:$A$115,0)),"")</f>
        <v/>
      </c>
      <c r="G932" s="63" t="str">
        <f t="shared" si="16"/>
        <v/>
      </c>
      <c r="H932" s="69"/>
    </row>
    <row r="933" spans="1:8" x14ac:dyDescent="0.35">
      <c r="A933" s="64"/>
      <c r="B933" s="65"/>
      <c r="C933" s="65" t="str">
        <f>IFERROR(VLOOKUP(B933,منتجات!$A$3:$C$350,2,0),"")</f>
        <v/>
      </c>
      <c r="D933" s="65" t="str">
        <f>IFERROR(VLOOKUP(B933,منتجات!$A$3:$C$350,3,0),"")</f>
        <v/>
      </c>
      <c r="E933" s="65"/>
      <c r="F933" s="65" t="str">
        <f>IFERROR(INDEX(منتجات!$G$3:$G$350,MATCH(B933,منتجات!$A$3:$A$115,0)),"")</f>
        <v/>
      </c>
      <c r="G933" s="65" t="str">
        <f t="shared" si="16"/>
        <v/>
      </c>
      <c r="H933" s="70"/>
    </row>
    <row r="934" spans="1:8" x14ac:dyDescent="0.35">
      <c r="A934" s="62"/>
      <c r="B934" s="63"/>
      <c r="C934" s="63" t="str">
        <f>IFERROR(VLOOKUP(B934,منتجات!$A$3:$C$350,2,0),"")</f>
        <v/>
      </c>
      <c r="D934" s="63" t="str">
        <f>IFERROR(VLOOKUP(B934,منتجات!$A$3:$C$350,3,0),"")</f>
        <v/>
      </c>
      <c r="E934" s="63"/>
      <c r="F934" s="63" t="str">
        <f>IFERROR(INDEX(منتجات!$G$3:$G$350,MATCH(B934,منتجات!$A$3:$A$115,0)),"")</f>
        <v/>
      </c>
      <c r="G934" s="63" t="str">
        <f t="shared" si="16"/>
        <v/>
      </c>
      <c r="H934" s="69"/>
    </row>
    <row r="935" spans="1:8" x14ac:dyDescent="0.35">
      <c r="A935" s="64"/>
      <c r="B935" s="65"/>
      <c r="C935" s="65" t="str">
        <f>IFERROR(VLOOKUP(B935,منتجات!$A$3:$C$350,2,0),"")</f>
        <v/>
      </c>
      <c r="D935" s="65" t="str">
        <f>IFERROR(VLOOKUP(B935,منتجات!$A$3:$C$350,3,0),"")</f>
        <v/>
      </c>
      <c r="E935" s="65"/>
      <c r="F935" s="65" t="str">
        <f>IFERROR(INDEX(منتجات!$G$3:$G$350,MATCH(B935,منتجات!$A$3:$A$115,0)),"")</f>
        <v/>
      </c>
      <c r="G935" s="65" t="str">
        <f t="shared" si="16"/>
        <v/>
      </c>
      <c r="H935" s="70"/>
    </row>
    <row r="936" spans="1:8" x14ac:dyDescent="0.35">
      <c r="A936" s="62"/>
      <c r="B936" s="63"/>
      <c r="C936" s="63" t="str">
        <f>IFERROR(VLOOKUP(B936,منتجات!$A$3:$C$350,2,0),"")</f>
        <v/>
      </c>
      <c r="D936" s="63" t="str">
        <f>IFERROR(VLOOKUP(B936,منتجات!$A$3:$C$350,3,0),"")</f>
        <v/>
      </c>
      <c r="E936" s="63"/>
      <c r="F936" s="63" t="str">
        <f>IFERROR(INDEX(منتجات!$G$3:$G$350,MATCH(B936,منتجات!$A$3:$A$115,0)),"")</f>
        <v/>
      </c>
      <c r="G936" s="63" t="str">
        <f t="shared" si="16"/>
        <v/>
      </c>
      <c r="H936" s="69"/>
    </row>
    <row r="937" spans="1:8" x14ac:dyDescent="0.35">
      <c r="A937" s="64"/>
      <c r="B937" s="65"/>
      <c r="C937" s="65" t="str">
        <f>IFERROR(VLOOKUP(B937,منتجات!$A$3:$C$350,2,0),"")</f>
        <v/>
      </c>
      <c r="D937" s="65" t="str">
        <f>IFERROR(VLOOKUP(B937,منتجات!$A$3:$C$350,3,0),"")</f>
        <v/>
      </c>
      <c r="E937" s="65"/>
      <c r="F937" s="65" t="str">
        <f>IFERROR(INDEX(منتجات!$G$3:$G$350,MATCH(B937,منتجات!$A$3:$A$115,0)),"")</f>
        <v/>
      </c>
      <c r="G937" s="65" t="str">
        <f t="shared" si="16"/>
        <v/>
      </c>
      <c r="H937" s="70"/>
    </row>
    <row r="938" spans="1:8" x14ac:dyDescent="0.35">
      <c r="A938" s="62"/>
      <c r="B938" s="63"/>
      <c r="C938" s="63" t="str">
        <f>IFERROR(VLOOKUP(B938,منتجات!$A$3:$C$350,2,0),"")</f>
        <v/>
      </c>
      <c r="D938" s="63" t="str">
        <f>IFERROR(VLOOKUP(B938,منتجات!$A$3:$C$350,3,0),"")</f>
        <v/>
      </c>
      <c r="E938" s="63"/>
      <c r="F938" s="63" t="str">
        <f>IFERROR(INDEX(منتجات!$G$3:$G$350,MATCH(B938,منتجات!$A$3:$A$115,0)),"")</f>
        <v/>
      </c>
      <c r="G938" s="63" t="str">
        <f t="shared" si="16"/>
        <v/>
      </c>
      <c r="H938" s="69"/>
    </row>
    <row r="939" spans="1:8" x14ac:dyDescent="0.35">
      <c r="A939" s="64"/>
      <c r="B939" s="65"/>
      <c r="C939" s="65" t="str">
        <f>IFERROR(VLOOKUP(B939,منتجات!$A$3:$C$350,2,0),"")</f>
        <v/>
      </c>
      <c r="D939" s="65" t="str">
        <f>IFERROR(VLOOKUP(B939,منتجات!$A$3:$C$350,3,0),"")</f>
        <v/>
      </c>
      <c r="E939" s="65"/>
      <c r="F939" s="65" t="str">
        <f>IFERROR(INDEX(منتجات!$G$3:$G$350,MATCH(B939,منتجات!$A$3:$A$115,0)),"")</f>
        <v/>
      </c>
      <c r="G939" s="65" t="str">
        <f t="shared" si="16"/>
        <v/>
      </c>
      <c r="H939" s="70"/>
    </row>
    <row r="940" spans="1:8" x14ac:dyDescent="0.35">
      <c r="A940" s="62"/>
      <c r="B940" s="63"/>
      <c r="C940" s="63" t="str">
        <f>IFERROR(VLOOKUP(B940,منتجات!$A$3:$C$350,2,0),"")</f>
        <v/>
      </c>
      <c r="D940" s="63" t="str">
        <f>IFERROR(VLOOKUP(B940,منتجات!$A$3:$C$350,3,0),"")</f>
        <v/>
      </c>
      <c r="E940" s="63"/>
      <c r="F940" s="63" t="str">
        <f>IFERROR(INDEX(منتجات!$G$3:$G$350,MATCH(B940,منتجات!$A$3:$A$115,0)),"")</f>
        <v/>
      </c>
      <c r="G940" s="63" t="str">
        <f t="shared" si="16"/>
        <v/>
      </c>
      <c r="H940" s="69"/>
    </row>
    <row r="941" spans="1:8" x14ac:dyDescent="0.35">
      <c r="A941" s="64"/>
      <c r="B941" s="65"/>
      <c r="C941" s="65" t="str">
        <f>IFERROR(VLOOKUP(B941,منتجات!$A$3:$C$350,2,0),"")</f>
        <v/>
      </c>
      <c r="D941" s="65" t="str">
        <f>IFERROR(VLOOKUP(B941,منتجات!$A$3:$C$350,3,0),"")</f>
        <v/>
      </c>
      <c r="E941" s="65"/>
      <c r="F941" s="65" t="str">
        <f>IFERROR(INDEX(منتجات!$G$3:$G$350,MATCH(B941,منتجات!$A$3:$A$115,0)),"")</f>
        <v/>
      </c>
      <c r="G941" s="65" t="str">
        <f t="shared" si="16"/>
        <v/>
      </c>
      <c r="H941" s="70"/>
    </row>
    <row r="942" spans="1:8" x14ac:dyDescent="0.35">
      <c r="A942" s="62"/>
      <c r="B942" s="63"/>
      <c r="C942" s="63" t="str">
        <f>IFERROR(VLOOKUP(B942,منتجات!$A$3:$C$350,2,0),"")</f>
        <v/>
      </c>
      <c r="D942" s="63" t="str">
        <f>IFERROR(VLOOKUP(B942,منتجات!$A$3:$C$350,3,0),"")</f>
        <v/>
      </c>
      <c r="E942" s="63"/>
      <c r="F942" s="63" t="str">
        <f>IFERROR(INDEX(منتجات!$G$3:$G$350,MATCH(B942,منتجات!$A$3:$A$115,0)),"")</f>
        <v/>
      </c>
      <c r="G942" s="63" t="str">
        <f t="shared" si="16"/>
        <v/>
      </c>
      <c r="H942" s="69"/>
    </row>
    <row r="943" spans="1:8" x14ac:dyDescent="0.35">
      <c r="A943" s="64"/>
      <c r="B943" s="65"/>
      <c r="C943" s="65" t="str">
        <f>IFERROR(VLOOKUP(B943,منتجات!$A$3:$C$350,2,0),"")</f>
        <v/>
      </c>
      <c r="D943" s="65" t="str">
        <f>IFERROR(VLOOKUP(B943,منتجات!$A$3:$C$350,3,0),"")</f>
        <v/>
      </c>
      <c r="E943" s="65"/>
      <c r="F943" s="65" t="str">
        <f>IFERROR(INDEX(منتجات!$G$3:$G$350,MATCH(B943,منتجات!$A$3:$A$115,0)),"")</f>
        <v/>
      </c>
      <c r="G943" s="65" t="str">
        <f t="shared" si="16"/>
        <v/>
      </c>
      <c r="H943" s="70"/>
    </row>
    <row r="944" spans="1:8" x14ac:dyDescent="0.35">
      <c r="A944" s="62"/>
      <c r="B944" s="63"/>
      <c r="C944" s="63" t="str">
        <f>IFERROR(VLOOKUP(B944,منتجات!$A$3:$C$350,2,0),"")</f>
        <v/>
      </c>
      <c r="D944" s="63" t="str">
        <f>IFERROR(VLOOKUP(B944,منتجات!$A$3:$C$350,3,0),"")</f>
        <v/>
      </c>
      <c r="E944" s="63"/>
      <c r="F944" s="63" t="str">
        <f>IFERROR(INDEX(منتجات!$G$3:$G$350,MATCH(B944,منتجات!$A$3:$A$115,0)),"")</f>
        <v/>
      </c>
      <c r="G944" s="63" t="str">
        <f t="shared" si="16"/>
        <v/>
      </c>
      <c r="H944" s="69"/>
    </row>
    <row r="945" spans="1:8" x14ac:dyDescent="0.35">
      <c r="A945" s="64"/>
      <c r="B945" s="65"/>
      <c r="C945" s="65" t="str">
        <f>IFERROR(VLOOKUP(B945,منتجات!$A$3:$C$350,2,0),"")</f>
        <v/>
      </c>
      <c r="D945" s="65" t="str">
        <f>IFERROR(VLOOKUP(B945,منتجات!$A$3:$C$350,3,0),"")</f>
        <v/>
      </c>
      <c r="E945" s="65"/>
      <c r="F945" s="65" t="str">
        <f>IFERROR(INDEX(منتجات!$G$3:$G$350,MATCH(B945,منتجات!$A$3:$A$115,0)),"")</f>
        <v/>
      </c>
      <c r="G945" s="65" t="str">
        <f t="shared" si="16"/>
        <v/>
      </c>
      <c r="H945" s="70"/>
    </row>
    <row r="946" spans="1:8" x14ac:dyDescent="0.35">
      <c r="A946" s="62"/>
      <c r="B946" s="63"/>
      <c r="C946" s="63" t="str">
        <f>IFERROR(VLOOKUP(B946,منتجات!$A$3:$C$350,2,0),"")</f>
        <v/>
      </c>
      <c r="D946" s="63" t="str">
        <f>IFERROR(VLOOKUP(B946,منتجات!$A$3:$C$350,3,0),"")</f>
        <v/>
      </c>
      <c r="E946" s="63"/>
      <c r="F946" s="63" t="str">
        <f>IFERROR(INDEX(منتجات!$G$3:$G$350,MATCH(B946,منتجات!$A$3:$A$115,0)),"")</f>
        <v/>
      </c>
      <c r="G946" s="63" t="str">
        <f t="shared" si="16"/>
        <v/>
      </c>
      <c r="H946" s="69"/>
    </row>
    <row r="947" spans="1:8" x14ac:dyDescent="0.35">
      <c r="A947" s="64"/>
      <c r="B947" s="65"/>
      <c r="C947" s="65" t="str">
        <f>IFERROR(VLOOKUP(B947,منتجات!$A$3:$C$350,2,0),"")</f>
        <v/>
      </c>
      <c r="D947" s="65" t="str">
        <f>IFERROR(VLOOKUP(B947,منتجات!$A$3:$C$350,3,0),"")</f>
        <v/>
      </c>
      <c r="E947" s="65"/>
      <c r="F947" s="65" t="str">
        <f>IFERROR(INDEX(منتجات!$G$3:$G$350,MATCH(B947,منتجات!$A$3:$A$115,0)),"")</f>
        <v/>
      </c>
      <c r="G947" s="65" t="str">
        <f t="shared" si="16"/>
        <v/>
      </c>
      <c r="H947" s="70"/>
    </row>
    <row r="948" spans="1:8" x14ac:dyDescent="0.35">
      <c r="A948" s="62"/>
      <c r="B948" s="63"/>
      <c r="C948" s="63" t="str">
        <f>IFERROR(VLOOKUP(B948,منتجات!$A$3:$C$350,2,0),"")</f>
        <v/>
      </c>
      <c r="D948" s="63" t="str">
        <f>IFERROR(VLOOKUP(B948,منتجات!$A$3:$C$350,3,0),"")</f>
        <v/>
      </c>
      <c r="E948" s="63"/>
      <c r="F948" s="63" t="str">
        <f>IFERROR(INDEX(منتجات!$G$3:$G$350,MATCH(B948,منتجات!$A$3:$A$115,0)),"")</f>
        <v/>
      </c>
      <c r="G948" s="63" t="str">
        <f t="shared" si="16"/>
        <v/>
      </c>
      <c r="H948" s="69"/>
    </row>
    <row r="949" spans="1:8" x14ac:dyDescent="0.35">
      <c r="A949" s="64"/>
      <c r="B949" s="65"/>
      <c r="C949" s="65" t="str">
        <f>IFERROR(VLOOKUP(B949,منتجات!$A$3:$C$350,2,0),"")</f>
        <v/>
      </c>
      <c r="D949" s="65" t="str">
        <f>IFERROR(VLOOKUP(B949,منتجات!$A$3:$C$350,3,0),"")</f>
        <v/>
      </c>
      <c r="E949" s="65"/>
      <c r="F949" s="65" t="str">
        <f>IFERROR(INDEX(منتجات!$G$3:$G$350,MATCH(B949,منتجات!$A$3:$A$115,0)),"")</f>
        <v/>
      </c>
      <c r="G949" s="65" t="str">
        <f t="shared" si="16"/>
        <v/>
      </c>
      <c r="H949" s="70"/>
    </row>
    <row r="950" spans="1:8" x14ac:dyDescent="0.35">
      <c r="A950" s="62"/>
      <c r="B950" s="63"/>
      <c r="C950" s="63" t="str">
        <f>IFERROR(VLOOKUP(B950,منتجات!$A$3:$C$350,2,0),"")</f>
        <v/>
      </c>
      <c r="D950" s="63" t="str">
        <f>IFERROR(VLOOKUP(B950,منتجات!$A$3:$C$350,3,0),"")</f>
        <v/>
      </c>
      <c r="E950" s="63"/>
      <c r="F950" s="63" t="str">
        <f>IFERROR(INDEX(منتجات!$G$3:$G$350,MATCH(B950,منتجات!$A$3:$A$115,0)),"")</f>
        <v/>
      </c>
      <c r="G950" s="63" t="str">
        <f t="shared" si="16"/>
        <v/>
      </c>
      <c r="H950" s="69"/>
    </row>
    <row r="951" spans="1:8" x14ac:dyDescent="0.35">
      <c r="A951" s="64"/>
      <c r="B951" s="65"/>
      <c r="C951" s="65" t="str">
        <f>IFERROR(VLOOKUP(B951,منتجات!$A$3:$C$350,2,0),"")</f>
        <v/>
      </c>
      <c r="D951" s="65" t="str">
        <f>IFERROR(VLOOKUP(B951,منتجات!$A$3:$C$350,3,0),"")</f>
        <v/>
      </c>
      <c r="E951" s="65"/>
      <c r="F951" s="65" t="str">
        <f>IFERROR(INDEX(منتجات!$G$3:$G$350,MATCH(B951,منتجات!$A$3:$A$115,0)),"")</f>
        <v/>
      </c>
      <c r="G951" s="65" t="str">
        <f t="shared" si="16"/>
        <v/>
      </c>
      <c r="H951" s="70"/>
    </row>
    <row r="952" spans="1:8" x14ac:dyDescent="0.35">
      <c r="A952" s="62"/>
      <c r="B952" s="63"/>
      <c r="C952" s="63" t="str">
        <f>IFERROR(VLOOKUP(B952,منتجات!$A$3:$C$350,2,0),"")</f>
        <v/>
      </c>
      <c r="D952" s="63" t="str">
        <f>IFERROR(VLOOKUP(B952,منتجات!$A$3:$C$350,3,0),"")</f>
        <v/>
      </c>
      <c r="E952" s="63"/>
      <c r="F952" s="63" t="str">
        <f>IFERROR(INDEX(منتجات!$G$3:$G$350,MATCH(B952,منتجات!$A$3:$A$115,0)),"")</f>
        <v/>
      </c>
      <c r="G952" s="63" t="str">
        <f t="shared" si="16"/>
        <v/>
      </c>
      <c r="H952" s="69"/>
    </row>
    <row r="953" spans="1:8" x14ac:dyDescent="0.35">
      <c r="A953" s="64"/>
      <c r="B953" s="65"/>
      <c r="C953" s="65" t="str">
        <f>IFERROR(VLOOKUP(B953,منتجات!$A$3:$C$350,2,0),"")</f>
        <v/>
      </c>
      <c r="D953" s="65" t="str">
        <f>IFERROR(VLOOKUP(B953,منتجات!$A$3:$C$350,3,0),"")</f>
        <v/>
      </c>
      <c r="E953" s="65"/>
      <c r="F953" s="65" t="str">
        <f>IFERROR(INDEX(منتجات!$G$3:$G$350,MATCH(B953,منتجات!$A$3:$A$115,0)),"")</f>
        <v/>
      </c>
      <c r="G953" s="65" t="str">
        <f t="shared" si="16"/>
        <v/>
      </c>
      <c r="H953" s="70"/>
    </row>
    <row r="954" spans="1:8" x14ac:dyDescent="0.35">
      <c r="A954" s="62"/>
      <c r="B954" s="63"/>
      <c r="C954" s="63" t="str">
        <f>IFERROR(VLOOKUP(B954,منتجات!$A$3:$C$350,2,0),"")</f>
        <v/>
      </c>
      <c r="D954" s="63" t="str">
        <f>IFERROR(VLOOKUP(B954,منتجات!$A$3:$C$350,3,0),"")</f>
        <v/>
      </c>
      <c r="E954" s="63"/>
      <c r="F954" s="63" t="str">
        <f>IFERROR(INDEX(منتجات!$G$3:$G$350,MATCH(B954,منتجات!$A$3:$A$115,0)),"")</f>
        <v/>
      </c>
      <c r="G954" s="63" t="str">
        <f t="shared" si="16"/>
        <v/>
      </c>
      <c r="H954" s="69"/>
    </row>
    <row r="955" spans="1:8" x14ac:dyDescent="0.35">
      <c r="A955" s="64"/>
      <c r="B955" s="65"/>
      <c r="C955" s="65" t="str">
        <f>IFERROR(VLOOKUP(B955,منتجات!$A$3:$C$350,2,0),"")</f>
        <v/>
      </c>
      <c r="D955" s="65" t="str">
        <f>IFERROR(VLOOKUP(B955,منتجات!$A$3:$C$350,3,0),"")</f>
        <v/>
      </c>
      <c r="E955" s="65"/>
      <c r="F955" s="65" t="str">
        <f>IFERROR(INDEX(منتجات!$G$3:$G$350,MATCH(B955,منتجات!$A$3:$A$115,0)),"")</f>
        <v/>
      </c>
      <c r="G955" s="65" t="str">
        <f t="shared" si="16"/>
        <v/>
      </c>
      <c r="H955" s="70"/>
    </row>
    <row r="956" spans="1:8" x14ac:dyDescent="0.35">
      <c r="A956" s="62"/>
      <c r="B956" s="63"/>
      <c r="C956" s="63" t="str">
        <f>IFERROR(VLOOKUP(B956,منتجات!$A$3:$C$350,2,0),"")</f>
        <v/>
      </c>
      <c r="D956" s="63" t="str">
        <f>IFERROR(VLOOKUP(B956,منتجات!$A$3:$C$350,3,0),"")</f>
        <v/>
      </c>
      <c r="E956" s="63"/>
      <c r="F956" s="63" t="str">
        <f>IFERROR(INDEX(منتجات!$G$3:$G$350,MATCH(B956,منتجات!$A$3:$A$115,0)),"")</f>
        <v/>
      </c>
      <c r="G956" s="63" t="str">
        <f t="shared" si="16"/>
        <v/>
      </c>
      <c r="H956" s="69"/>
    </row>
    <row r="957" spans="1:8" x14ac:dyDescent="0.35">
      <c r="A957" s="64"/>
      <c r="B957" s="65"/>
      <c r="C957" s="65" t="str">
        <f>IFERROR(VLOOKUP(B957,منتجات!$A$3:$C$350,2,0),"")</f>
        <v/>
      </c>
      <c r="D957" s="65" t="str">
        <f>IFERROR(VLOOKUP(B957,منتجات!$A$3:$C$350,3,0),"")</f>
        <v/>
      </c>
      <c r="E957" s="65"/>
      <c r="F957" s="65" t="str">
        <f>IFERROR(INDEX(منتجات!$G$3:$G$350,MATCH(B957,منتجات!$A$3:$A$115,0)),"")</f>
        <v/>
      </c>
      <c r="G957" s="65" t="str">
        <f t="shared" si="16"/>
        <v/>
      </c>
      <c r="H957" s="70"/>
    </row>
    <row r="958" spans="1:8" x14ac:dyDescent="0.35">
      <c r="A958" s="62"/>
      <c r="B958" s="63"/>
      <c r="C958" s="63" t="str">
        <f>IFERROR(VLOOKUP(B958,منتجات!$A$3:$C$350,2,0),"")</f>
        <v/>
      </c>
      <c r="D958" s="63" t="str">
        <f>IFERROR(VLOOKUP(B958,منتجات!$A$3:$C$350,3,0),"")</f>
        <v/>
      </c>
      <c r="E958" s="63"/>
      <c r="F958" s="63" t="str">
        <f>IFERROR(INDEX(منتجات!$G$3:$G$350,MATCH(B958,منتجات!$A$3:$A$115,0)),"")</f>
        <v/>
      </c>
      <c r="G958" s="63" t="str">
        <f t="shared" si="16"/>
        <v/>
      </c>
      <c r="H958" s="69"/>
    </row>
    <row r="959" spans="1:8" x14ac:dyDescent="0.35">
      <c r="A959" s="64"/>
      <c r="B959" s="65"/>
      <c r="C959" s="65" t="str">
        <f>IFERROR(VLOOKUP(B959,منتجات!$A$3:$C$350,2,0),"")</f>
        <v/>
      </c>
      <c r="D959" s="65" t="str">
        <f>IFERROR(VLOOKUP(B959,منتجات!$A$3:$C$350,3,0),"")</f>
        <v/>
      </c>
      <c r="E959" s="65"/>
      <c r="F959" s="65" t="str">
        <f>IFERROR(INDEX(منتجات!$G$3:$G$350,MATCH(B959,منتجات!$A$3:$A$115,0)),"")</f>
        <v/>
      </c>
      <c r="G959" s="65" t="str">
        <f t="shared" si="16"/>
        <v/>
      </c>
      <c r="H959" s="70"/>
    </row>
    <row r="960" spans="1:8" x14ac:dyDescent="0.35">
      <c r="A960" s="62"/>
      <c r="B960" s="63"/>
      <c r="C960" s="63" t="str">
        <f>IFERROR(VLOOKUP(B960,منتجات!$A$3:$C$350,2,0),"")</f>
        <v/>
      </c>
      <c r="D960" s="63" t="str">
        <f>IFERROR(VLOOKUP(B960,منتجات!$A$3:$C$350,3,0),"")</f>
        <v/>
      </c>
      <c r="E960" s="63"/>
      <c r="F960" s="63" t="str">
        <f>IFERROR(INDEX(منتجات!$G$3:$G$350,MATCH(B960,منتجات!$A$3:$A$115,0)),"")</f>
        <v/>
      </c>
      <c r="G960" s="63" t="str">
        <f t="shared" si="16"/>
        <v/>
      </c>
      <c r="H960" s="69"/>
    </row>
    <row r="961" spans="1:8" x14ac:dyDescent="0.35">
      <c r="A961" s="64"/>
      <c r="B961" s="65"/>
      <c r="C961" s="65" t="str">
        <f>IFERROR(VLOOKUP(B961,منتجات!$A$3:$C$350,2,0),"")</f>
        <v/>
      </c>
      <c r="D961" s="65" t="str">
        <f>IFERROR(VLOOKUP(B961,منتجات!$A$3:$C$350,3,0),"")</f>
        <v/>
      </c>
      <c r="E961" s="65"/>
      <c r="F961" s="65" t="str">
        <f>IFERROR(INDEX(منتجات!$G$3:$G$350,MATCH(B961,منتجات!$A$3:$A$115,0)),"")</f>
        <v/>
      </c>
      <c r="G961" s="65" t="str">
        <f t="shared" si="16"/>
        <v/>
      </c>
      <c r="H961" s="70"/>
    </row>
    <row r="962" spans="1:8" x14ac:dyDescent="0.35">
      <c r="A962" s="62"/>
      <c r="B962" s="63"/>
      <c r="C962" s="63" t="str">
        <f>IFERROR(VLOOKUP(B962,منتجات!$A$3:$C$350,2,0),"")</f>
        <v/>
      </c>
      <c r="D962" s="63" t="str">
        <f>IFERROR(VLOOKUP(B962,منتجات!$A$3:$C$350,3,0),"")</f>
        <v/>
      </c>
      <c r="E962" s="63"/>
      <c r="F962" s="63" t="str">
        <f>IFERROR(INDEX(منتجات!$G$3:$G$350,MATCH(B962,منتجات!$A$3:$A$115,0)),"")</f>
        <v/>
      </c>
      <c r="G962" s="63" t="str">
        <f t="shared" si="16"/>
        <v/>
      </c>
      <c r="H962" s="69"/>
    </row>
    <row r="963" spans="1:8" x14ac:dyDescent="0.35">
      <c r="A963" s="64"/>
      <c r="B963" s="65"/>
      <c r="C963" s="65" t="str">
        <f>IFERROR(VLOOKUP(B963,منتجات!$A$3:$C$350,2,0),"")</f>
        <v/>
      </c>
      <c r="D963" s="65" t="str">
        <f>IFERROR(VLOOKUP(B963,منتجات!$A$3:$C$350,3,0),"")</f>
        <v/>
      </c>
      <c r="E963" s="65"/>
      <c r="F963" s="65" t="str">
        <f>IFERROR(INDEX(منتجات!$G$3:$G$350,MATCH(B963,منتجات!$A$3:$A$115,0)),"")</f>
        <v/>
      </c>
      <c r="G963" s="65" t="str">
        <f t="shared" si="16"/>
        <v/>
      </c>
      <c r="H963" s="70"/>
    </row>
    <row r="964" spans="1:8" x14ac:dyDescent="0.35">
      <c r="A964" s="62"/>
      <c r="B964" s="63"/>
      <c r="C964" s="63" t="str">
        <f>IFERROR(VLOOKUP(B964,منتجات!$A$3:$C$350,2,0),"")</f>
        <v/>
      </c>
      <c r="D964" s="63" t="str">
        <f>IFERROR(VLOOKUP(B964,منتجات!$A$3:$C$350,3,0),"")</f>
        <v/>
      </c>
      <c r="E964" s="63"/>
      <c r="F964" s="63" t="str">
        <f>IFERROR(INDEX(منتجات!$G$3:$G$350,MATCH(B964,منتجات!$A$3:$A$115,0)),"")</f>
        <v/>
      </c>
      <c r="G964" s="63" t="str">
        <f t="shared" si="16"/>
        <v/>
      </c>
      <c r="H964" s="69"/>
    </row>
    <row r="965" spans="1:8" x14ac:dyDescent="0.35">
      <c r="A965" s="64"/>
      <c r="B965" s="65"/>
      <c r="C965" s="65" t="str">
        <f>IFERROR(VLOOKUP(B965,منتجات!$A$3:$C$350,2,0),"")</f>
        <v/>
      </c>
      <c r="D965" s="65" t="str">
        <f>IFERROR(VLOOKUP(B965,منتجات!$A$3:$C$350,3,0),"")</f>
        <v/>
      </c>
      <c r="E965" s="65"/>
      <c r="F965" s="65" t="str">
        <f>IFERROR(INDEX(منتجات!$G$3:$G$350,MATCH(B965,منتجات!$A$3:$A$115,0)),"")</f>
        <v/>
      </c>
      <c r="G965" s="65" t="str">
        <f t="shared" si="16"/>
        <v/>
      </c>
      <c r="H965" s="70"/>
    </row>
    <row r="966" spans="1:8" x14ac:dyDescent="0.35">
      <c r="A966" s="62"/>
      <c r="B966" s="63"/>
      <c r="C966" s="63" t="str">
        <f>IFERROR(VLOOKUP(B966,منتجات!$A$3:$C$350,2,0),"")</f>
        <v/>
      </c>
      <c r="D966" s="63" t="str">
        <f>IFERROR(VLOOKUP(B966,منتجات!$A$3:$C$350,3,0),"")</f>
        <v/>
      </c>
      <c r="E966" s="63"/>
      <c r="F966" s="63" t="str">
        <f>IFERROR(INDEX(منتجات!$G$3:$G$350,MATCH(B966,منتجات!$A$3:$A$115,0)),"")</f>
        <v/>
      </c>
      <c r="G966" s="63" t="str">
        <f t="shared" ref="G966:G1029" si="17">IFERROR(E966*F966*D966,"")</f>
        <v/>
      </c>
      <c r="H966" s="69"/>
    </row>
    <row r="967" spans="1:8" x14ac:dyDescent="0.35">
      <c r="A967" s="64"/>
      <c r="B967" s="65"/>
      <c r="C967" s="65" t="str">
        <f>IFERROR(VLOOKUP(B967,منتجات!$A$3:$C$350,2,0),"")</f>
        <v/>
      </c>
      <c r="D967" s="65" t="str">
        <f>IFERROR(VLOOKUP(B967,منتجات!$A$3:$C$350,3,0),"")</f>
        <v/>
      </c>
      <c r="E967" s="65"/>
      <c r="F967" s="65" t="str">
        <f>IFERROR(INDEX(منتجات!$G$3:$G$350,MATCH(B967,منتجات!$A$3:$A$115,0)),"")</f>
        <v/>
      </c>
      <c r="G967" s="65" t="str">
        <f t="shared" si="17"/>
        <v/>
      </c>
      <c r="H967" s="70"/>
    </row>
    <row r="968" spans="1:8" x14ac:dyDescent="0.35">
      <c r="A968" s="62"/>
      <c r="B968" s="63"/>
      <c r="C968" s="63" t="str">
        <f>IFERROR(VLOOKUP(B968,منتجات!$A$3:$C$350,2,0),"")</f>
        <v/>
      </c>
      <c r="D968" s="63" t="str">
        <f>IFERROR(VLOOKUP(B968,منتجات!$A$3:$C$350,3,0),"")</f>
        <v/>
      </c>
      <c r="E968" s="63"/>
      <c r="F968" s="63" t="str">
        <f>IFERROR(INDEX(منتجات!$G$3:$G$350,MATCH(B968,منتجات!$A$3:$A$115,0)),"")</f>
        <v/>
      </c>
      <c r="G968" s="63" t="str">
        <f t="shared" si="17"/>
        <v/>
      </c>
      <c r="H968" s="69"/>
    </row>
    <row r="969" spans="1:8" x14ac:dyDescent="0.35">
      <c r="A969" s="64"/>
      <c r="B969" s="65"/>
      <c r="C969" s="65" t="str">
        <f>IFERROR(VLOOKUP(B969,منتجات!$A$3:$C$350,2,0),"")</f>
        <v/>
      </c>
      <c r="D969" s="65" t="str">
        <f>IFERROR(VLOOKUP(B969,منتجات!$A$3:$C$350,3,0),"")</f>
        <v/>
      </c>
      <c r="E969" s="65"/>
      <c r="F969" s="65" t="str">
        <f>IFERROR(INDEX(منتجات!$G$3:$G$350,MATCH(B969,منتجات!$A$3:$A$115,0)),"")</f>
        <v/>
      </c>
      <c r="G969" s="65" t="str">
        <f t="shared" si="17"/>
        <v/>
      </c>
      <c r="H969" s="70"/>
    </row>
    <row r="970" spans="1:8" x14ac:dyDescent="0.35">
      <c r="A970" s="62"/>
      <c r="B970" s="63"/>
      <c r="C970" s="63" t="str">
        <f>IFERROR(VLOOKUP(B970,منتجات!$A$3:$C$350,2,0),"")</f>
        <v/>
      </c>
      <c r="D970" s="63" t="str">
        <f>IFERROR(VLOOKUP(B970,منتجات!$A$3:$C$350,3,0),"")</f>
        <v/>
      </c>
      <c r="E970" s="63"/>
      <c r="F970" s="63" t="str">
        <f>IFERROR(INDEX(منتجات!$G$3:$G$350,MATCH(B970,منتجات!$A$3:$A$115,0)),"")</f>
        <v/>
      </c>
      <c r="G970" s="63" t="str">
        <f t="shared" si="17"/>
        <v/>
      </c>
      <c r="H970" s="69"/>
    </row>
    <row r="971" spans="1:8" x14ac:dyDescent="0.35">
      <c r="A971" s="64"/>
      <c r="B971" s="65"/>
      <c r="C971" s="65" t="str">
        <f>IFERROR(VLOOKUP(B971,منتجات!$A$3:$C$350,2,0),"")</f>
        <v/>
      </c>
      <c r="D971" s="65" t="str">
        <f>IFERROR(VLOOKUP(B971,منتجات!$A$3:$C$350,3,0),"")</f>
        <v/>
      </c>
      <c r="E971" s="65"/>
      <c r="F971" s="65" t="str">
        <f>IFERROR(INDEX(منتجات!$G$3:$G$350,MATCH(B971,منتجات!$A$3:$A$115,0)),"")</f>
        <v/>
      </c>
      <c r="G971" s="65" t="str">
        <f t="shared" si="17"/>
        <v/>
      </c>
      <c r="H971" s="70"/>
    </row>
    <row r="972" spans="1:8" x14ac:dyDescent="0.35">
      <c r="A972" s="62"/>
      <c r="B972" s="63"/>
      <c r="C972" s="63" t="str">
        <f>IFERROR(VLOOKUP(B972,منتجات!$A$3:$C$350,2,0),"")</f>
        <v/>
      </c>
      <c r="D972" s="63" t="str">
        <f>IFERROR(VLOOKUP(B972,منتجات!$A$3:$C$350,3,0),"")</f>
        <v/>
      </c>
      <c r="E972" s="63"/>
      <c r="F972" s="63" t="str">
        <f>IFERROR(INDEX(منتجات!$G$3:$G$350,MATCH(B972,منتجات!$A$3:$A$115,0)),"")</f>
        <v/>
      </c>
      <c r="G972" s="63" t="str">
        <f t="shared" si="17"/>
        <v/>
      </c>
      <c r="H972" s="69"/>
    </row>
    <row r="973" spans="1:8" x14ac:dyDescent="0.35">
      <c r="A973" s="64"/>
      <c r="B973" s="65"/>
      <c r="C973" s="65" t="str">
        <f>IFERROR(VLOOKUP(B973,منتجات!$A$3:$C$350,2,0),"")</f>
        <v/>
      </c>
      <c r="D973" s="65" t="str">
        <f>IFERROR(VLOOKUP(B973,منتجات!$A$3:$C$350,3,0),"")</f>
        <v/>
      </c>
      <c r="E973" s="65"/>
      <c r="F973" s="65" t="str">
        <f>IFERROR(INDEX(منتجات!$G$3:$G$350,MATCH(B973,منتجات!$A$3:$A$115,0)),"")</f>
        <v/>
      </c>
      <c r="G973" s="65" t="str">
        <f t="shared" si="17"/>
        <v/>
      </c>
      <c r="H973" s="70"/>
    </row>
    <row r="974" spans="1:8" x14ac:dyDescent="0.35">
      <c r="A974" s="62"/>
      <c r="B974" s="63"/>
      <c r="C974" s="63" t="str">
        <f>IFERROR(VLOOKUP(B974,منتجات!$A$3:$C$350,2,0),"")</f>
        <v/>
      </c>
      <c r="D974" s="63" t="str">
        <f>IFERROR(VLOOKUP(B974,منتجات!$A$3:$C$350,3,0),"")</f>
        <v/>
      </c>
      <c r="E974" s="63"/>
      <c r="F974" s="63" t="str">
        <f>IFERROR(INDEX(منتجات!$G$3:$G$350,MATCH(B974,منتجات!$A$3:$A$115,0)),"")</f>
        <v/>
      </c>
      <c r="G974" s="63" t="str">
        <f t="shared" si="17"/>
        <v/>
      </c>
      <c r="H974" s="69"/>
    </row>
    <row r="975" spans="1:8" x14ac:dyDescent="0.35">
      <c r="A975" s="64"/>
      <c r="B975" s="65"/>
      <c r="C975" s="65" t="str">
        <f>IFERROR(VLOOKUP(B975,منتجات!$A$3:$C$350,2,0),"")</f>
        <v/>
      </c>
      <c r="D975" s="65" t="str">
        <f>IFERROR(VLOOKUP(B975,منتجات!$A$3:$C$350,3,0),"")</f>
        <v/>
      </c>
      <c r="E975" s="65"/>
      <c r="F975" s="65" t="str">
        <f>IFERROR(INDEX(منتجات!$G$3:$G$350,MATCH(B975,منتجات!$A$3:$A$115,0)),"")</f>
        <v/>
      </c>
      <c r="G975" s="65" t="str">
        <f t="shared" si="17"/>
        <v/>
      </c>
      <c r="H975" s="70"/>
    </row>
    <row r="976" spans="1:8" x14ac:dyDescent="0.35">
      <c r="A976" s="62"/>
      <c r="B976" s="63"/>
      <c r="C976" s="63" t="str">
        <f>IFERROR(VLOOKUP(B976,منتجات!$A$3:$C$350,2,0),"")</f>
        <v/>
      </c>
      <c r="D976" s="63" t="str">
        <f>IFERROR(VLOOKUP(B976,منتجات!$A$3:$C$350,3,0),"")</f>
        <v/>
      </c>
      <c r="E976" s="63"/>
      <c r="F976" s="63" t="str">
        <f>IFERROR(INDEX(منتجات!$G$3:$G$350,MATCH(B976,منتجات!$A$3:$A$115,0)),"")</f>
        <v/>
      </c>
      <c r="G976" s="63" t="str">
        <f t="shared" si="17"/>
        <v/>
      </c>
      <c r="H976" s="69"/>
    </row>
    <row r="977" spans="1:8" x14ac:dyDescent="0.35">
      <c r="A977" s="64"/>
      <c r="B977" s="65"/>
      <c r="C977" s="65" t="str">
        <f>IFERROR(VLOOKUP(B977,منتجات!$A$3:$C$350,2,0),"")</f>
        <v/>
      </c>
      <c r="D977" s="65" t="str">
        <f>IFERROR(VLOOKUP(B977,منتجات!$A$3:$C$350,3,0),"")</f>
        <v/>
      </c>
      <c r="E977" s="65"/>
      <c r="F977" s="65" t="str">
        <f>IFERROR(INDEX(منتجات!$G$3:$G$350,MATCH(B977,منتجات!$A$3:$A$115,0)),"")</f>
        <v/>
      </c>
      <c r="G977" s="65" t="str">
        <f t="shared" si="17"/>
        <v/>
      </c>
      <c r="H977" s="70"/>
    </row>
    <row r="978" spans="1:8" x14ac:dyDescent="0.35">
      <c r="A978" s="62"/>
      <c r="B978" s="63"/>
      <c r="C978" s="63" t="str">
        <f>IFERROR(VLOOKUP(B978,منتجات!$A$3:$C$350,2,0),"")</f>
        <v/>
      </c>
      <c r="D978" s="63" t="str">
        <f>IFERROR(VLOOKUP(B978,منتجات!$A$3:$C$350,3,0),"")</f>
        <v/>
      </c>
      <c r="E978" s="63"/>
      <c r="F978" s="63" t="str">
        <f>IFERROR(INDEX(منتجات!$G$3:$G$350,MATCH(B978,منتجات!$A$3:$A$115,0)),"")</f>
        <v/>
      </c>
      <c r="G978" s="63" t="str">
        <f t="shared" si="17"/>
        <v/>
      </c>
      <c r="H978" s="69"/>
    </row>
    <row r="979" spans="1:8" x14ac:dyDescent="0.35">
      <c r="A979" s="64"/>
      <c r="B979" s="65"/>
      <c r="C979" s="65" t="str">
        <f>IFERROR(VLOOKUP(B979,منتجات!$A$3:$C$350,2,0),"")</f>
        <v/>
      </c>
      <c r="D979" s="65" t="str">
        <f>IFERROR(VLOOKUP(B979,منتجات!$A$3:$C$350,3,0),"")</f>
        <v/>
      </c>
      <c r="E979" s="65"/>
      <c r="F979" s="65" t="str">
        <f>IFERROR(INDEX(منتجات!$G$3:$G$350,MATCH(B979,منتجات!$A$3:$A$115,0)),"")</f>
        <v/>
      </c>
      <c r="G979" s="65" t="str">
        <f t="shared" si="17"/>
        <v/>
      </c>
      <c r="H979" s="70"/>
    </row>
    <row r="980" spans="1:8" x14ac:dyDescent="0.35">
      <c r="A980" s="62"/>
      <c r="B980" s="63"/>
      <c r="C980" s="63" t="str">
        <f>IFERROR(VLOOKUP(B980,منتجات!$A$3:$C$350,2,0),"")</f>
        <v/>
      </c>
      <c r="D980" s="63" t="str">
        <f>IFERROR(VLOOKUP(B980,منتجات!$A$3:$C$350,3,0),"")</f>
        <v/>
      </c>
      <c r="E980" s="63"/>
      <c r="F980" s="63" t="str">
        <f>IFERROR(INDEX(منتجات!$G$3:$G$350,MATCH(B980,منتجات!$A$3:$A$115,0)),"")</f>
        <v/>
      </c>
      <c r="G980" s="63" t="str">
        <f t="shared" si="17"/>
        <v/>
      </c>
      <c r="H980" s="69"/>
    </row>
    <row r="981" spans="1:8" x14ac:dyDescent="0.35">
      <c r="A981" s="64"/>
      <c r="B981" s="65"/>
      <c r="C981" s="65" t="str">
        <f>IFERROR(VLOOKUP(B981,منتجات!$A$3:$C$350,2,0),"")</f>
        <v/>
      </c>
      <c r="D981" s="65" t="str">
        <f>IFERROR(VLOOKUP(B981,منتجات!$A$3:$C$350,3,0),"")</f>
        <v/>
      </c>
      <c r="E981" s="65"/>
      <c r="F981" s="65" t="str">
        <f>IFERROR(INDEX(منتجات!$G$3:$G$350,MATCH(B981,منتجات!$A$3:$A$115,0)),"")</f>
        <v/>
      </c>
      <c r="G981" s="65" t="str">
        <f t="shared" si="17"/>
        <v/>
      </c>
      <c r="H981" s="70"/>
    </row>
    <row r="982" spans="1:8" x14ac:dyDescent="0.35">
      <c r="A982" s="62"/>
      <c r="B982" s="63"/>
      <c r="C982" s="63" t="str">
        <f>IFERROR(VLOOKUP(B982,منتجات!$A$3:$C$350,2,0),"")</f>
        <v/>
      </c>
      <c r="D982" s="63" t="str">
        <f>IFERROR(VLOOKUP(B982,منتجات!$A$3:$C$350,3,0),"")</f>
        <v/>
      </c>
      <c r="E982" s="63"/>
      <c r="F982" s="63" t="str">
        <f>IFERROR(INDEX(منتجات!$G$3:$G$350,MATCH(B982,منتجات!$A$3:$A$115,0)),"")</f>
        <v/>
      </c>
      <c r="G982" s="63" t="str">
        <f t="shared" si="17"/>
        <v/>
      </c>
      <c r="H982" s="69"/>
    </row>
    <row r="983" spans="1:8" x14ac:dyDescent="0.35">
      <c r="A983" s="64"/>
      <c r="B983" s="65"/>
      <c r="C983" s="65" t="str">
        <f>IFERROR(VLOOKUP(B983,منتجات!$A$3:$C$350,2,0),"")</f>
        <v/>
      </c>
      <c r="D983" s="65" t="str">
        <f>IFERROR(VLOOKUP(B983,منتجات!$A$3:$C$350,3,0),"")</f>
        <v/>
      </c>
      <c r="E983" s="65"/>
      <c r="F983" s="65" t="str">
        <f>IFERROR(INDEX(منتجات!$G$3:$G$350,MATCH(B983,منتجات!$A$3:$A$115,0)),"")</f>
        <v/>
      </c>
      <c r="G983" s="65" t="str">
        <f t="shared" si="17"/>
        <v/>
      </c>
      <c r="H983" s="70"/>
    </row>
    <row r="984" spans="1:8" x14ac:dyDescent="0.35">
      <c r="A984" s="62"/>
      <c r="B984" s="63"/>
      <c r="C984" s="63" t="str">
        <f>IFERROR(VLOOKUP(B984,منتجات!$A$3:$C$350,2,0),"")</f>
        <v/>
      </c>
      <c r="D984" s="63" t="str">
        <f>IFERROR(VLOOKUP(B984,منتجات!$A$3:$C$350,3,0),"")</f>
        <v/>
      </c>
      <c r="E984" s="63"/>
      <c r="F984" s="63" t="str">
        <f>IFERROR(INDEX(منتجات!$G$3:$G$350,MATCH(B984,منتجات!$A$3:$A$115,0)),"")</f>
        <v/>
      </c>
      <c r="G984" s="63" t="str">
        <f t="shared" si="17"/>
        <v/>
      </c>
      <c r="H984" s="69"/>
    </row>
    <row r="985" spans="1:8" x14ac:dyDescent="0.35">
      <c r="A985" s="64"/>
      <c r="B985" s="65"/>
      <c r="C985" s="65" t="str">
        <f>IFERROR(VLOOKUP(B985,منتجات!$A$3:$C$350,2,0),"")</f>
        <v/>
      </c>
      <c r="D985" s="65" t="str">
        <f>IFERROR(VLOOKUP(B985,منتجات!$A$3:$C$350,3,0),"")</f>
        <v/>
      </c>
      <c r="E985" s="65"/>
      <c r="F985" s="65" t="str">
        <f>IFERROR(INDEX(منتجات!$G$3:$G$350,MATCH(B985,منتجات!$A$3:$A$115,0)),"")</f>
        <v/>
      </c>
      <c r="G985" s="65" t="str">
        <f t="shared" si="17"/>
        <v/>
      </c>
      <c r="H985" s="70"/>
    </row>
    <row r="986" spans="1:8" x14ac:dyDescent="0.35">
      <c r="A986" s="62"/>
      <c r="B986" s="63"/>
      <c r="C986" s="63" t="str">
        <f>IFERROR(VLOOKUP(B986,منتجات!$A$3:$C$350,2,0),"")</f>
        <v/>
      </c>
      <c r="D986" s="63" t="str">
        <f>IFERROR(VLOOKUP(B986,منتجات!$A$3:$C$350,3,0),"")</f>
        <v/>
      </c>
      <c r="E986" s="63"/>
      <c r="F986" s="63" t="str">
        <f>IFERROR(INDEX(منتجات!$G$3:$G$350,MATCH(B986,منتجات!$A$3:$A$115,0)),"")</f>
        <v/>
      </c>
      <c r="G986" s="63" t="str">
        <f t="shared" si="17"/>
        <v/>
      </c>
      <c r="H986" s="69"/>
    </row>
    <row r="987" spans="1:8" x14ac:dyDescent="0.35">
      <c r="A987" s="64"/>
      <c r="B987" s="65"/>
      <c r="C987" s="65" t="str">
        <f>IFERROR(VLOOKUP(B987,منتجات!$A$3:$C$350,2,0),"")</f>
        <v/>
      </c>
      <c r="D987" s="65" t="str">
        <f>IFERROR(VLOOKUP(B987,منتجات!$A$3:$C$350,3,0),"")</f>
        <v/>
      </c>
      <c r="E987" s="65"/>
      <c r="F987" s="65" t="str">
        <f>IFERROR(INDEX(منتجات!$G$3:$G$350,MATCH(B987,منتجات!$A$3:$A$115,0)),"")</f>
        <v/>
      </c>
      <c r="G987" s="65" t="str">
        <f t="shared" si="17"/>
        <v/>
      </c>
      <c r="H987" s="70"/>
    </row>
    <row r="988" spans="1:8" x14ac:dyDescent="0.35">
      <c r="A988" s="62"/>
      <c r="B988" s="63"/>
      <c r="C988" s="63" t="str">
        <f>IFERROR(VLOOKUP(B988,منتجات!$A$3:$C$350,2,0),"")</f>
        <v/>
      </c>
      <c r="D988" s="63" t="str">
        <f>IFERROR(VLOOKUP(B988,منتجات!$A$3:$C$350,3,0),"")</f>
        <v/>
      </c>
      <c r="E988" s="63"/>
      <c r="F988" s="63" t="str">
        <f>IFERROR(INDEX(منتجات!$G$3:$G$350,MATCH(B988,منتجات!$A$3:$A$115,0)),"")</f>
        <v/>
      </c>
      <c r="G988" s="63" t="str">
        <f t="shared" si="17"/>
        <v/>
      </c>
      <c r="H988" s="69"/>
    </row>
    <row r="989" spans="1:8" x14ac:dyDescent="0.35">
      <c r="A989" s="64"/>
      <c r="B989" s="65"/>
      <c r="C989" s="65" t="str">
        <f>IFERROR(VLOOKUP(B989,منتجات!$A$3:$C$350,2,0),"")</f>
        <v/>
      </c>
      <c r="D989" s="65" t="str">
        <f>IFERROR(VLOOKUP(B989,منتجات!$A$3:$C$350,3,0),"")</f>
        <v/>
      </c>
      <c r="E989" s="65"/>
      <c r="F989" s="65" t="str">
        <f>IFERROR(INDEX(منتجات!$G$3:$G$350,MATCH(B989,منتجات!$A$3:$A$115,0)),"")</f>
        <v/>
      </c>
      <c r="G989" s="65" t="str">
        <f t="shared" si="17"/>
        <v/>
      </c>
      <c r="H989" s="70"/>
    </row>
    <row r="990" spans="1:8" x14ac:dyDescent="0.35">
      <c r="A990" s="62"/>
      <c r="B990" s="63"/>
      <c r="C990" s="63" t="str">
        <f>IFERROR(VLOOKUP(B990,منتجات!$A$3:$C$350,2,0),"")</f>
        <v/>
      </c>
      <c r="D990" s="63" t="str">
        <f>IFERROR(VLOOKUP(B990,منتجات!$A$3:$C$350,3,0),"")</f>
        <v/>
      </c>
      <c r="E990" s="63"/>
      <c r="F990" s="63" t="str">
        <f>IFERROR(INDEX(منتجات!$G$3:$G$350,MATCH(B990,منتجات!$A$3:$A$115,0)),"")</f>
        <v/>
      </c>
      <c r="G990" s="63" t="str">
        <f t="shared" si="17"/>
        <v/>
      </c>
      <c r="H990" s="69"/>
    </row>
    <row r="991" spans="1:8" x14ac:dyDescent="0.35">
      <c r="A991" s="64"/>
      <c r="B991" s="65"/>
      <c r="C991" s="65" t="str">
        <f>IFERROR(VLOOKUP(B991,منتجات!$A$3:$C$350,2,0),"")</f>
        <v/>
      </c>
      <c r="D991" s="65" t="str">
        <f>IFERROR(VLOOKUP(B991,منتجات!$A$3:$C$350,3,0),"")</f>
        <v/>
      </c>
      <c r="E991" s="65"/>
      <c r="F991" s="65" t="str">
        <f>IFERROR(INDEX(منتجات!$G$3:$G$350,MATCH(B991,منتجات!$A$3:$A$115,0)),"")</f>
        <v/>
      </c>
      <c r="G991" s="65" t="str">
        <f t="shared" si="17"/>
        <v/>
      </c>
      <c r="H991" s="70"/>
    </row>
    <row r="992" spans="1:8" x14ac:dyDescent="0.35">
      <c r="A992" s="62"/>
      <c r="B992" s="63"/>
      <c r="C992" s="63" t="str">
        <f>IFERROR(VLOOKUP(B992,منتجات!$A$3:$C$350,2,0),"")</f>
        <v/>
      </c>
      <c r="D992" s="63" t="str">
        <f>IFERROR(VLOOKUP(B992,منتجات!$A$3:$C$350,3,0),"")</f>
        <v/>
      </c>
      <c r="E992" s="63"/>
      <c r="F992" s="63" t="str">
        <f>IFERROR(INDEX(منتجات!$G$3:$G$350,MATCH(B992,منتجات!$A$3:$A$115,0)),"")</f>
        <v/>
      </c>
      <c r="G992" s="63" t="str">
        <f t="shared" si="17"/>
        <v/>
      </c>
      <c r="H992" s="69"/>
    </row>
    <row r="993" spans="1:8" x14ac:dyDescent="0.35">
      <c r="A993" s="64"/>
      <c r="B993" s="65"/>
      <c r="C993" s="65" t="str">
        <f>IFERROR(VLOOKUP(B993,منتجات!$A$3:$C$350,2,0),"")</f>
        <v/>
      </c>
      <c r="D993" s="65" t="str">
        <f>IFERROR(VLOOKUP(B993,منتجات!$A$3:$C$350,3,0),"")</f>
        <v/>
      </c>
      <c r="E993" s="65"/>
      <c r="F993" s="65" t="str">
        <f>IFERROR(INDEX(منتجات!$G$3:$G$350,MATCH(B993,منتجات!$A$3:$A$115,0)),"")</f>
        <v/>
      </c>
      <c r="G993" s="65" t="str">
        <f t="shared" si="17"/>
        <v/>
      </c>
      <c r="H993" s="70"/>
    </row>
    <row r="994" spans="1:8" x14ac:dyDescent="0.35">
      <c r="A994" s="62"/>
      <c r="B994" s="63"/>
      <c r="C994" s="63" t="str">
        <f>IFERROR(VLOOKUP(B994,منتجات!$A$3:$C$350,2,0),"")</f>
        <v/>
      </c>
      <c r="D994" s="63" t="str">
        <f>IFERROR(VLOOKUP(B994,منتجات!$A$3:$C$350,3,0),"")</f>
        <v/>
      </c>
      <c r="E994" s="63"/>
      <c r="F994" s="63" t="str">
        <f>IFERROR(INDEX(منتجات!$G$3:$G$350,MATCH(B994,منتجات!$A$3:$A$115,0)),"")</f>
        <v/>
      </c>
      <c r="G994" s="63" t="str">
        <f t="shared" si="17"/>
        <v/>
      </c>
      <c r="H994" s="69"/>
    </row>
    <row r="995" spans="1:8" x14ac:dyDescent="0.35">
      <c r="A995" s="64"/>
      <c r="B995" s="65"/>
      <c r="C995" s="65" t="str">
        <f>IFERROR(VLOOKUP(B995,منتجات!$A$3:$C$350,2,0),"")</f>
        <v/>
      </c>
      <c r="D995" s="65" t="str">
        <f>IFERROR(VLOOKUP(B995,منتجات!$A$3:$C$350,3,0),"")</f>
        <v/>
      </c>
      <c r="E995" s="65"/>
      <c r="F995" s="65" t="str">
        <f>IFERROR(INDEX(منتجات!$G$3:$G$350,MATCH(B995,منتجات!$A$3:$A$115,0)),"")</f>
        <v/>
      </c>
      <c r="G995" s="65" t="str">
        <f t="shared" si="17"/>
        <v/>
      </c>
      <c r="H995" s="70"/>
    </row>
    <row r="996" spans="1:8" x14ac:dyDescent="0.35">
      <c r="A996" s="62"/>
      <c r="B996" s="63"/>
      <c r="C996" s="63" t="str">
        <f>IFERROR(VLOOKUP(B996,منتجات!$A$3:$C$350,2,0),"")</f>
        <v/>
      </c>
      <c r="D996" s="63" t="str">
        <f>IFERROR(VLOOKUP(B996,منتجات!$A$3:$C$350,3,0),"")</f>
        <v/>
      </c>
      <c r="E996" s="63"/>
      <c r="F996" s="63" t="str">
        <f>IFERROR(INDEX(منتجات!$G$3:$G$350,MATCH(B996,منتجات!$A$3:$A$115,0)),"")</f>
        <v/>
      </c>
      <c r="G996" s="63" t="str">
        <f t="shared" si="17"/>
        <v/>
      </c>
      <c r="H996" s="69"/>
    </row>
    <row r="997" spans="1:8" x14ac:dyDescent="0.35">
      <c r="A997" s="64"/>
      <c r="B997" s="65"/>
      <c r="C997" s="65" t="str">
        <f>IFERROR(VLOOKUP(B997,منتجات!$A$3:$C$350,2,0),"")</f>
        <v/>
      </c>
      <c r="D997" s="65" t="str">
        <f>IFERROR(VLOOKUP(B997,منتجات!$A$3:$C$350,3,0),"")</f>
        <v/>
      </c>
      <c r="E997" s="65"/>
      <c r="F997" s="65" t="str">
        <f>IFERROR(INDEX(منتجات!$G$3:$G$350,MATCH(B997,منتجات!$A$3:$A$115,0)),"")</f>
        <v/>
      </c>
      <c r="G997" s="65" t="str">
        <f t="shared" si="17"/>
        <v/>
      </c>
      <c r="H997" s="70"/>
    </row>
    <row r="998" spans="1:8" x14ac:dyDescent="0.35">
      <c r="A998" s="62"/>
      <c r="B998" s="63"/>
      <c r="C998" s="63" t="str">
        <f>IFERROR(VLOOKUP(B998,منتجات!$A$3:$C$350,2,0),"")</f>
        <v/>
      </c>
      <c r="D998" s="63" t="str">
        <f>IFERROR(VLOOKUP(B998,منتجات!$A$3:$C$350,3,0),"")</f>
        <v/>
      </c>
      <c r="E998" s="63"/>
      <c r="F998" s="63" t="str">
        <f>IFERROR(INDEX(منتجات!$G$3:$G$350,MATCH(B998,منتجات!$A$3:$A$115,0)),"")</f>
        <v/>
      </c>
      <c r="G998" s="63" t="str">
        <f t="shared" si="17"/>
        <v/>
      </c>
      <c r="H998" s="69"/>
    </row>
    <row r="999" spans="1:8" x14ac:dyDescent="0.35">
      <c r="A999" s="64"/>
      <c r="B999" s="65"/>
      <c r="C999" s="65" t="str">
        <f>IFERROR(VLOOKUP(B999,منتجات!$A$3:$C$350,2,0),"")</f>
        <v/>
      </c>
      <c r="D999" s="65" t="str">
        <f>IFERROR(VLOOKUP(B999,منتجات!$A$3:$C$350,3,0),"")</f>
        <v/>
      </c>
      <c r="E999" s="65"/>
      <c r="F999" s="65" t="str">
        <f>IFERROR(INDEX(منتجات!$G$3:$G$350,MATCH(B999,منتجات!$A$3:$A$115,0)),"")</f>
        <v/>
      </c>
      <c r="G999" s="65" t="str">
        <f t="shared" si="17"/>
        <v/>
      </c>
      <c r="H999" s="70"/>
    </row>
    <row r="1000" spans="1:8" x14ac:dyDescent="0.35">
      <c r="A1000" s="62"/>
      <c r="B1000" s="63"/>
      <c r="C1000" s="63" t="str">
        <f>IFERROR(VLOOKUP(B1000,منتجات!$A$3:$C$350,2,0),"")</f>
        <v/>
      </c>
      <c r="D1000" s="63" t="str">
        <f>IFERROR(VLOOKUP(B1000,منتجات!$A$3:$C$350,3,0),"")</f>
        <v/>
      </c>
      <c r="E1000" s="63"/>
      <c r="F1000" s="63" t="str">
        <f>IFERROR(INDEX(منتجات!$G$3:$G$350,MATCH(B1000,منتجات!$A$3:$A$115,0)),"")</f>
        <v/>
      </c>
      <c r="G1000" s="63" t="str">
        <f t="shared" si="17"/>
        <v/>
      </c>
      <c r="H1000" s="69"/>
    </row>
    <row r="1001" spans="1:8" x14ac:dyDescent="0.35">
      <c r="A1001" s="64"/>
      <c r="B1001" s="65"/>
      <c r="C1001" s="65" t="str">
        <f>IFERROR(VLOOKUP(B1001,منتجات!$A$3:$C$350,2,0),"")</f>
        <v/>
      </c>
      <c r="D1001" s="65" t="str">
        <f>IFERROR(VLOOKUP(B1001,منتجات!$A$3:$C$350,3,0),"")</f>
        <v/>
      </c>
      <c r="E1001" s="65"/>
      <c r="F1001" s="65" t="str">
        <f>IFERROR(INDEX(منتجات!$G$3:$G$350,MATCH(B1001,منتجات!$A$3:$A$115,0)),"")</f>
        <v/>
      </c>
      <c r="G1001" s="65" t="str">
        <f t="shared" si="17"/>
        <v/>
      </c>
      <c r="H1001" s="70"/>
    </row>
    <row r="1002" spans="1:8" x14ac:dyDescent="0.35">
      <c r="A1002" s="62"/>
      <c r="B1002" s="63"/>
      <c r="C1002" s="63" t="str">
        <f>IFERROR(VLOOKUP(B1002,منتجات!$A$3:$C$350,2,0),"")</f>
        <v/>
      </c>
      <c r="D1002" s="63" t="str">
        <f>IFERROR(VLOOKUP(B1002,منتجات!$A$3:$C$350,3,0),"")</f>
        <v/>
      </c>
      <c r="E1002" s="63"/>
      <c r="F1002" s="63" t="str">
        <f>IFERROR(INDEX(منتجات!$G$3:$G$350,MATCH(B1002,منتجات!$A$3:$A$115,0)),"")</f>
        <v/>
      </c>
      <c r="G1002" s="63" t="str">
        <f t="shared" si="17"/>
        <v/>
      </c>
      <c r="H1002" s="69"/>
    </row>
    <row r="1003" spans="1:8" x14ac:dyDescent="0.35">
      <c r="A1003" s="64"/>
      <c r="B1003" s="65"/>
      <c r="C1003" s="65" t="str">
        <f>IFERROR(VLOOKUP(B1003,منتجات!$A$3:$C$350,2,0),"")</f>
        <v/>
      </c>
      <c r="D1003" s="65" t="str">
        <f>IFERROR(VLOOKUP(B1003,منتجات!$A$3:$C$350,3,0),"")</f>
        <v/>
      </c>
      <c r="E1003" s="65"/>
      <c r="F1003" s="65" t="str">
        <f>IFERROR(INDEX(منتجات!$G$3:$G$350,MATCH(B1003,منتجات!$A$3:$A$115,0)),"")</f>
        <v/>
      </c>
      <c r="G1003" s="65" t="str">
        <f t="shared" si="17"/>
        <v/>
      </c>
      <c r="H1003" s="70"/>
    </row>
    <row r="1004" spans="1:8" x14ac:dyDescent="0.35">
      <c r="A1004" s="62"/>
      <c r="B1004" s="63"/>
      <c r="C1004" s="63" t="str">
        <f>IFERROR(VLOOKUP(B1004,منتجات!$A$3:$C$350,2,0),"")</f>
        <v/>
      </c>
      <c r="D1004" s="63" t="str">
        <f>IFERROR(VLOOKUP(B1004,منتجات!$A$3:$C$350,3,0),"")</f>
        <v/>
      </c>
      <c r="E1004" s="63"/>
      <c r="F1004" s="63" t="str">
        <f>IFERROR(INDEX(منتجات!$G$3:$G$350,MATCH(B1004,منتجات!$A$3:$A$115,0)),"")</f>
        <v/>
      </c>
      <c r="G1004" s="63" t="str">
        <f t="shared" si="17"/>
        <v/>
      </c>
      <c r="H1004" s="69"/>
    </row>
    <row r="1005" spans="1:8" x14ac:dyDescent="0.35">
      <c r="A1005" s="64"/>
      <c r="B1005" s="65"/>
      <c r="C1005" s="65" t="str">
        <f>IFERROR(VLOOKUP(B1005,منتجات!$A$3:$C$350,2,0),"")</f>
        <v/>
      </c>
      <c r="D1005" s="65" t="str">
        <f>IFERROR(VLOOKUP(B1005,منتجات!$A$3:$C$350,3,0),"")</f>
        <v/>
      </c>
      <c r="E1005" s="65"/>
      <c r="F1005" s="65" t="str">
        <f>IFERROR(INDEX(منتجات!$G$3:$G$350,MATCH(B1005,منتجات!$A$3:$A$115,0)),"")</f>
        <v/>
      </c>
      <c r="G1005" s="65" t="str">
        <f t="shared" si="17"/>
        <v/>
      </c>
      <c r="H1005" s="70"/>
    </row>
    <row r="1006" spans="1:8" x14ac:dyDescent="0.35">
      <c r="A1006" s="62"/>
      <c r="B1006" s="63"/>
      <c r="C1006" s="63" t="str">
        <f>IFERROR(VLOOKUP(B1006,منتجات!$A$3:$C$350,2,0),"")</f>
        <v/>
      </c>
      <c r="D1006" s="63" t="str">
        <f>IFERROR(VLOOKUP(B1006,منتجات!$A$3:$C$350,3,0),"")</f>
        <v/>
      </c>
      <c r="E1006" s="63"/>
      <c r="F1006" s="63" t="str">
        <f>IFERROR(INDEX(منتجات!$G$3:$G$350,MATCH(B1006,منتجات!$A$3:$A$115,0)),"")</f>
        <v/>
      </c>
      <c r="G1006" s="63" t="str">
        <f t="shared" si="17"/>
        <v/>
      </c>
      <c r="H1006" s="69"/>
    </row>
    <row r="1007" spans="1:8" x14ac:dyDescent="0.35">
      <c r="A1007" s="64"/>
      <c r="B1007" s="65"/>
      <c r="C1007" s="65" t="str">
        <f>IFERROR(VLOOKUP(B1007,منتجات!$A$3:$C$350,2,0),"")</f>
        <v/>
      </c>
      <c r="D1007" s="65" t="str">
        <f>IFERROR(VLOOKUP(B1007,منتجات!$A$3:$C$350,3,0),"")</f>
        <v/>
      </c>
      <c r="E1007" s="65"/>
      <c r="F1007" s="65" t="str">
        <f>IFERROR(INDEX(منتجات!$G$3:$G$350,MATCH(B1007,منتجات!$A$3:$A$115,0)),"")</f>
        <v/>
      </c>
      <c r="G1007" s="65" t="str">
        <f t="shared" si="17"/>
        <v/>
      </c>
      <c r="H1007" s="70"/>
    </row>
    <row r="1008" spans="1:8" x14ac:dyDescent="0.35">
      <c r="A1008" s="62"/>
      <c r="B1008" s="63"/>
      <c r="C1008" s="63" t="str">
        <f>IFERROR(VLOOKUP(B1008,منتجات!$A$3:$C$350,2,0),"")</f>
        <v/>
      </c>
      <c r="D1008" s="63" t="str">
        <f>IFERROR(VLOOKUP(B1008,منتجات!$A$3:$C$350,3,0),"")</f>
        <v/>
      </c>
      <c r="E1008" s="63"/>
      <c r="F1008" s="63" t="str">
        <f>IFERROR(INDEX(منتجات!$G$3:$G$350,MATCH(B1008,منتجات!$A$3:$A$115,0)),"")</f>
        <v/>
      </c>
      <c r="G1008" s="63" t="str">
        <f t="shared" si="17"/>
        <v/>
      </c>
      <c r="H1008" s="69"/>
    </row>
    <row r="1009" spans="1:8" x14ac:dyDescent="0.35">
      <c r="A1009" s="64"/>
      <c r="B1009" s="65"/>
      <c r="C1009" s="65" t="str">
        <f>IFERROR(VLOOKUP(B1009,منتجات!$A$3:$C$350,2,0),"")</f>
        <v/>
      </c>
      <c r="D1009" s="65" t="str">
        <f>IFERROR(VLOOKUP(B1009,منتجات!$A$3:$C$350,3,0),"")</f>
        <v/>
      </c>
      <c r="E1009" s="65"/>
      <c r="F1009" s="65" t="str">
        <f>IFERROR(INDEX(منتجات!$G$3:$G$350,MATCH(B1009,منتجات!$A$3:$A$115,0)),"")</f>
        <v/>
      </c>
      <c r="G1009" s="65" t="str">
        <f t="shared" si="17"/>
        <v/>
      </c>
      <c r="H1009" s="70"/>
    </row>
    <row r="1010" spans="1:8" x14ac:dyDescent="0.35">
      <c r="A1010" s="62"/>
      <c r="B1010" s="63"/>
      <c r="C1010" s="63" t="str">
        <f>IFERROR(VLOOKUP(B1010,منتجات!$A$3:$C$350,2,0),"")</f>
        <v/>
      </c>
      <c r="D1010" s="63" t="str">
        <f>IFERROR(VLOOKUP(B1010,منتجات!$A$3:$C$350,3,0),"")</f>
        <v/>
      </c>
      <c r="E1010" s="63"/>
      <c r="F1010" s="63" t="str">
        <f>IFERROR(INDEX(منتجات!$G$3:$G$350,MATCH(B1010,منتجات!$A$3:$A$115,0)),"")</f>
        <v/>
      </c>
      <c r="G1010" s="63" t="str">
        <f t="shared" si="17"/>
        <v/>
      </c>
      <c r="H1010" s="69"/>
    </row>
    <row r="1011" spans="1:8" x14ac:dyDescent="0.35">
      <c r="A1011" s="64"/>
      <c r="B1011" s="65"/>
      <c r="C1011" s="65" t="str">
        <f>IFERROR(VLOOKUP(B1011,منتجات!$A$3:$C$350,2,0),"")</f>
        <v/>
      </c>
      <c r="D1011" s="65" t="str">
        <f>IFERROR(VLOOKUP(B1011,منتجات!$A$3:$C$350,3,0),"")</f>
        <v/>
      </c>
      <c r="E1011" s="65"/>
      <c r="F1011" s="65" t="str">
        <f>IFERROR(INDEX(منتجات!$G$3:$G$350,MATCH(B1011,منتجات!$A$3:$A$115,0)),"")</f>
        <v/>
      </c>
      <c r="G1011" s="65" t="str">
        <f t="shared" si="17"/>
        <v/>
      </c>
      <c r="H1011" s="70"/>
    </row>
    <row r="1012" spans="1:8" x14ac:dyDescent="0.35">
      <c r="A1012" s="62"/>
      <c r="B1012" s="63"/>
      <c r="C1012" s="63" t="str">
        <f>IFERROR(VLOOKUP(B1012,منتجات!$A$3:$C$350,2,0),"")</f>
        <v/>
      </c>
      <c r="D1012" s="63" t="str">
        <f>IFERROR(VLOOKUP(B1012,منتجات!$A$3:$C$350,3,0),"")</f>
        <v/>
      </c>
      <c r="E1012" s="63"/>
      <c r="F1012" s="63" t="str">
        <f>IFERROR(INDEX(منتجات!$G$3:$G$350,MATCH(B1012,منتجات!$A$3:$A$115,0)),"")</f>
        <v/>
      </c>
      <c r="G1012" s="63" t="str">
        <f t="shared" si="17"/>
        <v/>
      </c>
      <c r="H1012" s="69"/>
    </row>
    <row r="1013" spans="1:8" x14ac:dyDescent="0.35">
      <c r="A1013" s="64"/>
      <c r="B1013" s="65"/>
      <c r="C1013" s="65" t="str">
        <f>IFERROR(VLOOKUP(B1013,منتجات!$A$3:$C$350,2,0),"")</f>
        <v/>
      </c>
      <c r="D1013" s="65" t="str">
        <f>IFERROR(VLOOKUP(B1013,منتجات!$A$3:$C$350,3,0),"")</f>
        <v/>
      </c>
      <c r="E1013" s="65"/>
      <c r="F1013" s="65" t="str">
        <f>IFERROR(INDEX(منتجات!$G$3:$G$350,MATCH(B1013,منتجات!$A$3:$A$115,0)),"")</f>
        <v/>
      </c>
      <c r="G1013" s="65" t="str">
        <f t="shared" si="17"/>
        <v/>
      </c>
      <c r="H1013" s="70"/>
    </row>
    <row r="1014" spans="1:8" x14ac:dyDescent="0.35">
      <c r="A1014" s="62"/>
      <c r="B1014" s="63"/>
      <c r="C1014" s="63" t="str">
        <f>IFERROR(VLOOKUP(B1014,منتجات!$A$3:$C$350,2,0),"")</f>
        <v/>
      </c>
      <c r="D1014" s="63" t="str">
        <f>IFERROR(VLOOKUP(B1014,منتجات!$A$3:$C$350,3,0),"")</f>
        <v/>
      </c>
      <c r="E1014" s="63"/>
      <c r="F1014" s="63" t="str">
        <f>IFERROR(INDEX(منتجات!$G$3:$G$350,MATCH(B1014,منتجات!$A$3:$A$115,0)),"")</f>
        <v/>
      </c>
      <c r="G1014" s="63" t="str">
        <f t="shared" si="17"/>
        <v/>
      </c>
      <c r="H1014" s="69"/>
    </row>
    <row r="1015" spans="1:8" x14ac:dyDescent="0.35">
      <c r="A1015" s="64"/>
      <c r="B1015" s="65"/>
      <c r="C1015" s="65" t="str">
        <f>IFERROR(VLOOKUP(B1015,منتجات!$A$3:$C$350,2,0),"")</f>
        <v/>
      </c>
      <c r="D1015" s="65" t="str">
        <f>IFERROR(VLOOKUP(B1015,منتجات!$A$3:$C$350,3,0),"")</f>
        <v/>
      </c>
      <c r="E1015" s="65"/>
      <c r="F1015" s="65" t="str">
        <f>IFERROR(INDEX(منتجات!$G$3:$G$350,MATCH(B1015,منتجات!$A$3:$A$115,0)),"")</f>
        <v/>
      </c>
      <c r="G1015" s="65" t="str">
        <f t="shared" si="17"/>
        <v/>
      </c>
      <c r="H1015" s="70"/>
    </row>
    <row r="1016" spans="1:8" x14ac:dyDescent="0.35">
      <c r="A1016" s="62"/>
      <c r="B1016" s="63"/>
      <c r="C1016" s="63" t="str">
        <f>IFERROR(VLOOKUP(B1016,منتجات!$A$3:$C$350,2,0),"")</f>
        <v/>
      </c>
      <c r="D1016" s="63" t="str">
        <f>IFERROR(VLOOKUP(B1016,منتجات!$A$3:$C$350,3,0),"")</f>
        <v/>
      </c>
      <c r="E1016" s="63"/>
      <c r="F1016" s="63" t="str">
        <f>IFERROR(INDEX(منتجات!$G$3:$G$350,MATCH(B1016,منتجات!$A$3:$A$115,0)),"")</f>
        <v/>
      </c>
      <c r="G1016" s="63" t="str">
        <f t="shared" si="17"/>
        <v/>
      </c>
      <c r="H1016" s="69"/>
    </row>
    <row r="1017" spans="1:8" x14ac:dyDescent="0.35">
      <c r="A1017" s="64"/>
      <c r="B1017" s="65"/>
      <c r="C1017" s="65" t="str">
        <f>IFERROR(VLOOKUP(B1017,منتجات!$A$3:$C$350,2,0),"")</f>
        <v/>
      </c>
      <c r="D1017" s="65" t="str">
        <f>IFERROR(VLOOKUP(B1017,منتجات!$A$3:$C$350,3,0),"")</f>
        <v/>
      </c>
      <c r="E1017" s="65"/>
      <c r="F1017" s="65" t="str">
        <f>IFERROR(INDEX(منتجات!$G$3:$G$350,MATCH(B1017,منتجات!$A$3:$A$115,0)),"")</f>
        <v/>
      </c>
      <c r="G1017" s="65" t="str">
        <f t="shared" si="17"/>
        <v/>
      </c>
      <c r="H1017" s="70"/>
    </row>
    <row r="1018" spans="1:8" x14ac:dyDescent="0.35">
      <c r="A1018" s="62"/>
      <c r="B1018" s="63"/>
      <c r="C1018" s="63" t="str">
        <f>IFERROR(VLOOKUP(B1018,منتجات!$A$3:$C$350,2,0),"")</f>
        <v/>
      </c>
      <c r="D1018" s="63" t="str">
        <f>IFERROR(VLOOKUP(B1018,منتجات!$A$3:$C$350,3,0),"")</f>
        <v/>
      </c>
      <c r="E1018" s="63"/>
      <c r="F1018" s="63" t="str">
        <f>IFERROR(INDEX(منتجات!$G$3:$G$350,MATCH(B1018,منتجات!$A$3:$A$115,0)),"")</f>
        <v/>
      </c>
      <c r="G1018" s="63" t="str">
        <f t="shared" si="17"/>
        <v/>
      </c>
      <c r="H1018" s="69"/>
    </row>
    <row r="1019" spans="1:8" x14ac:dyDescent="0.35">
      <c r="A1019" s="64"/>
      <c r="B1019" s="65"/>
      <c r="C1019" s="65" t="str">
        <f>IFERROR(VLOOKUP(B1019,منتجات!$A$3:$C$350,2,0),"")</f>
        <v/>
      </c>
      <c r="D1019" s="65" t="str">
        <f>IFERROR(VLOOKUP(B1019,منتجات!$A$3:$C$350,3,0),"")</f>
        <v/>
      </c>
      <c r="E1019" s="65"/>
      <c r="F1019" s="65" t="str">
        <f>IFERROR(INDEX(منتجات!$G$3:$G$350,MATCH(B1019,منتجات!$A$3:$A$115,0)),"")</f>
        <v/>
      </c>
      <c r="G1019" s="65" t="str">
        <f t="shared" si="17"/>
        <v/>
      </c>
      <c r="H1019" s="70"/>
    </row>
    <row r="1020" spans="1:8" x14ac:dyDescent="0.35">
      <c r="A1020" s="62"/>
      <c r="B1020" s="63"/>
      <c r="C1020" s="63" t="str">
        <f>IFERROR(VLOOKUP(B1020,منتجات!$A$3:$C$350,2,0),"")</f>
        <v/>
      </c>
      <c r="D1020" s="63" t="str">
        <f>IFERROR(VLOOKUP(B1020,منتجات!$A$3:$C$350,3,0),"")</f>
        <v/>
      </c>
      <c r="E1020" s="63"/>
      <c r="F1020" s="63" t="str">
        <f>IFERROR(INDEX(منتجات!$G$3:$G$350,MATCH(B1020,منتجات!$A$3:$A$115,0)),"")</f>
        <v/>
      </c>
      <c r="G1020" s="63" t="str">
        <f t="shared" si="17"/>
        <v/>
      </c>
      <c r="H1020" s="69"/>
    </row>
    <row r="1021" spans="1:8" x14ac:dyDescent="0.35">
      <c r="A1021" s="64"/>
      <c r="B1021" s="65"/>
      <c r="C1021" s="65" t="str">
        <f>IFERROR(VLOOKUP(B1021,منتجات!$A$3:$C$350,2,0),"")</f>
        <v/>
      </c>
      <c r="D1021" s="65" t="str">
        <f>IFERROR(VLOOKUP(B1021,منتجات!$A$3:$C$350,3,0),"")</f>
        <v/>
      </c>
      <c r="E1021" s="65"/>
      <c r="F1021" s="65" t="str">
        <f>IFERROR(INDEX(منتجات!$G$3:$G$350,MATCH(B1021,منتجات!$A$3:$A$115,0)),"")</f>
        <v/>
      </c>
      <c r="G1021" s="65" t="str">
        <f t="shared" si="17"/>
        <v/>
      </c>
      <c r="H1021" s="70"/>
    </row>
    <row r="1022" spans="1:8" x14ac:dyDescent="0.35">
      <c r="A1022" s="62"/>
      <c r="B1022" s="63"/>
      <c r="C1022" s="63" t="str">
        <f>IFERROR(VLOOKUP(B1022,منتجات!$A$3:$C$350,2,0),"")</f>
        <v/>
      </c>
      <c r="D1022" s="63" t="str">
        <f>IFERROR(VLOOKUP(B1022,منتجات!$A$3:$C$350,3,0),"")</f>
        <v/>
      </c>
      <c r="E1022" s="63"/>
      <c r="F1022" s="63" t="str">
        <f>IFERROR(INDEX(منتجات!$G$3:$G$350,MATCH(B1022,منتجات!$A$3:$A$115,0)),"")</f>
        <v/>
      </c>
      <c r="G1022" s="63" t="str">
        <f t="shared" si="17"/>
        <v/>
      </c>
      <c r="H1022" s="69"/>
    </row>
    <row r="1023" spans="1:8" x14ac:dyDescent="0.35">
      <c r="A1023" s="64"/>
      <c r="B1023" s="65"/>
      <c r="C1023" s="65" t="str">
        <f>IFERROR(VLOOKUP(B1023,منتجات!$A$3:$C$350,2,0),"")</f>
        <v/>
      </c>
      <c r="D1023" s="65" t="str">
        <f>IFERROR(VLOOKUP(B1023,منتجات!$A$3:$C$350,3,0),"")</f>
        <v/>
      </c>
      <c r="E1023" s="65"/>
      <c r="F1023" s="65" t="str">
        <f>IFERROR(INDEX(منتجات!$G$3:$G$350,MATCH(B1023,منتجات!$A$3:$A$115,0)),"")</f>
        <v/>
      </c>
      <c r="G1023" s="65" t="str">
        <f t="shared" si="17"/>
        <v/>
      </c>
      <c r="H1023" s="70"/>
    </row>
    <row r="1024" spans="1:8" x14ac:dyDescent="0.35">
      <c r="A1024" s="62"/>
      <c r="B1024" s="63"/>
      <c r="C1024" s="63" t="str">
        <f>IFERROR(VLOOKUP(B1024,منتجات!$A$3:$C$350,2,0),"")</f>
        <v/>
      </c>
      <c r="D1024" s="63" t="str">
        <f>IFERROR(VLOOKUP(B1024,منتجات!$A$3:$C$350,3,0),"")</f>
        <v/>
      </c>
      <c r="E1024" s="63"/>
      <c r="F1024" s="63" t="str">
        <f>IFERROR(INDEX(منتجات!$G$3:$G$350,MATCH(B1024,منتجات!$A$3:$A$115,0)),"")</f>
        <v/>
      </c>
      <c r="G1024" s="63" t="str">
        <f t="shared" si="17"/>
        <v/>
      </c>
      <c r="H1024" s="69"/>
    </row>
    <row r="1025" spans="1:8" x14ac:dyDescent="0.35">
      <c r="A1025" s="64"/>
      <c r="B1025" s="65"/>
      <c r="C1025" s="65" t="str">
        <f>IFERROR(VLOOKUP(B1025,منتجات!$A$3:$C$350,2,0),"")</f>
        <v/>
      </c>
      <c r="D1025" s="65" t="str">
        <f>IFERROR(VLOOKUP(B1025,منتجات!$A$3:$C$350,3,0),"")</f>
        <v/>
      </c>
      <c r="E1025" s="65"/>
      <c r="F1025" s="65" t="str">
        <f>IFERROR(INDEX(منتجات!$G$3:$G$350,MATCH(B1025,منتجات!$A$3:$A$115,0)),"")</f>
        <v/>
      </c>
      <c r="G1025" s="65" t="str">
        <f t="shared" si="17"/>
        <v/>
      </c>
      <c r="H1025" s="70"/>
    </row>
    <row r="1026" spans="1:8" x14ac:dyDescent="0.35">
      <c r="A1026" s="62"/>
      <c r="B1026" s="63"/>
      <c r="C1026" s="63" t="str">
        <f>IFERROR(VLOOKUP(B1026,منتجات!$A$3:$C$350,2,0),"")</f>
        <v/>
      </c>
      <c r="D1026" s="63" t="str">
        <f>IFERROR(VLOOKUP(B1026,منتجات!$A$3:$C$350,3,0),"")</f>
        <v/>
      </c>
      <c r="E1026" s="63"/>
      <c r="F1026" s="63" t="str">
        <f>IFERROR(INDEX(منتجات!$G$3:$G$350,MATCH(B1026,منتجات!$A$3:$A$115,0)),"")</f>
        <v/>
      </c>
      <c r="G1026" s="63" t="str">
        <f t="shared" si="17"/>
        <v/>
      </c>
      <c r="H1026" s="69"/>
    </row>
    <row r="1027" spans="1:8" x14ac:dyDescent="0.35">
      <c r="A1027" s="64"/>
      <c r="B1027" s="65"/>
      <c r="C1027" s="65" t="str">
        <f>IFERROR(VLOOKUP(B1027,منتجات!$A$3:$C$350,2,0),"")</f>
        <v/>
      </c>
      <c r="D1027" s="65" t="str">
        <f>IFERROR(VLOOKUP(B1027,منتجات!$A$3:$C$350,3,0),"")</f>
        <v/>
      </c>
      <c r="E1027" s="65"/>
      <c r="F1027" s="65" t="str">
        <f>IFERROR(INDEX(منتجات!$G$3:$G$350,MATCH(B1027,منتجات!$A$3:$A$115,0)),"")</f>
        <v/>
      </c>
      <c r="G1027" s="65" t="str">
        <f t="shared" si="17"/>
        <v/>
      </c>
      <c r="H1027" s="70"/>
    </row>
    <row r="1028" spans="1:8" x14ac:dyDescent="0.35">
      <c r="A1028" s="62"/>
      <c r="B1028" s="63"/>
      <c r="C1028" s="63" t="str">
        <f>IFERROR(VLOOKUP(B1028,منتجات!$A$3:$C$350,2,0),"")</f>
        <v/>
      </c>
      <c r="D1028" s="63" t="str">
        <f>IFERROR(VLOOKUP(B1028,منتجات!$A$3:$C$350,3,0),"")</f>
        <v/>
      </c>
      <c r="E1028" s="63"/>
      <c r="F1028" s="63" t="str">
        <f>IFERROR(INDEX(منتجات!$G$3:$G$350,MATCH(B1028,منتجات!$A$3:$A$115,0)),"")</f>
        <v/>
      </c>
      <c r="G1028" s="63" t="str">
        <f t="shared" si="17"/>
        <v/>
      </c>
      <c r="H1028" s="69"/>
    </row>
    <row r="1029" spans="1:8" x14ac:dyDescent="0.35">
      <c r="A1029" s="64"/>
      <c r="B1029" s="65"/>
      <c r="C1029" s="65" t="str">
        <f>IFERROR(VLOOKUP(B1029,منتجات!$A$3:$C$350,2,0),"")</f>
        <v/>
      </c>
      <c r="D1029" s="65" t="str">
        <f>IFERROR(VLOOKUP(B1029,منتجات!$A$3:$C$350,3,0),"")</f>
        <v/>
      </c>
      <c r="E1029" s="65"/>
      <c r="F1029" s="65" t="str">
        <f>IFERROR(INDEX(منتجات!$G$3:$G$350,MATCH(B1029,منتجات!$A$3:$A$115,0)),"")</f>
        <v/>
      </c>
      <c r="G1029" s="65" t="str">
        <f t="shared" si="17"/>
        <v/>
      </c>
      <c r="H1029" s="70"/>
    </row>
    <row r="1030" spans="1:8" x14ac:dyDescent="0.35">
      <c r="A1030" s="62"/>
      <c r="B1030" s="63"/>
      <c r="C1030" s="63" t="str">
        <f>IFERROR(VLOOKUP(B1030,منتجات!$A$3:$C$350,2,0),"")</f>
        <v/>
      </c>
      <c r="D1030" s="63" t="str">
        <f>IFERROR(VLOOKUP(B1030,منتجات!$A$3:$C$350,3,0),"")</f>
        <v/>
      </c>
      <c r="E1030" s="63"/>
      <c r="F1030" s="63" t="str">
        <f>IFERROR(INDEX(منتجات!$G$3:$G$350,MATCH(B1030,منتجات!$A$3:$A$115,0)),"")</f>
        <v/>
      </c>
      <c r="G1030" s="63" t="str">
        <f t="shared" ref="G1030:G1093" si="18">IFERROR(E1030*F1030*D1030,"")</f>
        <v/>
      </c>
      <c r="H1030" s="69"/>
    </row>
    <row r="1031" spans="1:8" x14ac:dyDescent="0.35">
      <c r="A1031" s="64"/>
      <c r="B1031" s="65"/>
      <c r="C1031" s="65" t="str">
        <f>IFERROR(VLOOKUP(B1031,منتجات!$A$3:$C$350,2,0),"")</f>
        <v/>
      </c>
      <c r="D1031" s="65" t="str">
        <f>IFERROR(VLOOKUP(B1031,منتجات!$A$3:$C$350,3,0),"")</f>
        <v/>
      </c>
      <c r="E1031" s="65"/>
      <c r="F1031" s="65" t="str">
        <f>IFERROR(INDEX(منتجات!$G$3:$G$350,MATCH(B1031,منتجات!$A$3:$A$115,0)),"")</f>
        <v/>
      </c>
      <c r="G1031" s="65" t="str">
        <f t="shared" si="18"/>
        <v/>
      </c>
      <c r="H1031" s="70"/>
    </row>
    <row r="1032" spans="1:8" x14ac:dyDescent="0.35">
      <c r="A1032" s="62"/>
      <c r="B1032" s="63"/>
      <c r="C1032" s="63" t="str">
        <f>IFERROR(VLOOKUP(B1032,منتجات!$A$3:$C$350,2,0),"")</f>
        <v/>
      </c>
      <c r="D1032" s="63" t="str">
        <f>IFERROR(VLOOKUP(B1032,منتجات!$A$3:$C$350,3,0),"")</f>
        <v/>
      </c>
      <c r="E1032" s="63"/>
      <c r="F1032" s="63" t="str">
        <f>IFERROR(INDEX(منتجات!$G$3:$G$350,MATCH(B1032,منتجات!$A$3:$A$115,0)),"")</f>
        <v/>
      </c>
      <c r="G1032" s="63" t="str">
        <f t="shared" si="18"/>
        <v/>
      </c>
      <c r="H1032" s="69"/>
    </row>
    <row r="1033" spans="1:8" x14ac:dyDescent="0.35">
      <c r="A1033" s="64"/>
      <c r="B1033" s="65"/>
      <c r="C1033" s="65" t="str">
        <f>IFERROR(VLOOKUP(B1033,منتجات!$A$3:$C$350,2,0),"")</f>
        <v/>
      </c>
      <c r="D1033" s="65" t="str">
        <f>IFERROR(VLOOKUP(B1033,منتجات!$A$3:$C$350,3,0),"")</f>
        <v/>
      </c>
      <c r="E1033" s="65"/>
      <c r="F1033" s="65" t="str">
        <f>IFERROR(INDEX(منتجات!$G$3:$G$350,MATCH(B1033,منتجات!$A$3:$A$115,0)),"")</f>
        <v/>
      </c>
      <c r="G1033" s="65" t="str">
        <f t="shared" si="18"/>
        <v/>
      </c>
      <c r="H1033" s="70"/>
    </row>
    <row r="1034" spans="1:8" x14ac:dyDescent="0.35">
      <c r="A1034" s="62"/>
      <c r="B1034" s="63"/>
      <c r="C1034" s="63" t="str">
        <f>IFERROR(VLOOKUP(B1034,منتجات!$A$3:$C$350,2,0),"")</f>
        <v/>
      </c>
      <c r="D1034" s="63" t="str">
        <f>IFERROR(VLOOKUP(B1034,منتجات!$A$3:$C$350,3,0),"")</f>
        <v/>
      </c>
      <c r="E1034" s="63"/>
      <c r="F1034" s="63" t="str">
        <f>IFERROR(INDEX(منتجات!$G$3:$G$350,MATCH(B1034,منتجات!$A$3:$A$115,0)),"")</f>
        <v/>
      </c>
      <c r="G1034" s="63" t="str">
        <f t="shared" si="18"/>
        <v/>
      </c>
      <c r="H1034" s="69"/>
    </row>
    <row r="1035" spans="1:8" x14ac:dyDescent="0.35">
      <c r="A1035" s="64"/>
      <c r="B1035" s="65"/>
      <c r="C1035" s="65" t="str">
        <f>IFERROR(VLOOKUP(B1035,منتجات!$A$3:$C$350,2,0),"")</f>
        <v/>
      </c>
      <c r="D1035" s="65" t="str">
        <f>IFERROR(VLOOKUP(B1035,منتجات!$A$3:$C$350,3,0),"")</f>
        <v/>
      </c>
      <c r="E1035" s="65"/>
      <c r="F1035" s="65" t="str">
        <f>IFERROR(INDEX(منتجات!$G$3:$G$350,MATCH(B1035,منتجات!$A$3:$A$115,0)),"")</f>
        <v/>
      </c>
      <c r="G1035" s="65" t="str">
        <f t="shared" si="18"/>
        <v/>
      </c>
      <c r="H1035" s="70"/>
    </row>
    <row r="1036" spans="1:8" x14ac:dyDescent="0.35">
      <c r="A1036" s="62"/>
      <c r="B1036" s="63"/>
      <c r="C1036" s="63" t="str">
        <f>IFERROR(VLOOKUP(B1036,منتجات!$A$3:$C$350,2,0),"")</f>
        <v/>
      </c>
      <c r="D1036" s="63" t="str">
        <f>IFERROR(VLOOKUP(B1036,منتجات!$A$3:$C$350,3,0),"")</f>
        <v/>
      </c>
      <c r="E1036" s="63"/>
      <c r="F1036" s="63" t="str">
        <f>IFERROR(INDEX(منتجات!$G$3:$G$350,MATCH(B1036,منتجات!$A$3:$A$115,0)),"")</f>
        <v/>
      </c>
      <c r="G1036" s="63" t="str">
        <f t="shared" si="18"/>
        <v/>
      </c>
      <c r="H1036" s="69"/>
    </row>
    <row r="1037" spans="1:8" x14ac:dyDescent="0.35">
      <c r="A1037" s="64"/>
      <c r="B1037" s="65"/>
      <c r="C1037" s="65" t="str">
        <f>IFERROR(VLOOKUP(B1037,منتجات!$A$3:$C$350,2,0),"")</f>
        <v/>
      </c>
      <c r="D1037" s="65" t="str">
        <f>IFERROR(VLOOKUP(B1037,منتجات!$A$3:$C$350,3,0),"")</f>
        <v/>
      </c>
      <c r="E1037" s="65"/>
      <c r="F1037" s="65" t="str">
        <f>IFERROR(INDEX(منتجات!$G$3:$G$350,MATCH(B1037,منتجات!$A$3:$A$115,0)),"")</f>
        <v/>
      </c>
      <c r="G1037" s="65" t="str">
        <f t="shared" si="18"/>
        <v/>
      </c>
      <c r="H1037" s="70"/>
    </row>
    <row r="1038" spans="1:8" x14ac:dyDescent="0.35">
      <c r="A1038" s="62"/>
      <c r="B1038" s="63"/>
      <c r="C1038" s="63" t="str">
        <f>IFERROR(VLOOKUP(B1038,منتجات!$A$3:$C$350,2,0),"")</f>
        <v/>
      </c>
      <c r="D1038" s="63" t="str">
        <f>IFERROR(VLOOKUP(B1038,منتجات!$A$3:$C$350,3,0),"")</f>
        <v/>
      </c>
      <c r="E1038" s="63"/>
      <c r="F1038" s="63" t="str">
        <f>IFERROR(INDEX(منتجات!$G$3:$G$350,MATCH(B1038,منتجات!$A$3:$A$115,0)),"")</f>
        <v/>
      </c>
      <c r="G1038" s="63" t="str">
        <f t="shared" si="18"/>
        <v/>
      </c>
      <c r="H1038" s="69"/>
    </row>
    <row r="1039" spans="1:8" x14ac:dyDescent="0.35">
      <c r="A1039" s="64"/>
      <c r="B1039" s="65"/>
      <c r="C1039" s="65" t="str">
        <f>IFERROR(VLOOKUP(B1039,منتجات!$A$3:$C$350,2,0),"")</f>
        <v/>
      </c>
      <c r="D1039" s="65" t="str">
        <f>IFERROR(VLOOKUP(B1039,منتجات!$A$3:$C$350,3,0),"")</f>
        <v/>
      </c>
      <c r="E1039" s="65"/>
      <c r="F1039" s="65" t="str">
        <f>IFERROR(INDEX(منتجات!$G$3:$G$350,MATCH(B1039,منتجات!$A$3:$A$115,0)),"")</f>
        <v/>
      </c>
      <c r="G1039" s="65" t="str">
        <f t="shared" si="18"/>
        <v/>
      </c>
      <c r="H1039" s="70"/>
    </row>
    <row r="1040" spans="1:8" x14ac:dyDescent="0.35">
      <c r="A1040" s="62"/>
      <c r="B1040" s="63"/>
      <c r="C1040" s="63" t="str">
        <f>IFERROR(VLOOKUP(B1040,منتجات!$A$3:$C$350,2,0),"")</f>
        <v/>
      </c>
      <c r="D1040" s="63" t="str">
        <f>IFERROR(VLOOKUP(B1040,منتجات!$A$3:$C$350,3,0),"")</f>
        <v/>
      </c>
      <c r="E1040" s="63"/>
      <c r="F1040" s="63" t="str">
        <f>IFERROR(INDEX(منتجات!$G$3:$G$350,MATCH(B1040,منتجات!$A$3:$A$115,0)),"")</f>
        <v/>
      </c>
      <c r="G1040" s="63" t="str">
        <f t="shared" si="18"/>
        <v/>
      </c>
      <c r="H1040" s="69"/>
    </row>
    <row r="1041" spans="1:8" x14ac:dyDescent="0.35">
      <c r="A1041" s="64"/>
      <c r="B1041" s="65"/>
      <c r="C1041" s="65" t="str">
        <f>IFERROR(VLOOKUP(B1041,منتجات!$A$3:$C$350,2,0),"")</f>
        <v/>
      </c>
      <c r="D1041" s="65" t="str">
        <f>IFERROR(VLOOKUP(B1041,منتجات!$A$3:$C$350,3,0),"")</f>
        <v/>
      </c>
      <c r="E1041" s="65"/>
      <c r="F1041" s="65" t="str">
        <f>IFERROR(INDEX(منتجات!$G$3:$G$350,MATCH(B1041,منتجات!$A$3:$A$115,0)),"")</f>
        <v/>
      </c>
      <c r="G1041" s="65" t="str">
        <f t="shared" si="18"/>
        <v/>
      </c>
      <c r="H1041" s="70"/>
    </row>
    <row r="1042" spans="1:8" x14ac:dyDescent="0.35">
      <c r="A1042" s="62"/>
      <c r="B1042" s="63"/>
      <c r="C1042" s="63" t="str">
        <f>IFERROR(VLOOKUP(B1042,منتجات!$A$3:$C$350,2,0),"")</f>
        <v/>
      </c>
      <c r="D1042" s="63" t="str">
        <f>IFERROR(VLOOKUP(B1042,منتجات!$A$3:$C$350,3,0),"")</f>
        <v/>
      </c>
      <c r="E1042" s="63"/>
      <c r="F1042" s="63" t="str">
        <f>IFERROR(INDEX(منتجات!$G$3:$G$350,MATCH(B1042,منتجات!$A$3:$A$115,0)),"")</f>
        <v/>
      </c>
      <c r="G1042" s="63" t="str">
        <f t="shared" si="18"/>
        <v/>
      </c>
      <c r="H1042" s="69"/>
    </row>
    <row r="1043" spans="1:8" x14ac:dyDescent="0.35">
      <c r="A1043" s="64"/>
      <c r="B1043" s="65"/>
      <c r="C1043" s="65" t="str">
        <f>IFERROR(VLOOKUP(B1043,منتجات!$A$3:$C$350,2,0),"")</f>
        <v/>
      </c>
      <c r="D1043" s="65" t="str">
        <f>IFERROR(VLOOKUP(B1043,منتجات!$A$3:$C$350,3,0),"")</f>
        <v/>
      </c>
      <c r="E1043" s="65"/>
      <c r="F1043" s="65" t="str">
        <f>IFERROR(INDEX(منتجات!$G$3:$G$350,MATCH(B1043,منتجات!$A$3:$A$115,0)),"")</f>
        <v/>
      </c>
      <c r="G1043" s="65" t="str">
        <f t="shared" si="18"/>
        <v/>
      </c>
      <c r="H1043" s="70"/>
    </row>
    <row r="1044" spans="1:8" x14ac:dyDescent="0.35">
      <c r="A1044" s="62"/>
      <c r="B1044" s="63"/>
      <c r="C1044" s="63" t="str">
        <f>IFERROR(VLOOKUP(B1044,منتجات!$A$3:$C$350,2,0),"")</f>
        <v/>
      </c>
      <c r="D1044" s="63" t="str">
        <f>IFERROR(VLOOKUP(B1044,منتجات!$A$3:$C$350,3,0),"")</f>
        <v/>
      </c>
      <c r="E1044" s="63"/>
      <c r="F1044" s="63" t="str">
        <f>IFERROR(INDEX(منتجات!$G$3:$G$350,MATCH(B1044,منتجات!$A$3:$A$115,0)),"")</f>
        <v/>
      </c>
      <c r="G1044" s="63" t="str">
        <f t="shared" si="18"/>
        <v/>
      </c>
      <c r="H1044" s="69"/>
    </row>
    <row r="1045" spans="1:8" x14ac:dyDescent="0.35">
      <c r="A1045" s="64"/>
      <c r="B1045" s="65"/>
      <c r="C1045" s="65" t="str">
        <f>IFERROR(VLOOKUP(B1045,منتجات!$A$3:$C$350,2,0),"")</f>
        <v/>
      </c>
      <c r="D1045" s="65" t="str">
        <f>IFERROR(VLOOKUP(B1045,منتجات!$A$3:$C$350,3,0),"")</f>
        <v/>
      </c>
      <c r="E1045" s="65"/>
      <c r="F1045" s="65" t="str">
        <f>IFERROR(INDEX(منتجات!$G$3:$G$350,MATCH(B1045,منتجات!$A$3:$A$115,0)),"")</f>
        <v/>
      </c>
      <c r="G1045" s="65" t="str">
        <f t="shared" si="18"/>
        <v/>
      </c>
      <c r="H1045" s="70"/>
    </row>
    <row r="1046" spans="1:8" x14ac:dyDescent="0.35">
      <c r="A1046" s="62"/>
      <c r="B1046" s="63"/>
      <c r="C1046" s="63" t="str">
        <f>IFERROR(VLOOKUP(B1046,منتجات!$A$3:$C$350,2,0),"")</f>
        <v/>
      </c>
      <c r="D1046" s="63" t="str">
        <f>IFERROR(VLOOKUP(B1046,منتجات!$A$3:$C$350,3,0),"")</f>
        <v/>
      </c>
      <c r="E1046" s="63"/>
      <c r="F1046" s="63" t="str">
        <f>IFERROR(INDEX(منتجات!$G$3:$G$350,MATCH(B1046,منتجات!$A$3:$A$115,0)),"")</f>
        <v/>
      </c>
      <c r="G1046" s="63" t="str">
        <f t="shared" si="18"/>
        <v/>
      </c>
      <c r="H1046" s="69"/>
    </row>
    <row r="1047" spans="1:8" x14ac:dyDescent="0.35">
      <c r="A1047" s="64"/>
      <c r="B1047" s="65"/>
      <c r="C1047" s="65" t="str">
        <f>IFERROR(VLOOKUP(B1047,منتجات!$A$3:$C$350,2,0),"")</f>
        <v/>
      </c>
      <c r="D1047" s="65" t="str">
        <f>IFERROR(VLOOKUP(B1047,منتجات!$A$3:$C$350,3,0),"")</f>
        <v/>
      </c>
      <c r="E1047" s="65"/>
      <c r="F1047" s="65" t="str">
        <f>IFERROR(INDEX(منتجات!$G$3:$G$350,MATCH(B1047,منتجات!$A$3:$A$115,0)),"")</f>
        <v/>
      </c>
      <c r="G1047" s="65" t="str">
        <f t="shared" si="18"/>
        <v/>
      </c>
      <c r="H1047" s="70"/>
    </row>
    <row r="1048" spans="1:8" x14ac:dyDescent="0.35">
      <c r="A1048" s="62"/>
      <c r="B1048" s="63"/>
      <c r="C1048" s="63" t="str">
        <f>IFERROR(VLOOKUP(B1048,منتجات!$A$3:$C$350,2,0),"")</f>
        <v/>
      </c>
      <c r="D1048" s="63" t="str">
        <f>IFERROR(VLOOKUP(B1048,منتجات!$A$3:$C$350,3,0),"")</f>
        <v/>
      </c>
      <c r="E1048" s="63"/>
      <c r="F1048" s="63" t="str">
        <f>IFERROR(INDEX(منتجات!$G$3:$G$350,MATCH(B1048,منتجات!$A$3:$A$115,0)),"")</f>
        <v/>
      </c>
      <c r="G1048" s="63" t="str">
        <f t="shared" si="18"/>
        <v/>
      </c>
      <c r="H1048" s="69"/>
    </row>
    <row r="1049" spans="1:8" x14ac:dyDescent="0.35">
      <c r="A1049" s="64"/>
      <c r="B1049" s="65"/>
      <c r="C1049" s="65" t="str">
        <f>IFERROR(VLOOKUP(B1049,منتجات!$A$3:$C$350,2,0),"")</f>
        <v/>
      </c>
      <c r="D1049" s="65" t="str">
        <f>IFERROR(VLOOKUP(B1049,منتجات!$A$3:$C$350,3,0),"")</f>
        <v/>
      </c>
      <c r="E1049" s="65"/>
      <c r="F1049" s="65" t="str">
        <f>IFERROR(INDEX(منتجات!$G$3:$G$350,MATCH(B1049,منتجات!$A$3:$A$115,0)),"")</f>
        <v/>
      </c>
      <c r="G1049" s="65" t="str">
        <f t="shared" si="18"/>
        <v/>
      </c>
      <c r="H1049" s="70"/>
    </row>
    <row r="1050" spans="1:8" x14ac:dyDescent="0.35">
      <c r="A1050" s="62"/>
      <c r="B1050" s="63"/>
      <c r="C1050" s="63" t="str">
        <f>IFERROR(VLOOKUP(B1050,منتجات!$A$3:$C$350,2,0),"")</f>
        <v/>
      </c>
      <c r="D1050" s="63" t="str">
        <f>IFERROR(VLOOKUP(B1050,منتجات!$A$3:$C$350,3,0),"")</f>
        <v/>
      </c>
      <c r="E1050" s="63"/>
      <c r="F1050" s="63" t="str">
        <f>IFERROR(INDEX(منتجات!$G$3:$G$350,MATCH(B1050,منتجات!$A$3:$A$115,0)),"")</f>
        <v/>
      </c>
      <c r="G1050" s="63" t="str">
        <f t="shared" si="18"/>
        <v/>
      </c>
      <c r="H1050" s="69"/>
    </row>
    <row r="1051" spans="1:8" x14ac:dyDescent="0.35">
      <c r="A1051" s="64"/>
      <c r="B1051" s="65"/>
      <c r="C1051" s="65" t="str">
        <f>IFERROR(VLOOKUP(B1051,منتجات!$A$3:$C$350,2,0),"")</f>
        <v/>
      </c>
      <c r="D1051" s="65" t="str">
        <f>IFERROR(VLOOKUP(B1051,منتجات!$A$3:$C$350,3,0),"")</f>
        <v/>
      </c>
      <c r="E1051" s="65"/>
      <c r="F1051" s="65" t="str">
        <f>IFERROR(INDEX(منتجات!$G$3:$G$350,MATCH(B1051,منتجات!$A$3:$A$115,0)),"")</f>
        <v/>
      </c>
      <c r="G1051" s="65" t="str">
        <f t="shared" si="18"/>
        <v/>
      </c>
      <c r="H1051" s="70"/>
    </row>
    <row r="1052" spans="1:8" x14ac:dyDescent="0.35">
      <c r="A1052" s="62"/>
      <c r="B1052" s="63"/>
      <c r="C1052" s="63" t="str">
        <f>IFERROR(VLOOKUP(B1052,منتجات!$A$3:$C$350,2,0),"")</f>
        <v/>
      </c>
      <c r="D1052" s="63" t="str">
        <f>IFERROR(VLOOKUP(B1052,منتجات!$A$3:$C$350,3,0),"")</f>
        <v/>
      </c>
      <c r="E1052" s="63"/>
      <c r="F1052" s="63" t="str">
        <f>IFERROR(INDEX(منتجات!$G$3:$G$350,MATCH(B1052,منتجات!$A$3:$A$115,0)),"")</f>
        <v/>
      </c>
      <c r="G1052" s="63" t="str">
        <f t="shared" si="18"/>
        <v/>
      </c>
      <c r="H1052" s="69"/>
    </row>
    <row r="1053" spans="1:8" x14ac:dyDescent="0.35">
      <c r="A1053" s="64"/>
      <c r="B1053" s="65"/>
      <c r="C1053" s="65" t="str">
        <f>IFERROR(VLOOKUP(B1053,منتجات!$A$3:$C$350,2,0),"")</f>
        <v/>
      </c>
      <c r="D1053" s="65" t="str">
        <f>IFERROR(VLOOKUP(B1053,منتجات!$A$3:$C$350,3,0),"")</f>
        <v/>
      </c>
      <c r="E1053" s="65"/>
      <c r="F1053" s="65" t="str">
        <f>IFERROR(INDEX(منتجات!$G$3:$G$350,MATCH(B1053,منتجات!$A$3:$A$115,0)),"")</f>
        <v/>
      </c>
      <c r="G1053" s="65" t="str">
        <f t="shared" si="18"/>
        <v/>
      </c>
      <c r="H1053" s="70"/>
    </row>
    <row r="1054" spans="1:8" x14ac:dyDescent="0.35">
      <c r="A1054" s="62"/>
      <c r="B1054" s="63"/>
      <c r="C1054" s="63" t="str">
        <f>IFERROR(VLOOKUP(B1054,منتجات!$A$3:$C$350,2,0),"")</f>
        <v/>
      </c>
      <c r="D1054" s="63" t="str">
        <f>IFERROR(VLOOKUP(B1054,منتجات!$A$3:$C$350,3,0),"")</f>
        <v/>
      </c>
      <c r="E1054" s="63"/>
      <c r="F1054" s="63" t="str">
        <f>IFERROR(INDEX(منتجات!$G$3:$G$350,MATCH(B1054,منتجات!$A$3:$A$115,0)),"")</f>
        <v/>
      </c>
      <c r="G1054" s="63" t="str">
        <f t="shared" si="18"/>
        <v/>
      </c>
      <c r="H1054" s="69"/>
    </row>
    <row r="1055" spans="1:8" x14ac:dyDescent="0.35">
      <c r="A1055" s="64"/>
      <c r="B1055" s="65"/>
      <c r="C1055" s="65" t="str">
        <f>IFERROR(VLOOKUP(B1055,منتجات!$A$3:$C$350,2,0),"")</f>
        <v/>
      </c>
      <c r="D1055" s="65" t="str">
        <f>IFERROR(VLOOKUP(B1055,منتجات!$A$3:$C$350,3,0),"")</f>
        <v/>
      </c>
      <c r="E1055" s="65"/>
      <c r="F1055" s="65" t="str">
        <f>IFERROR(INDEX(منتجات!$G$3:$G$350,MATCH(B1055,منتجات!$A$3:$A$115,0)),"")</f>
        <v/>
      </c>
      <c r="G1055" s="65" t="str">
        <f t="shared" si="18"/>
        <v/>
      </c>
      <c r="H1055" s="70"/>
    </row>
    <row r="1056" spans="1:8" x14ac:dyDescent="0.35">
      <c r="A1056" s="62"/>
      <c r="B1056" s="63"/>
      <c r="C1056" s="63" t="str">
        <f>IFERROR(VLOOKUP(B1056,منتجات!$A$3:$C$350,2,0),"")</f>
        <v/>
      </c>
      <c r="D1056" s="63" t="str">
        <f>IFERROR(VLOOKUP(B1056,منتجات!$A$3:$C$350,3,0),"")</f>
        <v/>
      </c>
      <c r="E1056" s="63"/>
      <c r="F1056" s="63" t="str">
        <f>IFERROR(INDEX(منتجات!$G$3:$G$350,MATCH(B1056,منتجات!$A$3:$A$115,0)),"")</f>
        <v/>
      </c>
      <c r="G1056" s="63" t="str">
        <f t="shared" si="18"/>
        <v/>
      </c>
      <c r="H1056" s="69"/>
    </row>
    <row r="1057" spans="1:8" x14ac:dyDescent="0.35">
      <c r="A1057" s="64"/>
      <c r="B1057" s="65"/>
      <c r="C1057" s="65" t="str">
        <f>IFERROR(VLOOKUP(B1057,منتجات!$A$3:$C$350,2,0),"")</f>
        <v/>
      </c>
      <c r="D1057" s="65" t="str">
        <f>IFERROR(VLOOKUP(B1057,منتجات!$A$3:$C$350,3,0),"")</f>
        <v/>
      </c>
      <c r="E1057" s="65"/>
      <c r="F1057" s="65" t="str">
        <f>IFERROR(INDEX(منتجات!$G$3:$G$350,MATCH(B1057,منتجات!$A$3:$A$115,0)),"")</f>
        <v/>
      </c>
      <c r="G1057" s="65" t="str">
        <f t="shared" si="18"/>
        <v/>
      </c>
      <c r="H1057" s="70"/>
    </row>
    <row r="1058" spans="1:8" x14ac:dyDescent="0.35">
      <c r="A1058" s="62"/>
      <c r="B1058" s="63"/>
      <c r="C1058" s="63" t="str">
        <f>IFERROR(VLOOKUP(B1058,منتجات!$A$3:$C$350,2,0),"")</f>
        <v/>
      </c>
      <c r="D1058" s="63" t="str">
        <f>IFERROR(VLOOKUP(B1058,منتجات!$A$3:$C$350,3,0),"")</f>
        <v/>
      </c>
      <c r="E1058" s="63"/>
      <c r="F1058" s="63" t="str">
        <f>IFERROR(INDEX(منتجات!$G$3:$G$350,MATCH(B1058,منتجات!$A$3:$A$115,0)),"")</f>
        <v/>
      </c>
      <c r="G1058" s="63" t="str">
        <f t="shared" si="18"/>
        <v/>
      </c>
      <c r="H1058" s="69"/>
    </row>
    <row r="1059" spans="1:8" x14ac:dyDescent="0.35">
      <c r="A1059" s="64"/>
      <c r="B1059" s="65"/>
      <c r="C1059" s="65" t="str">
        <f>IFERROR(VLOOKUP(B1059,منتجات!$A$3:$C$350,2,0),"")</f>
        <v/>
      </c>
      <c r="D1059" s="65" t="str">
        <f>IFERROR(VLOOKUP(B1059,منتجات!$A$3:$C$350,3,0),"")</f>
        <v/>
      </c>
      <c r="E1059" s="65"/>
      <c r="F1059" s="65" t="str">
        <f>IFERROR(INDEX(منتجات!$G$3:$G$350,MATCH(B1059,منتجات!$A$3:$A$115,0)),"")</f>
        <v/>
      </c>
      <c r="G1059" s="65" t="str">
        <f t="shared" si="18"/>
        <v/>
      </c>
      <c r="H1059" s="70"/>
    </row>
    <row r="1060" spans="1:8" x14ac:dyDescent="0.35">
      <c r="A1060" s="62"/>
      <c r="B1060" s="63"/>
      <c r="C1060" s="63" t="str">
        <f>IFERROR(VLOOKUP(B1060,منتجات!$A$3:$C$350,2,0),"")</f>
        <v/>
      </c>
      <c r="D1060" s="63" t="str">
        <f>IFERROR(VLOOKUP(B1060,منتجات!$A$3:$C$350,3,0),"")</f>
        <v/>
      </c>
      <c r="E1060" s="63"/>
      <c r="F1060" s="63" t="str">
        <f>IFERROR(INDEX(منتجات!$G$3:$G$350,MATCH(B1060,منتجات!$A$3:$A$115,0)),"")</f>
        <v/>
      </c>
      <c r="G1060" s="63" t="str">
        <f t="shared" si="18"/>
        <v/>
      </c>
      <c r="H1060" s="69"/>
    </row>
    <row r="1061" spans="1:8" x14ac:dyDescent="0.35">
      <c r="A1061" s="64"/>
      <c r="B1061" s="65"/>
      <c r="C1061" s="65" t="str">
        <f>IFERROR(VLOOKUP(B1061,منتجات!$A$3:$C$350,2,0),"")</f>
        <v/>
      </c>
      <c r="D1061" s="65" t="str">
        <f>IFERROR(VLOOKUP(B1061,منتجات!$A$3:$C$350,3,0),"")</f>
        <v/>
      </c>
      <c r="E1061" s="65"/>
      <c r="F1061" s="65" t="str">
        <f>IFERROR(INDEX(منتجات!$G$3:$G$350,MATCH(B1061,منتجات!$A$3:$A$115,0)),"")</f>
        <v/>
      </c>
      <c r="G1061" s="65" t="str">
        <f t="shared" si="18"/>
        <v/>
      </c>
      <c r="H1061" s="70"/>
    </row>
    <row r="1062" spans="1:8" x14ac:dyDescent="0.35">
      <c r="A1062" s="62"/>
      <c r="B1062" s="63"/>
      <c r="C1062" s="63" t="str">
        <f>IFERROR(VLOOKUP(B1062,منتجات!$A$3:$C$350,2,0),"")</f>
        <v/>
      </c>
      <c r="D1062" s="63" t="str">
        <f>IFERROR(VLOOKUP(B1062,منتجات!$A$3:$C$350,3,0),"")</f>
        <v/>
      </c>
      <c r="E1062" s="63"/>
      <c r="F1062" s="63" t="str">
        <f>IFERROR(INDEX(منتجات!$G$3:$G$350,MATCH(B1062,منتجات!$A$3:$A$115,0)),"")</f>
        <v/>
      </c>
      <c r="G1062" s="63" t="str">
        <f t="shared" si="18"/>
        <v/>
      </c>
      <c r="H1062" s="69"/>
    </row>
    <row r="1063" spans="1:8" x14ac:dyDescent="0.35">
      <c r="A1063" s="64"/>
      <c r="B1063" s="65"/>
      <c r="C1063" s="65" t="str">
        <f>IFERROR(VLOOKUP(B1063,منتجات!$A$3:$C$350,2,0),"")</f>
        <v/>
      </c>
      <c r="D1063" s="65" t="str">
        <f>IFERROR(VLOOKUP(B1063,منتجات!$A$3:$C$350,3,0),"")</f>
        <v/>
      </c>
      <c r="E1063" s="65"/>
      <c r="F1063" s="65" t="str">
        <f>IFERROR(INDEX(منتجات!$G$3:$G$350,MATCH(B1063,منتجات!$A$3:$A$115,0)),"")</f>
        <v/>
      </c>
      <c r="G1063" s="65" t="str">
        <f t="shared" si="18"/>
        <v/>
      </c>
      <c r="H1063" s="70"/>
    </row>
    <row r="1064" spans="1:8" x14ac:dyDescent="0.35">
      <c r="A1064" s="62"/>
      <c r="B1064" s="63"/>
      <c r="C1064" s="63" t="str">
        <f>IFERROR(VLOOKUP(B1064,منتجات!$A$3:$C$350,2,0),"")</f>
        <v/>
      </c>
      <c r="D1064" s="63" t="str">
        <f>IFERROR(VLOOKUP(B1064,منتجات!$A$3:$C$350,3,0),"")</f>
        <v/>
      </c>
      <c r="E1064" s="63"/>
      <c r="F1064" s="63" t="str">
        <f>IFERROR(INDEX(منتجات!$G$3:$G$350,MATCH(B1064,منتجات!$A$3:$A$115,0)),"")</f>
        <v/>
      </c>
      <c r="G1064" s="63" t="str">
        <f t="shared" si="18"/>
        <v/>
      </c>
      <c r="H1064" s="69"/>
    </row>
    <row r="1065" spans="1:8" x14ac:dyDescent="0.35">
      <c r="A1065" s="64"/>
      <c r="B1065" s="65"/>
      <c r="C1065" s="65" t="str">
        <f>IFERROR(VLOOKUP(B1065,منتجات!$A$3:$C$350,2,0),"")</f>
        <v/>
      </c>
      <c r="D1065" s="65" t="str">
        <f>IFERROR(VLOOKUP(B1065,منتجات!$A$3:$C$350,3,0),"")</f>
        <v/>
      </c>
      <c r="E1065" s="65"/>
      <c r="F1065" s="65" t="str">
        <f>IFERROR(INDEX(منتجات!$G$3:$G$350,MATCH(B1065,منتجات!$A$3:$A$115,0)),"")</f>
        <v/>
      </c>
      <c r="G1065" s="65" t="str">
        <f t="shared" si="18"/>
        <v/>
      </c>
      <c r="H1065" s="70"/>
    </row>
    <row r="1066" spans="1:8" x14ac:dyDescent="0.35">
      <c r="A1066" s="62"/>
      <c r="B1066" s="63"/>
      <c r="C1066" s="63" t="str">
        <f>IFERROR(VLOOKUP(B1066,منتجات!$A$3:$C$350,2,0),"")</f>
        <v/>
      </c>
      <c r="D1066" s="63" t="str">
        <f>IFERROR(VLOOKUP(B1066,منتجات!$A$3:$C$350,3,0),"")</f>
        <v/>
      </c>
      <c r="E1066" s="63"/>
      <c r="F1066" s="63" t="str">
        <f>IFERROR(INDEX(منتجات!$G$3:$G$350,MATCH(B1066,منتجات!$A$3:$A$115,0)),"")</f>
        <v/>
      </c>
      <c r="G1066" s="63" t="str">
        <f t="shared" si="18"/>
        <v/>
      </c>
      <c r="H1066" s="69"/>
    </row>
    <row r="1067" spans="1:8" x14ac:dyDescent="0.35">
      <c r="A1067" s="64"/>
      <c r="B1067" s="65"/>
      <c r="C1067" s="65" t="str">
        <f>IFERROR(VLOOKUP(B1067,منتجات!$A$3:$C$350,2,0),"")</f>
        <v/>
      </c>
      <c r="D1067" s="65" t="str">
        <f>IFERROR(VLOOKUP(B1067,منتجات!$A$3:$C$350,3,0),"")</f>
        <v/>
      </c>
      <c r="E1067" s="65"/>
      <c r="F1067" s="65" t="str">
        <f>IFERROR(INDEX(منتجات!$G$3:$G$350,MATCH(B1067,منتجات!$A$3:$A$115,0)),"")</f>
        <v/>
      </c>
      <c r="G1067" s="65" t="str">
        <f t="shared" si="18"/>
        <v/>
      </c>
      <c r="H1067" s="70"/>
    </row>
    <row r="1068" spans="1:8" x14ac:dyDescent="0.35">
      <c r="A1068" s="62"/>
      <c r="B1068" s="63"/>
      <c r="C1068" s="63" t="str">
        <f>IFERROR(VLOOKUP(B1068,منتجات!$A$3:$C$350,2,0),"")</f>
        <v/>
      </c>
      <c r="D1068" s="63" t="str">
        <f>IFERROR(VLOOKUP(B1068,منتجات!$A$3:$C$350,3,0),"")</f>
        <v/>
      </c>
      <c r="E1068" s="63"/>
      <c r="F1068" s="63" t="str">
        <f>IFERROR(INDEX(منتجات!$G$3:$G$350,MATCH(B1068,منتجات!$A$3:$A$115,0)),"")</f>
        <v/>
      </c>
      <c r="G1068" s="63" t="str">
        <f t="shared" si="18"/>
        <v/>
      </c>
      <c r="H1068" s="69"/>
    </row>
    <row r="1069" spans="1:8" x14ac:dyDescent="0.35">
      <c r="A1069" s="64"/>
      <c r="B1069" s="65"/>
      <c r="C1069" s="65" t="str">
        <f>IFERROR(VLOOKUP(B1069,منتجات!$A$3:$C$350,2,0),"")</f>
        <v/>
      </c>
      <c r="D1069" s="65" t="str">
        <f>IFERROR(VLOOKUP(B1069,منتجات!$A$3:$C$350,3,0),"")</f>
        <v/>
      </c>
      <c r="E1069" s="65"/>
      <c r="F1069" s="65" t="str">
        <f>IFERROR(INDEX(منتجات!$G$3:$G$350,MATCH(B1069,منتجات!$A$3:$A$115,0)),"")</f>
        <v/>
      </c>
      <c r="G1069" s="65" t="str">
        <f t="shared" si="18"/>
        <v/>
      </c>
      <c r="H1069" s="70"/>
    </row>
    <row r="1070" spans="1:8" x14ac:dyDescent="0.35">
      <c r="A1070" s="62"/>
      <c r="B1070" s="63"/>
      <c r="C1070" s="63" t="str">
        <f>IFERROR(VLOOKUP(B1070,منتجات!$A$3:$C$350,2,0),"")</f>
        <v/>
      </c>
      <c r="D1070" s="63" t="str">
        <f>IFERROR(VLOOKUP(B1070,منتجات!$A$3:$C$350,3,0),"")</f>
        <v/>
      </c>
      <c r="E1070" s="63"/>
      <c r="F1070" s="63" t="str">
        <f>IFERROR(INDEX(منتجات!$G$3:$G$350,MATCH(B1070,منتجات!$A$3:$A$115,0)),"")</f>
        <v/>
      </c>
      <c r="G1070" s="63" t="str">
        <f t="shared" si="18"/>
        <v/>
      </c>
      <c r="H1070" s="69"/>
    </row>
    <row r="1071" spans="1:8" x14ac:dyDescent="0.35">
      <c r="A1071" s="64"/>
      <c r="B1071" s="65"/>
      <c r="C1071" s="65" t="str">
        <f>IFERROR(VLOOKUP(B1071,منتجات!$A$3:$C$350,2,0),"")</f>
        <v/>
      </c>
      <c r="D1071" s="65" t="str">
        <f>IFERROR(VLOOKUP(B1071,منتجات!$A$3:$C$350,3,0),"")</f>
        <v/>
      </c>
      <c r="E1071" s="65"/>
      <c r="F1071" s="65" t="str">
        <f>IFERROR(INDEX(منتجات!$G$3:$G$350,MATCH(B1071,منتجات!$A$3:$A$115,0)),"")</f>
        <v/>
      </c>
      <c r="G1071" s="65" t="str">
        <f t="shared" si="18"/>
        <v/>
      </c>
      <c r="H1071" s="70"/>
    </row>
    <row r="1072" spans="1:8" x14ac:dyDescent="0.35">
      <c r="A1072" s="62"/>
      <c r="B1072" s="63"/>
      <c r="C1072" s="63" t="str">
        <f>IFERROR(VLOOKUP(B1072,منتجات!$A$3:$C$350,2,0),"")</f>
        <v/>
      </c>
      <c r="D1072" s="63" t="str">
        <f>IFERROR(VLOOKUP(B1072,منتجات!$A$3:$C$350,3,0),"")</f>
        <v/>
      </c>
      <c r="E1072" s="63"/>
      <c r="F1072" s="63" t="str">
        <f>IFERROR(INDEX(منتجات!$G$3:$G$350,MATCH(B1072,منتجات!$A$3:$A$115,0)),"")</f>
        <v/>
      </c>
      <c r="G1072" s="63" t="str">
        <f t="shared" si="18"/>
        <v/>
      </c>
      <c r="H1072" s="69"/>
    </row>
    <row r="1073" spans="1:8" x14ac:dyDescent="0.35">
      <c r="A1073" s="64"/>
      <c r="B1073" s="65"/>
      <c r="C1073" s="65" t="str">
        <f>IFERROR(VLOOKUP(B1073,منتجات!$A$3:$C$350,2,0),"")</f>
        <v/>
      </c>
      <c r="D1073" s="65" t="str">
        <f>IFERROR(VLOOKUP(B1073,منتجات!$A$3:$C$350,3,0),"")</f>
        <v/>
      </c>
      <c r="E1073" s="65"/>
      <c r="F1073" s="65" t="str">
        <f>IFERROR(INDEX(منتجات!$G$3:$G$350,MATCH(B1073,منتجات!$A$3:$A$115,0)),"")</f>
        <v/>
      </c>
      <c r="G1073" s="65" t="str">
        <f t="shared" si="18"/>
        <v/>
      </c>
      <c r="H1073" s="70"/>
    </row>
    <row r="1074" spans="1:8" x14ac:dyDescent="0.35">
      <c r="A1074" s="62"/>
      <c r="B1074" s="63"/>
      <c r="C1074" s="63" t="str">
        <f>IFERROR(VLOOKUP(B1074,منتجات!$A$3:$C$350,2,0),"")</f>
        <v/>
      </c>
      <c r="D1074" s="63" t="str">
        <f>IFERROR(VLOOKUP(B1074,منتجات!$A$3:$C$350,3,0),"")</f>
        <v/>
      </c>
      <c r="E1074" s="63"/>
      <c r="F1074" s="63" t="str">
        <f>IFERROR(INDEX(منتجات!$G$3:$G$350,MATCH(B1074,منتجات!$A$3:$A$115,0)),"")</f>
        <v/>
      </c>
      <c r="G1074" s="63" t="str">
        <f t="shared" si="18"/>
        <v/>
      </c>
      <c r="H1074" s="69"/>
    </row>
    <row r="1075" spans="1:8" x14ac:dyDescent="0.35">
      <c r="A1075" s="64"/>
      <c r="B1075" s="65"/>
      <c r="C1075" s="65" t="str">
        <f>IFERROR(VLOOKUP(B1075,منتجات!$A$3:$C$350,2,0),"")</f>
        <v/>
      </c>
      <c r="D1075" s="65" t="str">
        <f>IFERROR(VLOOKUP(B1075,منتجات!$A$3:$C$350,3,0),"")</f>
        <v/>
      </c>
      <c r="E1075" s="65"/>
      <c r="F1075" s="65" t="str">
        <f>IFERROR(INDEX(منتجات!$G$3:$G$350,MATCH(B1075,منتجات!$A$3:$A$115,0)),"")</f>
        <v/>
      </c>
      <c r="G1075" s="65" t="str">
        <f t="shared" si="18"/>
        <v/>
      </c>
      <c r="H1075" s="70"/>
    </row>
    <row r="1076" spans="1:8" x14ac:dyDescent="0.35">
      <c r="A1076" s="62"/>
      <c r="B1076" s="63"/>
      <c r="C1076" s="63" t="str">
        <f>IFERROR(VLOOKUP(B1076,منتجات!$A$3:$C$350,2,0),"")</f>
        <v/>
      </c>
      <c r="D1076" s="63" t="str">
        <f>IFERROR(VLOOKUP(B1076,منتجات!$A$3:$C$350,3,0),"")</f>
        <v/>
      </c>
      <c r="E1076" s="63"/>
      <c r="F1076" s="63" t="str">
        <f>IFERROR(INDEX(منتجات!$G$3:$G$350,MATCH(B1076,منتجات!$A$3:$A$115,0)),"")</f>
        <v/>
      </c>
      <c r="G1076" s="63" t="str">
        <f t="shared" si="18"/>
        <v/>
      </c>
      <c r="H1076" s="69"/>
    </row>
    <row r="1077" spans="1:8" x14ac:dyDescent="0.35">
      <c r="A1077" s="64"/>
      <c r="B1077" s="65"/>
      <c r="C1077" s="65" t="str">
        <f>IFERROR(VLOOKUP(B1077,منتجات!$A$3:$C$350,2,0),"")</f>
        <v/>
      </c>
      <c r="D1077" s="65" t="str">
        <f>IFERROR(VLOOKUP(B1077,منتجات!$A$3:$C$350,3,0),"")</f>
        <v/>
      </c>
      <c r="E1077" s="65"/>
      <c r="F1077" s="65" t="str">
        <f>IFERROR(INDEX(منتجات!$G$3:$G$350,MATCH(B1077,منتجات!$A$3:$A$115,0)),"")</f>
        <v/>
      </c>
      <c r="G1077" s="65" t="str">
        <f t="shared" si="18"/>
        <v/>
      </c>
      <c r="H1077" s="70"/>
    </row>
    <row r="1078" spans="1:8" x14ac:dyDescent="0.35">
      <c r="A1078" s="62"/>
      <c r="B1078" s="63"/>
      <c r="C1078" s="63" t="str">
        <f>IFERROR(VLOOKUP(B1078,منتجات!$A$3:$C$350,2,0),"")</f>
        <v/>
      </c>
      <c r="D1078" s="63" t="str">
        <f>IFERROR(VLOOKUP(B1078,منتجات!$A$3:$C$350,3,0),"")</f>
        <v/>
      </c>
      <c r="E1078" s="63"/>
      <c r="F1078" s="63" t="str">
        <f>IFERROR(INDEX(منتجات!$G$3:$G$350,MATCH(B1078,منتجات!$A$3:$A$115,0)),"")</f>
        <v/>
      </c>
      <c r="G1078" s="63" t="str">
        <f t="shared" si="18"/>
        <v/>
      </c>
      <c r="H1078" s="69"/>
    </row>
    <row r="1079" spans="1:8" x14ac:dyDescent="0.35">
      <c r="A1079" s="64"/>
      <c r="B1079" s="65"/>
      <c r="C1079" s="65" t="str">
        <f>IFERROR(VLOOKUP(B1079,منتجات!$A$3:$C$350,2,0),"")</f>
        <v/>
      </c>
      <c r="D1079" s="65" t="str">
        <f>IFERROR(VLOOKUP(B1079,منتجات!$A$3:$C$350,3,0),"")</f>
        <v/>
      </c>
      <c r="E1079" s="65"/>
      <c r="F1079" s="65" t="str">
        <f>IFERROR(INDEX(منتجات!$G$3:$G$350,MATCH(B1079,منتجات!$A$3:$A$115,0)),"")</f>
        <v/>
      </c>
      <c r="G1079" s="65" t="str">
        <f t="shared" si="18"/>
        <v/>
      </c>
      <c r="H1079" s="70"/>
    </row>
    <row r="1080" spans="1:8" x14ac:dyDescent="0.35">
      <c r="A1080" s="62"/>
      <c r="B1080" s="63"/>
      <c r="C1080" s="63" t="str">
        <f>IFERROR(VLOOKUP(B1080,منتجات!$A$3:$C$350,2,0),"")</f>
        <v/>
      </c>
      <c r="D1080" s="63" t="str">
        <f>IFERROR(VLOOKUP(B1080,منتجات!$A$3:$C$350,3,0),"")</f>
        <v/>
      </c>
      <c r="E1080" s="63"/>
      <c r="F1080" s="63" t="str">
        <f>IFERROR(INDEX(منتجات!$G$3:$G$350,MATCH(B1080,منتجات!$A$3:$A$115,0)),"")</f>
        <v/>
      </c>
      <c r="G1080" s="63" t="str">
        <f t="shared" si="18"/>
        <v/>
      </c>
      <c r="H1080" s="69"/>
    </row>
    <row r="1081" spans="1:8" x14ac:dyDescent="0.35">
      <c r="A1081" s="64"/>
      <c r="B1081" s="65"/>
      <c r="C1081" s="65" t="str">
        <f>IFERROR(VLOOKUP(B1081,منتجات!$A$3:$C$350,2,0),"")</f>
        <v/>
      </c>
      <c r="D1081" s="65" t="str">
        <f>IFERROR(VLOOKUP(B1081,منتجات!$A$3:$C$350,3,0),"")</f>
        <v/>
      </c>
      <c r="E1081" s="65"/>
      <c r="F1081" s="65" t="str">
        <f>IFERROR(INDEX(منتجات!$G$3:$G$350,MATCH(B1081,منتجات!$A$3:$A$115,0)),"")</f>
        <v/>
      </c>
      <c r="G1081" s="65" t="str">
        <f t="shared" si="18"/>
        <v/>
      </c>
      <c r="H1081" s="70"/>
    </row>
    <row r="1082" spans="1:8" x14ac:dyDescent="0.35">
      <c r="A1082" s="62"/>
      <c r="B1082" s="63"/>
      <c r="C1082" s="63" t="str">
        <f>IFERROR(VLOOKUP(B1082,منتجات!$A$3:$C$350,2,0),"")</f>
        <v/>
      </c>
      <c r="D1082" s="63" t="str">
        <f>IFERROR(VLOOKUP(B1082,منتجات!$A$3:$C$350,3,0),"")</f>
        <v/>
      </c>
      <c r="E1082" s="63"/>
      <c r="F1082" s="63" t="str">
        <f>IFERROR(INDEX(منتجات!$G$3:$G$350,MATCH(B1082,منتجات!$A$3:$A$115,0)),"")</f>
        <v/>
      </c>
      <c r="G1082" s="63" t="str">
        <f t="shared" si="18"/>
        <v/>
      </c>
      <c r="H1082" s="69"/>
    </row>
    <row r="1083" spans="1:8" x14ac:dyDescent="0.35">
      <c r="A1083" s="64"/>
      <c r="B1083" s="65"/>
      <c r="C1083" s="65" t="str">
        <f>IFERROR(VLOOKUP(B1083,منتجات!$A$3:$C$350,2,0),"")</f>
        <v/>
      </c>
      <c r="D1083" s="65" t="str">
        <f>IFERROR(VLOOKUP(B1083,منتجات!$A$3:$C$350,3,0),"")</f>
        <v/>
      </c>
      <c r="E1083" s="65"/>
      <c r="F1083" s="65" t="str">
        <f>IFERROR(INDEX(منتجات!$G$3:$G$350,MATCH(B1083,منتجات!$A$3:$A$115,0)),"")</f>
        <v/>
      </c>
      <c r="G1083" s="65" t="str">
        <f t="shared" si="18"/>
        <v/>
      </c>
      <c r="H1083" s="70"/>
    </row>
    <row r="1084" spans="1:8" x14ac:dyDescent="0.35">
      <c r="A1084" s="62"/>
      <c r="B1084" s="63"/>
      <c r="C1084" s="63" t="str">
        <f>IFERROR(VLOOKUP(B1084,منتجات!$A$3:$C$350,2,0),"")</f>
        <v/>
      </c>
      <c r="D1084" s="63" t="str">
        <f>IFERROR(VLOOKUP(B1084,منتجات!$A$3:$C$350,3,0),"")</f>
        <v/>
      </c>
      <c r="E1084" s="63"/>
      <c r="F1084" s="63" t="str">
        <f>IFERROR(INDEX(منتجات!$G$3:$G$350,MATCH(B1084,منتجات!$A$3:$A$115,0)),"")</f>
        <v/>
      </c>
      <c r="G1084" s="63" t="str">
        <f t="shared" si="18"/>
        <v/>
      </c>
      <c r="H1084" s="69"/>
    </row>
    <row r="1085" spans="1:8" x14ac:dyDescent="0.35">
      <c r="A1085" s="64"/>
      <c r="B1085" s="65"/>
      <c r="C1085" s="65" t="str">
        <f>IFERROR(VLOOKUP(B1085,منتجات!$A$3:$C$350,2,0),"")</f>
        <v/>
      </c>
      <c r="D1085" s="65" t="str">
        <f>IFERROR(VLOOKUP(B1085,منتجات!$A$3:$C$350,3,0),"")</f>
        <v/>
      </c>
      <c r="E1085" s="65"/>
      <c r="F1085" s="65" t="str">
        <f>IFERROR(INDEX(منتجات!$G$3:$G$350,MATCH(B1085,منتجات!$A$3:$A$115,0)),"")</f>
        <v/>
      </c>
      <c r="G1085" s="65" t="str">
        <f t="shared" si="18"/>
        <v/>
      </c>
      <c r="H1085" s="70"/>
    </row>
    <row r="1086" spans="1:8" x14ac:dyDescent="0.35">
      <c r="A1086" s="62"/>
      <c r="B1086" s="63"/>
      <c r="C1086" s="63" t="str">
        <f>IFERROR(VLOOKUP(B1086,منتجات!$A$3:$C$350,2,0),"")</f>
        <v/>
      </c>
      <c r="D1086" s="63" t="str">
        <f>IFERROR(VLOOKUP(B1086,منتجات!$A$3:$C$350,3,0),"")</f>
        <v/>
      </c>
      <c r="E1086" s="63"/>
      <c r="F1086" s="63" t="str">
        <f>IFERROR(INDEX(منتجات!$G$3:$G$350,MATCH(B1086,منتجات!$A$3:$A$115,0)),"")</f>
        <v/>
      </c>
      <c r="G1086" s="63" t="str">
        <f t="shared" si="18"/>
        <v/>
      </c>
      <c r="H1086" s="69"/>
    </row>
    <row r="1087" spans="1:8" x14ac:dyDescent="0.35">
      <c r="A1087" s="64"/>
      <c r="B1087" s="65"/>
      <c r="C1087" s="65" t="str">
        <f>IFERROR(VLOOKUP(B1087,منتجات!$A$3:$C$350,2,0),"")</f>
        <v/>
      </c>
      <c r="D1087" s="65" t="str">
        <f>IFERROR(VLOOKUP(B1087,منتجات!$A$3:$C$350,3,0),"")</f>
        <v/>
      </c>
      <c r="E1087" s="65"/>
      <c r="F1087" s="65" t="str">
        <f>IFERROR(INDEX(منتجات!$G$3:$G$350,MATCH(B1087,منتجات!$A$3:$A$115,0)),"")</f>
        <v/>
      </c>
      <c r="G1087" s="65" t="str">
        <f t="shared" si="18"/>
        <v/>
      </c>
      <c r="H1087" s="70"/>
    </row>
    <row r="1088" spans="1:8" x14ac:dyDescent="0.35">
      <c r="A1088" s="62"/>
      <c r="B1088" s="63"/>
      <c r="C1088" s="63" t="str">
        <f>IFERROR(VLOOKUP(B1088,منتجات!$A$3:$C$350,2,0),"")</f>
        <v/>
      </c>
      <c r="D1088" s="63" t="str">
        <f>IFERROR(VLOOKUP(B1088,منتجات!$A$3:$C$350,3,0),"")</f>
        <v/>
      </c>
      <c r="E1088" s="63"/>
      <c r="F1088" s="63" t="str">
        <f>IFERROR(INDEX(منتجات!$G$3:$G$350,MATCH(B1088,منتجات!$A$3:$A$115,0)),"")</f>
        <v/>
      </c>
      <c r="G1088" s="63" t="str">
        <f t="shared" si="18"/>
        <v/>
      </c>
      <c r="H1088" s="69"/>
    </row>
    <row r="1089" spans="1:8" x14ac:dyDescent="0.35">
      <c r="A1089" s="64"/>
      <c r="B1089" s="65"/>
      <c r="C1089" s="65" t="str">
        <f>IFERROR(VLOOKUP(B1089,منتجات!$A$3:$C$350,2,0),"")</f>
        <v/>
      </c>
      <c r="D1089" s="65" t="str">
        <f>IFERROR(VLOOKUP(B1089,منتجات!$A$3:$C$350,3,0),"")</f>
        <v/>
      </c>
      <c r="E1089" s="65"/>
      <c r="F1089" s="65" t="str">
        <f>IFERROR(INDEX(منتجات!$G$3:$G$350,MATCH(B1089,منتجات!$A$3:$A$115,0)),"")</f>
        <v/>
      </c>
      <c r="G1089" s="65" t="str">
        <f t="shared" si="18"/>
        <v/>
      </c>
      <c r="H1089" s="70"/>
    </row>
    <row r="1090" spans="1:8" x14ac:dyDescent="0.35">
      <c r="A1090" s="62"/>
      <c r="B1090" s="63"/>
      <c r="C1090" s="63" t="str">
        <f>IFERROR(VLOOKUP(B1090,منتجات!$A$3:$C$350,2,0),"")</f>
        <v/>
      </c>
      <c r="D1090" s="63" t="str">
        <f>IFERROR(VLOOKUP(B1090,منتجات!$A$3:$C$350,3,0),"")</f>
        <v/>
      </c>
      <c r="E1090" s="63"/>
      <c r="F1090" s="63" t="str">
        <f>IFERROR(INDEX(منتجات!$G$3:$G$350,MATCH(B1090,منتجات!$A$3:$A$115,0)),"")</f>
        <v/>
      </c>
      <c r="G1090" s="63" t="str">
        <f t="shared" si="18"/>
        <v/>
      </c>
      <c r="H1090" s="69"/>
    </row>
    <row r="1091" spans="1:8" x14ac:dyDescent="0.35">
      <c r="A1091" s="64"/>
      <c r="B1091" s="65"/>
      <c r="C1091" s="65" t="str">
        <f>IFERROR(VLOOKUP(B1091,منتجات!$A$3:$C$350,2,0),"")</f>
        <v/>
      </c>
      <c r="D1091" s="65" t="str">
        <f>IFERROR(VLOOKUP(B1091,منتجات!$A$3:$C$350,3,0),"")</f>
        <v/>
      </c>
      <c r="E1091" s="65"/>
      <c r="F1091" s="65" t="str">
        <f>IFERROR(INDEX(منتجات!$G$3:$G$350,MATCH(B1091,منتجات!$A$3:$A$115,0)),"")</f>
        <v/>
      </c>
      <c r="G1091" s="65" t="str">
        <f t="shared" si="18"/>
        <v/>
      </c>
      <c r="H1091" s="70"/>
    </row>
    <row r="1092" spans="1:8" x14ac:dyDescent="0.35">
      <c r="A1092" s="62"/>
      <c r="B1092" s="63"/>
      <c r="C1092" s="63" t="str">
        <f>IFERROR(VLOOKUP(B1092,منتجات!$A$3:$C$350,2,0),"")</f>
        <v/>
      </c>
      <c r="D1092" s="63" t="str">
        <f>IFERROR(VLOOKUP(B1092,منتجات!$A$3:$C$350,3,0),"")</f>
        <v/>
      </c>
      <c r="E1092" s="63"/>
      <c r="F1092" s="63" t="str">
        <f>IFERROR(INDEX(منتجات!$G$3:$G$350,MATCH(B1092,منتجات!$A$3:$A$115,0)),"")</f>
        <v/>
      </c>
      <c r="G1092" s="63" t="str">
        <f t="shared" si="18"/>
        <v/>
      </c>
      <c r="H1092" s="69"/>
    </row>
    <row r="1093" spans="1:8" x14ac:dyDescent="0.35">
      <c r="A1093" s="64"/>
      <c r="B1093" s="65"/>
      <c r="C1093" s="65" t="str">
        <f>IFERROR(VLOOKUP(B1093,منتجات!$A$3:$C$350,2,0),"")</f>
        <v/>
      </c>
      <c r="D1093" s="65" t="str">
        <f>IFERROR(VLOOKUP(B1093,منتجات!$A$3:$C$350,3,0),"")</f>
        <v/>
      </c>
      <c r="E1093" s="65"/>
      <c r="F1093" s="65" t="str">
        <f>IFERROR(INDEX(منتجات!$G$3:$G$350,MATCH(B1093,منتجات!$A$3:$A$115,0)),"")</f>
        <v/>
      </c>
      <c r="G1093" s="65" t="str">
        <f t="shared" si="18"/>
        <v/>
      </c>
      <c r="H1093" s="70"/>
    </row>
    <row r="1094" spans="1:8" x14ac:dyDescent="0.35">
      <c r="A1094" s="62"/>
      <c r="B1094" s="63"/>
      <c r="C1094" s="63" t="str">
        <f>IFERROR(VLOOKUP(B1094,منتجات!$A$3:$C$350,2,0),"")</f>
        <v/>
      </c>
      <c r="D1094" s="63" t="str">
        <f>IFERROR(VLOOKUP(B1094,منتجات!$A$3:$C$350,3,0),"")</f>
        <v/>
      </c>
      <c r="E1094" s="63"/>
      <c r="F1094" s="63" t="str">
        <f>IFERROR(INDEX(منتجات!$G$3:$G$350,MATCH(B1094,منتجات!$A$3:$A$115,0)),"")</f>
        <v/>
      </c>
      <c r="G1094" s="63" t="str">
        <f t="shared" ref="G1094:G1157" si="19">IFERROR(E1094*F1094*D1094,"")</f>
        <v/>
      </c>
      <c r="H1094" s="69"/>
    </row>
    <row r="1095" spans="1:8" x14ac:dyDescent="0.35">
      <c r="A1095" s="64"/>
      <c r="B1095" s="65"/>
      <c r="C1095" s="65" t="str">
        <f>IFERROR(VLOOKUP(B1095,منتجات!$A$3:$C$350,2,0),"")</f>
        <v/>
      </c>
      <c r="D1095" s="65" t="str">
        <f>IFERROR(VLOOKUP(B1095,منتجات!$A$3:$C$350,3,0),"")</f>
        <v/>
      </c>
      <c r="E1095" s="65"/>
      <c r="F1095" s="65" t="str">
        <f>IFERROR(INDEX(منتجات!$G$3:$G$350,MATCH(B1095,منتجات!$A$3:$A$115,0)),"")</f>
        <v/>
      </c>
      <c r="G1095" s="65" t="str">
        <f t="shared" si="19"/>
        <v/>
      </c>
      <c r="H1095" s="70"/>
    </row>
    <row r="1096" spans="1:8" x14ac:dyDescent="0.35">
      <c r="A1096" s="62"/>
      <c r="B1096" s="63"/>
      <c r="C1096" s="63" t="str">
        <f>IFERROR(VLOOKUP(B1096,منتجات!$A$3:$C$350,2,0),"")</f>
        <v/>
      </c>
      <c r="D1096" s="63" t="str">
        <f>IFERROR(VLOOKUP(B1096,منتجات!$A$3:$C$350,3,0),"")</f>
        <v/>
      </c>
      <c r="E1096" s="63"/>
      <c r="F1096" s="63" t="str">
        <f>IFERROR(INDEX(منتجات!$G$3:$G$350,MATCH(B1096,منتجات!$A$3:$A$115,0)),"")</f>
        <v/>
      </c>
      <c r="G1096" s="63" t="str">
        <f t="shared" si="19"/>
        <v/>
      </c>
      <c r="H1096" s="69"/>
    </row>
    <row r="1097" spans="1:8" x14ac:dyDescent="0.35">
      <c r="A1097" s="64"/>
      <c r="B1097" s="65"/>
      <c r="C1097" s="65" t="str">
        <f>IFERROR(VLOOKUP(B1097,منتجات!$A$3:$C$350,2,0),"")</f>
        <v/>
      </c>
      <c r="D1097" s="65" t="str">
        <f>IFERROR(VLOOKUP(B1097,منتجات!$A$3:$C$350,3,0),"")</f>
        <v/>
      </c>
      <c r="E1097" s="65"/>
      <c r="F1097" s="65" t="str">
        <f>IFERROR(INDEX(منتجات!$G$3:$G$350,MATCH(B1097,منتجات!$A$3:$A$115,0)),"")</f>
        <v/>
      </c>
      <c r="G1097" s="65" t="str">
        <f t="shared" si="19"/>
        <v/>
      </c>
      <c r="H1097" s="70"/>
    </row>
    <row r="1098" spans="1:8" x14ac:dyDescent="0.35">
      <c r="A1098" s="62"/>
      <c r="B1098" s="63"/>
      <c r="C1098" s="63" t="str">
        <f>IFERROR(VLOOKUP(B1098,منتجات!$A$3:$C$350,2,0),"")</f>
        <v/>
      </c>
      <c r="D1098" s="63" t="str">
        <f>IFERROR(VLOOKUP(B1098,منتجات!$A$3:$C$350,3,0),"")</f>
        <v/>
      </c>
      <c r="E1098" s="63"/>
      <c r="F1098" s="63" t="str">
        <f>IFERROR(INDEX(منتجات!$G$3:$G$350,MATCH(B1098,منتجات!$A$3:$A$115,0)),"")</f>
        <v/>
      </c>
      <c r="G1098" s="63" t="str">
        <f t="shared" si="19"/>
        <v/>
      </c>
      <c r="H1098" s="69"/>
    </row>
    <row r="1099" spans="1:8" x14ac:dyDescent="0.35">
      <c r="A1099" s="64"/>
      <c r="B1099" s="65"/>
      <c r="C1099" s="65" t="str">
        <f>IFERROR(VLOOKUP(B1099,منتجات!$A$3:$C$350,2,0),"")</f>
        <v/>
      </c>
      <c r="D1099" s="65" t="str">
        <f>IFERROR(VLOOKUP(B1099,منتجات!$A$3:$C$350,3,0),"")</f>
        <v/>
      </c>
      <c r="E1099" s="65"/>
      <c r="F1099" s="65" t="str">
        <f>IFERROR(INDEX(منتجات!$G$3:$G$350,MATCH(B1099,منتجات!$A$3:$A$115,0)),"")</f>
        <v/>
      </c>
      <c r="G1099" s="65" t="str">
        <f t="shared" si="19"/>
        <v/>
      </c>
      <c r="H1099" s="70"/>
    </row>
    <row r="1100" spans="1:8" x14ac:dyDescent="0.35">
      <c r="A1100" s="62"/>
      <c r="B1100" s="63"/>
      <c r="C1100" s="63" t="str">
        <f>IFERROR(VLOOKUP(B1100,منتجات!$A$3:$C$350,2,0),"")</f>
        <v/>
      </c>
      <c r="D1100" s="63" t="str">
        <f>IFERROR(VLOOKUP(B1100,منتجات!$A$3:$C$350,3,0),"")</f>
        <v/>
      </c>
      <c r="E1100" s="63"/>
      <c r="F1100" s="63" t="str">
        <f>IFERROR(INDEX(منتجات!$G$3:$G$350,MATCH(B1100,منتجات!$A$3:$A$115,0)),"")</f>
        <v/>
      </c>
      <c r="G1100" s="63" t="str">
        <f t="shared" si="19"/>
        <v/>
      </c>
      <c r="H1100" s="69"/>
    </row>
    <row r="1101" spans="1:8" x14ac:dyDescent="0.35">
      <c r="A1101" s="64"/>
      <c r="B1101" s="65"/>
      <c r="C1101" s="65" t="str">
        <f>IFERROR(VLOOKUP(B1101,منتجات!$A$3:$C$350,2,0),"")</f>
        <v/>
      </c>
      <c r="D1101" s="65" t="str">
        <f>IFERROR(VLOOKUP(B1101,منتجات!$A$3:$C$350,3,0),"")</f>
        <v/>
      </c>
      <c r="E1101" s="65"/>
      <c r="F1101" s="65" t="str">
        <f>IFERROR(INDEX(منتجات!$G$3:$G$350,MATCH(B1101,منتجات!$A$3:$A$115,0)),"")</f>
        <v/>
      </c>
      <c r="G1101" s="65" t="str">
        <f t="shared" si="19"/>
        <v/>
      </c>
      <c r="H1101" s="70"/>
    </row>
    <row r="1102" spans="1:8" x14ac:dyDescent="0.35">
      <c r="A1102" s="62"/>
      <c r="B1102" s="63"/>
      <c r="C1102" s="63" t="str">
        <f>IFERROR(VLOOKUP(B1102,منتجات!$A$3:$C$350,2,0),"")</f>
        <v/>
      </c>
      <c r="D1102" s="63" t="str">
        <f>IFERROR(VLOOKUP(B1102,منتجات!$A$3:$C$350,3,0),"")</f>
        <v/>
      </c>
      <c r="E1102" s="63"/>
      <c r="F1102" s="63" t="str">
        <f>IFERROR(INDEX(منتجات!$G$3:$G$350,MATCH(B1102,منتجات!$A$3:$A$115,0)),"")</f>
        <v/>
      </c>
      <c r="G1102" s="63" t="str">
        <f t="shared" si="19"/>
        <v/>
      </c>
      <c r="H1102" s="69"/>
    </row>
    <row r="1103" spans="1:8" x14ac:dyDescent="0.35">
      <c r="A1103" s="64"/>
      <c r="B1103" s="65"/>
      <c r="C1103" s="65" t="str">
        <f>IFERROR(VLOOKUP(B1103,منتجات!$A$3:$C$350,2,0),"")</f>
        <v/>
      </c>
      <c r="D1103" s="65" t="str">
        <f>IFERROR(VLOOKUP(B1103,منتجات!$A$3:$C$350,3,0),"")</f>
        <v/>
      </c>
      <c r="E1103" s="65"/>
      <c r="F1103" s="65" t="str">
        <f>IFERROR(INDEX(منتجات!$G$3:$G$350,MATCH(B1103,منتجات!$A$3:$A$115,0)),"")</f>
        <v/>
      </c>
      <c r="G1103" s="65" t="str">
        <f t="shared" si="19"/>
        <v/>
      </c>
      <c r="H1103" s="70"/>
    </row>
    <row r="1104" spans="1:8" x14ac:dyDescent="0.35">
      <c r="A1104" s="62"/>
      <c r="B1104" s="63"/>
      <c r="C1104" s="63" t="str">
        <f>IFERROR(VLOOKUP(B1104,منتجات!$A$3:$C$350,2,0),"")</f>
        <v/>
      </c>
      <c r="D1104" s="63" t="str">
        <f>IFERROR(VLOOKUP(B1104,منتجات!$A$3:$C$350,3,0),"")</f>
        <v/>
      </c>
      <c r="E1104" s="63"/>
      <c r="F1104" s="63" t="str">
        <f>IFERROR(INDEX(منتجات!$G$3:$G$350,MATCH(B1104,منتجات!$A$3:$A$115,0)),"")</f>
        <v/>
      </c>
      <c r="G1104" s="63" t="str">
        <f t="shared" si="19"/>
        <v/>
      </c>
      <c r="H1104" s="69"/>
    </row>
    <row r="1105" spans="1:8" x14ac:dyDescent="0.35">
      <c r="A1105" s="64"/>
      <c r="B1105" s="65"/>
      <c r="C1105" s="65" t="str">
        <f>IFERROR(VLOOKUP(B1105,منتجات!$A$3:$C$350,2,0),"")</f>
        <v/>
      </c>
      <c r="D1105" s="65" t="str">
        <f>IFERROR(VLOOKUP(B1105,منتجات!$A$3:$C$350,3,0),"")</f>
        <v/>
      </c>
      <c r="E1105" s="65"/>
      <c r="F1105" s="65" t="str">
        <f>IFERROR(INDEX(منتجات!$G$3:$G$350,MATCH(B1105,منتجات!$A$3:$A$115,0)),"")</f>
        <v/>
      </c>
      <c r="G1105" s="65" t="str">
        <f t="shared" si="19"/>
        <v/>
      </c>
      <c r="H1105" s="70"/>
    </row>
    <row r="1106" spans="1:8" x14ac:dyDescent="0.35">
      <c r="A1106" s="62"/>
      <c r="B1106" s="63"/>
      <c r="C1106" s="63" t="str">
        <f>IFERROR(VLOOKUP(B1106,منتجات!$A$3:$C$350,2,0),"")</f>
        <v/>
      </c>
      <c r="D1106" s="63" t="str">
        <f>IFERROR(VLOOKUP(B1106,منتجات!$A$3:$C$350,3,0),"")</f>
        <v/>
      </c>
      <c r="E1106" s="63"/>
      <c r="F1106" s="63" t="str">
        <f>IFERROR(INDEX(منتجات!$G$3:$G$350,MATCH(B1106,منتجات!$A$3:$A$115,0)),"")</f>
        <v/>
      </c>
      <c r="G1106" s="63" t="str">
        <f t="shared" si="19"/>
        <v/>
      </c>
      <c r="H1106" s="69"/>
    </row>
    <row r="1107" spans="1:8" x14ac:dyDescent="0.35">
      <c r="A1107" s="64"/>
      <c r="B1107" s="65"/>
      <c r="C1107" s="65" t="str">
        <f>IFERROR(VLOOKUP(B1107,منتجات!$A$3:$C$350,2,0),"")</f>
        <v/>
      </c>
      <c r="D1107" s="65" t="str">
        <f>IFERROR(VLOOKUP(B1107,منتجات!$A$3:$C$350,3,0),"")</f>
        <v/>
      </c>
      <c r="E1107" s="65"/>
      <c r="F1107" s="65" t="str">
        <f>IFERROR(INDEX(منتجات!$G$3:$G$350,MATCH(B1107,منتجات!$A$3:$A$115,0)),"")</f>
        <v/>
      </c>
      <c r="G1107" s="65" t="str">
        <f t="shared" si="19"/>
        <v/>
      </c>
      <c r="H1107" s="70"/>
    </row>
    <row r="1108" spans="1:8" x14ac:dyDescent="0.35">
      <c r="A1108" s="62"/>
      <c r="B1108" s="63"/>
      <c r="C1108" s="63" t="str">
        <f>IFERROR(VLOOKUP(B1108,منتجات!$A$3:$C$350,2,0),"")</f>
        <v/>
      </c>
      <c r="D1108" s="63" t="str">
        <f>IFERROR(VLOOKUP(B1108,منتجات!$A$3:$C$350,3,0),"")</f>
        <v/>
      </c>
      <c r="E1108" s="63"/>
      <c r="F1108" s="63" t="str">
        <f>IFERROR(INDEX(منتجات!$G$3:$G$350,MATCH(B1108,منتجات!$A$3:$A$115,0)),"")</f>
        <v/>
      </c>
      <c r="G1108" s="63" t="str">
        <f t="shared" si="19"/>
        <v/>
      </c>
      <c r="H1108" s="69"/>
    </row>
    <row r="1109" spans="1:8" x14ac:dyDescent="0.35">
      <c r="A1109" s="64"/>
      <c r="B1109" s="65"/>
      <c r="C1109" s="65" t="str">
        <f>IFERROR(VLOOKUP(B1109,منتجات!$A$3:$C$350,2,0),"")</f>
        <v/>
      </c>
      <c r="D1109" s="65" t="str">
        <f>IFERROR(VLOOKUP(B1109,منتجات!$A$3:$C$350,3,0),"")</f>
        <v/>
      </c>
      <c r="E1109" s="65"/>
      <c r="F1109" s="65" t="str">
        <f>IFERROR(INDEX(منتجات!$G$3:$G$350,MATCH(B1109,منتجات!$A$3:$A$115,0)),"")</f>
        <v/>
      </c>
      <c r="G1109" s="65" t="str">
        <f t="shared" si="19"/>
        <v/>
      </c>
      <c r="H1109" s="70"/>
    </row>
    <row r="1110" spans="1:8" x14ac:dyDescent="0.35">
      <c r="A1110" s="62"/>
      <c r="B1110" s="63"/>
      <c r="C1110" s="63" t="str">
        <f>IFERROR(VLOOKUP(B1110,منتجات!$A$3:$C$350,2,0),"")</f>
        <v/>
      </c>
      <c r="D1110" s="63" t="str">
        <f>IFERROR(VLOOKUP(B1110,منتجات!$A$3:$C$350,3,0),"")</f>
        <v/>
      </c>
      <c r="E1110" s="63"/>
      <c r="F1110" s="63" t="str">
        <f>IFERROR(INDEX(منتجات!$G$3:$G$350,MATCH(B1110,منتجات!$A$3:$A$115,0)),"")</f>
        <v/>
      </c>
      <c r="G1110" s="63" t="str">
        <f t="shared" si="19"/>
        <v/>
      </c>
      <c r="H1110" s="69"/>
    </row>
    <row r="1111" spans="1:8" x14ac:dyDescent="0.35">
      <c r="A1111" s="64"/>
      <c r="B1111" s="65"/>
      <c r="C1111" s="65" t="str">
        <f>IFERROR(VLOOKUP(B1111,منتجات!$A$3:$C$350,2,0),"")</f>
        <v/>
      </c>
      <c r="D1111" s="65" t="str">
        <f>IFERROR(VLOOKUP(B1111,منتجات!$A$3:$C$350,3,0),"")</f>
        <v/>
      </c>
      <c r="E1111" s="65"/>
      <c r="F1111" s="65" t="str">
        <f>IFERROR(INDEX(منتجات!$G$3:$G$350,MATCH(B1111,منتجات!$A$3:$A$115,0)),"")</f>
        <v/>
      </c>
      <c r="G1111" s="65" t="str">
        <f t="shared" si="19"/>
        <v/>
      </c>
      <c r="H1111" s="70"/>
    </row>
    <row r="1112" spans="1:8" x14ac:dyDescent="0.35">
      <c r="A1112" s="62"/>
      <c r="B1112" s="63"/>
      <c r="C1112" s="63" t="str">
        <f>IFERROR(VLOOKUP(B1112,منتجات!$A$3:$C$350,2,0),"")</f>
        <v/>
      </c>
      <c r="D1112" s="63" t="str">
        <f>IFERROR(VLOOKUP(B1112,منتجات!$A$3:$C$350,3,0),"")</f>
        <v/>
      </c>
      <c r="E1112" s="63"/>
      <c r="F1112" s="63" t="str">
        <f>IFERROR(INDEX(منتجات!$G$3:$G$350,MATCH(B1112,منتجات!$A$3:$A$115,0)),"")</f>
        <v/>
      </c>
      <c r="G1112" s="63" t="str">
        <f t="shared" si="19"/>
        <v/>
      </c>
      <c r="H1112" s="69"/>
    </row>
    <row r="1113" spans="1:8" x14ac:dyDescent="0.35">
      <c r="A1113" s="64"/>
      <c r="B1113" s="65"/>
      <c r="C1113" s="65" t="str">
        <f>IFERROR(VLOOKUP(B1113,منتجات!$A$3:$C$350,2,0),"")</f>
        <v/>
      </c>
      <c r="D1113" s="65" t="str">
        <f>IFERROR(VLOOKUP(B1113,منتجات!$A$3:$C$350,3,0),"")</f>
        <v/>
      </c>
      <c r="E1113" s="65"/>
      <c r="F1113" s="65" t="str">
        <f>IFERROR(INDEX(منتجات!$G$3:$G$350,MATCH(B1113,منتجات!$A$3:$A$115,0)),"")</f>
        <v/>
      </c>
      <c r="G1113" s="65" t="str">
        <f t="shared" si="19"/>
        <v/>
      </c>
      <c r="H1113" s="70"/>
    </row>
    <row r="1114" spans="1:8" x14ac:dyDescent="0.35">
      <c r="A1114" s="62"/>
      <c r="B1114" s="63"/>
      <c r="C1114" s="63" t="str">
        <f>IFERROR(VLOOKUP(B1114,منتجات!$A$3:$C$350,2,0),"")</f>
        <v/>
      </c>
      <c r="D1114" s="63" t="str">
        <f>IFERROR(VLOOKUP(B1114,منتجات!$A$3:$C$350,3,0),"")</f>
        <v/>
      </c>
      <c r="E1114" s="63"/>
      <c r="F1114" s="63" t="str">
        <f>IFERROR(INDEX(منتجات!$G$3:$G$350,MATCH(B1114,منتجات!$A$3:$A$115,0)),"")</f>
        <v/>
      </c>
      <c r="G1114" s="63" t="str">
        <f t="shared" si="19"/>
        <v/>
      </c>
      <c r="H1114" s="69"/>
    </row>
    <row r="1115" spans="1:8" x14ac:dyDescent="0.35">
      <c r="A1115" s="64"/>
      <c r="B1115" s="65"/>
      <c r="C1115" s="65" t="str">
        <f>IFERROR(VLOOKUP(B1115,منتجات!$A$3:$C$350,2,0),"")</f>
        <v/>
      </c>
      <c r="D1115" s="65" t="str">
        <f>IFERROR(VLOOKUP(B1115,منتجات!$A$3:$C$350,3,0),"")</f>
        <v/>
      </c>
      <c r="E1115" s="65"/>
      <c r="F1115" s="65" t="str">
        <f>IFERROR(INDEX(منتجات!$G$3:$G$350,MATCH(B1115,منتجات!$A$3:$A$115,0)),"")</f>
        <v/>
      </c>
      <c r="G1115" s="65" t="str">
        <f t="shared" si="19"/>
        <v/>
      </c>
      <c r="H1115" s="70"/>
    </row>
    <row r="1116" spans="1:8" x14ac:dyDescent="0.35">
      <c r="A1116" s="62"/>
      <c r="B1116" s="63"/>
      <c r="C1116" s="63" t="str">
        <f>IFERROR(VLOOKUP(B1116,منتجات!$A$3:$C$350,2,0),"")</f>
        <v/>
      </c>
      <c r="D1116" s="63" t="str">
        <f>IFERROR(VLOOKUP(B1116,منتجات!$A$3:$C$350,3,0),"")</f>
        <v/>
      </c>
      <c r="E1116" s="63"/>
      <c r="F1116" s="63" t="str">
        <f>IFERROR(INDEX(منتجات!$G$3:$G$350,MATCH(B1116,منتجات!$A$3:$A$115,0)),"")</f>
        <v/>
      </c>
      <c r="G1116" s="63" t="str">
        <f t="shared" si="19"/>
        <v/>
      </c>
      <c r="H1116" s="69"/>
    </row>
    <row r="1117" spans="1:8" x14ac:dyDescent="0.35">
      <c r="A1117" s="64"/>
      <c r="B1117" s="65"/>
      <c r="C1117" s="65" t="str">
        <f>IFERROR(VLOOKUP(B1117,منتجات!$A$3:$C$350,2,0),"")</f>
        <v/>
      </c>
      <c r="D1117" s="65" t="str">
        <f>IFERROR(VLOOKUP(B1117,منتجات!$A$3:$C$350,3,0),"")</f>
        <v/>
      </c>
      <c r="E1117" s="65"/>
      <c r="F1117" s="65" t="str">
        <f>IFERROR(INDEX(منتجات!$G$3:$G$350,MATCH(B1117,منتجات!$A$3:$A$115,0)),"")</f>
        <v/>
      </c>
      <c r="G1117" s="65" t="str">
        <f t="shared" si="19"/>
        <v/>
      </c>
      <c r="H1117" s="70"/>
    </row>
    <row r="1118" spans="1:8" x14ac:dyDescent="0.35">
      <c r="A1118" s="62"/>
      <c r="B1118" s="63"/>
      <c r="C1118" s="63" t="str">
        <f>IFERROR(VLOOKUP(B1118,منتجات!$A$3:$C$350,2,0),"")</f>
        <v/>
      </c>
      <c r="D1118" s="63" t="str">
        <f>IFERROR(VLOOKUP(B1118,منتجات!$A$3:$C$350,3,0),"")</f>
        <v/>
      </c>
      <c r="E1118" s="63"/>
      <c r="F1118" s="63" t="str">
        <f>IFERROR(INDEX(منتجات!$G$3:$G$350,MATCH(B1118,منتجات!$A$3:$A$115,0)),"")</f>
        <v/>
      </c>
      <c r="G1118" s="63" t="str">
        <f t="shared" si="19"/>
        <v/>
      </c>
      <c r="H1118" s="69"/>
    </row>
    <row r="1119" spans="1:8" x14ac:dyDescent="0.35">
      <c r="A1119" s="64"/>
      <c r="B1119" s="65"/>
      <c r="C1119" s="65" t="str">
        <f>IFERROR(VLOOKUP(B1119,منتجات!$A$3:$C$350,2,0),"")</f>
        <v/>
      </c>
      <c r="D1119" s="65" t="str">
        <f>IFERROR(VLOOKUP(B1119,منتجات!$A$3:$C$350,3,0),"")</f>
        <v/>
      </c>
      <c r="E1119" s="65"/>
      <c r="F1119" s="65" t="str">
        <f>IFERROR(INDEX(منتجات!$G$3:$G$350,MATCH(B1119,منتجات!$A$3:$A$115,0)),"")</f>
        <v/>
      </c>
      <c r="G1119" s="65" t="str">
        <f t="shared" si="19"/>
        <v/>
      </c>
      <c r="H1119" s="70"/>
    </row>
    <row r="1120" spans="1:8" x14ac:dyDescent="0.35">
      <c r="A1120" s="62"/>
      <c r="B1120" s="63"/>
      <c r="C1120" s="63" t="str">
        <f>IFERROR(VLOOKUP(B1120,منتجات!$A$3:$C$350,2,0),"")</f>
        <v/>
      </c>
      <c r="D1120" s="63" t="str">
        <f>IFERROR(VLOOKUP(B1120,منتجات!$A$3:$C$350,3,0),"")</f>
        <v/>
      </c>
      <c r="E1120" s="63"/>
      <c r="F1120" s="63" t="str">
        <f>IFERROR(INDEX(منتجات!$G$3:$G$350,MATCH(B1120,منتجات!$A$3:$A$115,0)),"")</f>
        <v/>
      </c>
      <c r="G1120" s="63" t="str">
        <f t="shared" si="19"/>
        <v/>
      </c>
      <c r="H1120" s="69"/>
    </row>
    <row r="1121" spans="1:8" x14ac:dyDescent="0.35">
      <c r="A1121" s="64"/>
      <c r="B1121" s="65"/>
      <c r="C1121" s="65" t="str">
        <f>IFERROR(VLOOKUP(B1121,منتجات!$A$3:$C$350,2,0),"")</f>
        <v/>
      </c>
      <c r="D1121" s="65" t="str">
        <f>IFERROR(VLOOKUP(B1121,منتجات!$A$3:$C$350,3,0),"")</f>
        <v/>
      </c>
      <c r="E1121" s="65"/>
      <c r="F1121" s="65" t="str">
        <f>IFERROR(INDEX(منتجات!$G$3:$G$350,MATCH(B1121,منتجات!$A$3:$A$115,0)),"")</f>
        <v/>
      </c>
      <c r="G1121" s="65" t="str">
        <f t="shared" si="19"/>
        <v/>
      </c>
      <c r="H1121" s="70"/>
    </row>
    <row r="1122" spans="1:8" x14ac:dyDescent="0.35">
      <c r="A1122" s="62"/>
      <c r="B1122" s="63"/>
      <c r="C1122" s="63" t="str">
        <f>IFERROR(VLOOKUP(B1122,منتجات!$A$3:$C$350,2,0),"")</f>
        <v/>
      </c>
      <c r="D1122" s="63" t="str">
        <f>IFERROR(VLOOKUP(B1122,منتجات!$A$3:$C$350,3,0),"")</f>
        <v/>
      </c>
      <c r="E1122" s="63"/>
      <c r="F1122" s="63" t="str">
        <f>IFERROR(INDEX(منتجات!$G$3:$G$350,MATCH(B1122,منتجات!$A$3:$A$115,0)),"")</f>
        <v/>
      </c>
      <c r="G1122" s="63" t="str">
        <f t="shared" si="19"/>
        <v/>
      </c>
      <c r="H1122" s="69"/>
    </row>
    <row r="1123" spans="1:8" x14ac:dyDescent="0.35">
      <c r="A1123" s="64"/>
      <c r="B1123" s="65"/>
      <c r="C1123" s="65" t="str">
        <f>IFERROR(VLOOKUP(B1123,منتجات!$A$3:$C$350,2,0),"")</f>
        <v/>
      </c>
      <c r="D1123" s="65" t="str">
        <f>IFERROR(VLOOKUP(B1123,منتجات!$A$3:$C$350,3,0),"")</f>
        <v/>
      </c>
      <c r="E1123" s="65"/>
      <c r="F1123" s="65" t="str">
        <f>IFERROR(INDEX(منتجات!$G$3:$G$350,MATCH(B1123,منتجات!$A$3:$A$115,0)),"")</f>
        <v/>
      </c>
      <c r="G1123" s="65" t="str">
        <f t="shared" si="19"/>
        <v/>
      </c>
      <c r="H1123" s="70"/>
    </row>
    <row r="1124" spans="1:8" x14ac:dyDescent="0.35">
      <c r="A1124" s="62"/>
      <c r="B1124" s="63"/>
      <c r="C1124" s="63" t="str">
        <f>IFERROR(VLOOKUP(B1124,منتجات!$A$3:$C$350,2,0),"")</f>
        <v/>
      </c>
      <c r="D1124" s="63" t="str">
        <f>IFERROR(VLOOKUP(B1124,منتجات!$A$3:$C$350,3,0),"")</f>
        <v/>
      </c>
      <c r="E1124" s="63"/>
      <c r="F1124" s="63" t="str">
        <f>IFERROR(INDEX(منتجات!$G$3:$G$350,MATCH(B1124,منتجات!$A$3:$A$115,0)),"")</f>
        <v/>
      </c>
      <c r="G1124" s="63" t="str">
        <f t="shared" si="19"/>
        <v/>
      </c>
      <c r="H1124" s="69"/>
    </row>
    <row r="1125" spans="1:8" x14ac:dyDescent="0.35">
      <c r="A1125" s="64"/>
      <c r="B1125" s="65"/>
      <c r="C1125" s="65" t="str">
        <f>IFERROR(VLOOKUP(B1125,منتجات!$A$3:$C$350,2,0),"")</f>
        <v/>
      </c>
      <c r="D1125" s="65" t="str">
        <f>IFERROR(VLOOKUP(B1125,منتجات!$A$3:$C$350,3,0),"")</f>
        <v/>
      </c>
      <c r="E1125" s="65"/>
      <c r="F1125" s="65" t="str">
        <f>IFERROR(INDEX(منتجات!$G$3:$G$350,MATCH(B1125,منتجات!$A$3:$A$115,0)),"")</f>
        <v/>
      </c>
      <c r="G1125" s="65" t="str">
        <f t="shared" si="19"/>
        <v/>
      </c>
      <c r="H1125" s="70"/>
    </row>
    <row r="1126" spans="1:8" x14ac:dyDescent="0.35">
      <c r="A1126" s="62"/>
      <c r="B1126" s="63"/>
      <c r="C1126" s="63" t="str">
        <f>IFERROR(VLOOKUP(B1126,منتجات!$A$3:$C$350,2,0),"")</f>
        <v/>
      </c>
      <c r="D1126" s="63" t="str">
        <f>IFERROR(VLOOKUP(B1126,منتجات!$A$3:$C$350,3,0),"")</f>
        <v/>
      </c>
      <c r="E1126" s="63"/>
      <c r="F1126" s="63" t="str">
        <f>IFERROR(INDEX(منتجات!$G$3:$G$350,MATCH(B1126,منتجات!$A$3:$A$115,0)),"")</f>
        <v/>
      </c>
      <c r="G1126" s="63" t="str">
        <f t="shared" si="19"/>
        <v/>
      </c>
      <c r="H1126" s="69"/>
    </row>
    <row r="1127" spans="1:8" x14ac:dyDescent="0.35">
      <c r="A1127" s="64"/>
      <c r="B1127" s="65"/>
      <c r="C1127" s="65" t="str">
        <f>IFERROR(VLOOKUP(B1127,منتجات!$A$3:$C$350,2,0),"")</f>
        <v/>
      </c>
      <c r="D1127" s="65" t="str">
        <f>IFERROR(VLOOKUP(B1127,منتجات!$A$3:$C$350,3,0),"")</f>
        <v/>
      </c>
      <c r="E1127" s="65"/>
      <c r="F1127" s="65" t="str">
        <f>IFERROR(INDEX(منتجات!$G$3:$G$350,MATCH(B1127,منتجات!$A$3:$A$115,0)),"")</f>
        <v/>
      </c>
      <c r="G1127" s="65" t="str">
        <f t="shared" si="19"/>
        <v/>
      </c>
      <c r="H1127" s="70"/>
    </row>
    <row r="1128" spans="1:8" x14ac:dyDescent="0.35">
      <c r="A1128" s="62"/>
      <c r="B1128" s="63"/>
      <c r="C1128" s="63" t="str">
        <f>IFERROR(VLOOKUP(B1128,منتجات!$A$3:$C$350,2,0),"")</f>
        <v/>
      </c>
      <c r="D1128" s="63" t="str">
        <f>IFERROR(VLOOKUP(B1128,منتجات!$A$3:$C$350,3,0),"")</f>
        <v/>
      </c>
      <c r="E1128" s="63"/>
      <c r="F1128" s="63" t="str">
        <f>IFERROR(INDEX(منتجات!$G$3:$G$350,MATCH(B1128,منتجات!$A$3:$A$115,0)),"")</f>
        <v/>
      </c>
      <c r="G1128" s="63" t="str">
        <f t="shared" si="19"/>
        <v/>
      </c>
      <c r="H1128" s="69"/>
    </row>
    <row r="1129" spans="1:8" x14ac:dyDescent="0.35">
      <c r="A1129" s="64"/>
      <c r="B1129" s="65"/>
      <c r="C1129" s="65" t="str">
        <f>IFERROR(VLOOKUP(B1129,منتجات!$A$3:$C$350,2,0),"")</f>
        <v/>
      </c>
      <c r="D1129" s="65" t="str">
        <f>IFERROR(VLOOKUP(B1129,منتجات!$A$3:$C$350,3,0),"")</f>
        <v/>
      </c>
      <c r="E1129" s="65"/>
      <c r="F1129" s="65" t="str">
        <f>IFERROR(INDEX(منتجات!$G$3:$G$350,MATCH(B1129,منتجات!$A$3:$A$115,0)),"")</f>
        <v/>
      </c>
      <c r="G1129" s="65" t="str">
        <f t="shared" si="19"/>
        <v/>
      </c>
      <c r="H1129" s="70"/>
    </row>
    <row r="1130" spans="1:8" x14ac:dyDescent="0.35">
      <c r="A1130" s="62"/>
      <c r="B1130" s="63"/>
      <c r="C1130" s="63" t="str">
        <f>IFERROR(VLOOKUP(B1130,منتجات!$A$3:$C$350,2,0),"")</f>
        <v/>
      </c>
      <c r="D1130" s="63" t="str">
        <f>IFERROR(VLOOKUP(B1130,منتجات!$A$3:$C$350,3,0),"")</f>
        <v/>
      </c>
      <c r="E1130" s="63"/>
      <c r="F1130" s="63" t="str">
        <f>IFERROR(INDEX(منتجات!$G$3:$G$350,MATCH(B1130,منتجات!$A$3:$A$115,0)),"")</f>
        <v/>
      </c>
      <c r="G1130" s="63" t="str">
        <f t="shared" si="19"/>
        <v/>
      </c>
      <c r="H1130" s="69"/>
    </row>
    <row r="1131" spans="1:8" x14ac:dyDescent="0.35">
      <c r="A1131" s="64"/>
      <c r="B1131" s="65"/>
      <c r="C1131" s="65" t="str">
        <f>IFERROR(VLOOKUP(B1131,منتجات!$A$3:$C$350,2,0),"")</f>
        <v/>
      </c>
      <c r="D1131" s="65" t="str">
        <f>IFERROR(VLOOKUP(B1131,منتجات!$A$3:$C$350,3,0),"")</f>
        <v/>
      </c>
      <c r="E1131" s="65"/>
      <c r="F1131" s="65" t="str">
        <f>IFERROR(INDEX(منتجات!$G$3:$G$350,MATCH(B1131,منتجات!$A$3:$A$115,0)),"")</f>
        <v/>
      </c>
      <c r="G1131" s="65" t="str">
        <f t="shared" si="19"/>
        <v/>
      </c>
      <c r="H1131" s="70"/>
    </row>
    <row r="1132" spans="1:8" x14ac:dyDescent="0.35">
      <c r="A1132" s="62"/>
      <c r="B1132" s="63"/>
      <c r="C1132" s="63" t="str">
        <f>IFERROR(VLOOKUP(B1132,منتجات!$A$3:$C$350,2,0),"")</f>
        <v/>
      </c>
      <c r="D1132" s="63" t="str">
        <f>IFERROR(VLOOKUP(B1132,منتجات!$A$3:$C$350,3,0),"")</f>
        <v/>
      </c>
      <c r="E1132" s="63"/>
      <c r="F1132" s="63" t="str">
        <f>IFERROR(INDEX(منتجات!$G$3:$G$350,MATCH(B1132,منتجات!$A$3:$A$115,0)),"")</f>
        <v/>
      </c>
      <c r="G1132" s="63" t="str">
        <f t="shared" si="19"/>
        <v/>
      </c>
      <c r="H1132" s="69"/>
    </row>
    <row r="1133" spans="1:8" x14ac:dyDescent="0.35">
      <c r="A1133" s="64"/>
      <c r="B1133" s="65"/>
      <c r="C1133" s="65" t="str">
        <f>IFERROR(VLOOKUP(B1133,منتجات!$A$3:$C$350,2,0),"")</f>
        <v/>
      </c>
      <c r="D1133" s="65" t="str">
        <f>IFERROR(VLOOKUP(B1133,منتجات!$A$3:$C$350,3,0),"")</f>
        <v/>
      </c>
      <c r="E1133" s="65"/>
      <c r="F1133" s="65" t="str">
        <f>IFERROR(INDEX(منتجات!$G$3:$G$350,MATCH(B1133,منتجات!$A$3:$A$115,0)),"")</f>
        <v/>
      </c>
      <c r="G1133" s="65" t="str">
        <f t="shared" si="19"/>
        <v/>
      </c>
      <c r="H1133" s="70"/>
    </row>
    <row r="1134" spans="1:8" x14ac:dyDescent="0.35">
      <c r="A1134" s="62"/>
      <c r="B1134" s="63"/>
      <c r="C1134" s="63" t="str">
        <f>IFERROR(VLOOKUP(B1134,منتجات!$A$3:$C$350,2,0),"")</f>
        <v/>
      </c>
      <c r="D1134" s="63" t="str">
        <f>IFERROR(VLOOKUP(B1134,منتجات!$A$3:$C$350,3,0),"")</f>
        <v/>
      </c>
      <c r="E1134" s="63"/>
      <c r="F1134" s="63" t="str">
        <f>IFERROR(INDEX(منتجات!$G$3:$G$350,MATCH(B1134,منتجات!$A$3:$A$115,0)),"")</f>
        <v/>
      </c>
      <c r="G1134" s="63" t="str">
        <f t="shared" si="19"/>
        <v/>
      </c>
      <c r="H1134" s="69"/>
    </row>
    <row r="1135" spans="1:8" x14ac:dyDescent="0.35">
      <c r="A1135" s="64"/>
      <c r="B1135" s="65"/>
      <c r="C1135" s="65" t="str">
        <f>IFERROR(VLOOKUP(B1135,منتجات!$A$3:$C$350,2,0),"")</f>
        <v/>
      </c>
      <c r="D1135" s="65" t="str">
        <f>IFERROR(VLOOKUP(B1135,منتجات!$A$3:$C$350,3,0),"")</f>
        <v/>
      </c>
      <c r="E1135" s="65"/>
      <c r="F1135" s="65" t="str">
        <f>IFERROR(INDEX(منتجات!$G$3:$G$350,MATCH(B1135,منتجات!$A$3:$A$115,0)),"")</f>
        <v/>
      </c>
      <c r="G1135" s="65" t="str">
        <f t="shared" si="19"/>
        <v/>
      </c>
      <c r="H1135" s="70"/>
    </row>
    <row r="1136" spans="1:8" x14ac:dyDescent="0.35">
      <c r="A1136" s="62"/>
      <c r="B1136" s="63"/>
      <c r="C1136" s="63" t="str">
        <f>IFERROR(VLOOKUP(B1136,منتجات!$A$3:$C$350,2,0),"")</f>
        <v/>
      </c>
      <c r="D1136" s="63" t="str">
        <f>IFERROR(VLOOKUP(B1136,منتجات!$A$3:$C$350,3,0),"")</f>
        <v/>
      </c>
      <c r="E1136" s="63"/>
      <c r="F1136" s="63" t="str">
        <f>IFERROR(INDEX(منتجات!$G$3:$G$350,MATCH(B1136,منتجات!$A$3:$A$115,0)),"")</f>
        <v/>
      </c>
      <c r="G1136" s="63" t="str">
        <f t="shared" si="19"/>
        <v/>
      </c>
      <c r="H1136" s="69"/>
    </row>
    <row r="1137" spans="1:8" x14ac:dyDescent="0.35">
      <c r="A1137" s="64"/>
      <c r="B1137" s="65"/>
      <c r="C1137" s="65" t="str">
        <f>IFERROR(VLOOKUP(B1137,منتجات!$A$3:$C$350,2,0),"")</f>
        <v/>
      </c>
      <c r="D1137" s="65" t="str">
        <f>IFERROR(VLOOKUP(B1137,منتجات!$A$3:$C$350,3,0),"")</f>
        <v/>
      </c>
      <c r="E1137" s="65"/>
      <c r="F1137" s="65" t="str">
        <f>IFERROR(INDEX(منتجات!$G$3:$G$350,MATCH(B1137,منتجات!$A$3:$A$115,0)),"")</f>
        <v/>
      </c>
      <c r="G1137" s="65" t="str">
        <f t="shared" si="19"/>
        <v/>
      </c>
      <c r="H1137" s="70"/>
    </row>
    <row r="1138" spans="1:8" x14ac:dyDescent="0.35">
      <c r="A1138" s="62"/>
      <c r="B1138" s="63"/>
      <c r="C1138" s="63" t="str">
        <f>IFERROR(VLOOKUP(B1138,منتجات!$A$3:$C$350,2,0),"")</f>
        <v/>
      </c>
      <c r="D1138" s="63" t="str">
        <f>IFERROR(VLOOKUP(B1138,منتجات!$A$3:$C$350,3,0),"")</f>
        <v/>
      </c>
      <c r="E1138" s="63"/>
      <c r="F1138" s="63" t="str">
        <f>IFERROR(INDEX(منتجات!$G$3:$G$350,MATCH(B1138,منتجات!$A$3:$A$115,0)),"")</f>
        <v/>
      </c>
      <c r="G1138" s="63" t="str">
        <f t="shared" si="19"/>
        <v/>
      </c>
      <c r="H1138" s="69"/>
    </row>
    <row r="1139" spans="1:8" x14ac:dyDescent="0.35">
      <c r="A1139" s="64"/>
      <c r="B1139" s="65"/>
      <c r="C1139" s="65" t="str">
        <f>IFERROR(VLOOKUP(B1139,منتجات!$A$3:$C$350,2,0),"")</f>
        <v/>
      </c>
      <c r="D1139" s="65" t="str">
        <f>IFERROR(VLOOKUP(B1139,منتجات!$A$3:$C$350,3,0),"")</f>
        <v/>
      </c>
      <c r="E1139" s="65"/>
      <c r="F1139" s="65" t="str">
        <f>IFERROR(INDEX(منتجات!$G$3:$G$350,MATCH(B1139,منتجات!$A$3:$A$115,0)),"")</f>
        <v/>
      </c>
      <c r="G1139" s="65" t="str">
        <f t="shared" si="19"/>
        <v/>
      </c>
      <c r="H1139" s="70"/>
    </row>
    <row r="1140" spans="1:8" x14ac:dyDescent="0.35">
      <c r="A1140" s="62"/>
      <c r="B1140" s="63"/>
      <c r="C1140" s="63" t="str">
        <f>IFERROR(VLOOKUP(B1140,منتجات!$A$3:$C$350,2,0),"")</f>
        <v/>
      </c>
      <c r="D1140" s="63" t="str">
        <f>IFERROR(VLOOKUP(B1140,منتجات!$A$3:$C$350,3,0),"")</f>
        <v/>
      </c>
      <c r="E1140" s="63"/>
      <c r="F1140" s="63" t="str">
        <f>IFERROR(INDEX(منتجات!$G$3:$G$350,MATCH(B1140,منتجات!$A$3:$A$115,0)),"")</f>
        <v/>
      </c>
      <c r="G1140" s="63" t="str">
        <f t="shared" si="19"/>
        <v/>
      </c>
      <c r="H1140" s="69"/>
    </row>
    <row r="1141" spans="1:8" x14ac:dyDescent="0.35">
      <c r="A1141" s="64"/>
      <c r="B1141" s="65"/>
      <c r="C1141" s="65" t="str">
        <f>IFERROR(VLOOKUP(B1141,منتجات!$A$3:$C$350,2,0),"")</f>
        <v/>
      </c>
      <c r="D1141" s="65" t="str">
        <f>IFERROR(VLOOKUP(B1141,منتجات!$A$3:$C$350,3,0),"")</f>
        <v/>
      </c>
      <c r="E1141" s="65"/>
      <c r="F1141" s="65" t="str">
        <f>IFERROR(INDEX(منتجات!$G$3:$G$350,MATCH(B1141,منتجات!$A$3:$A$115,0)),"")</f>
        <v/>
      </c>
      <c r="G1141" s="65" t="str">
        <f t="shared" si="19"/>
        <v/>
      </c>
      <c r="H1141" s="70"/>
    </row>
    <row r="1142" spans="1:8" x14ac:dyDescent="0.35">
      <c r="A1142" s="62"/>
      <c r="B1142" s="63"/>
      <c r="C1142" s="63" t="str">
        <f>IFERROR(VLOOKUP(B1142,منتجات!$A$3:$C$350,2,0),"")</f>
        <v/>
      </c>
      <c r="D1142" s="63" t="str">
        <f>IFERROR(VLOOKUP(B1142,منتجات!$A$3:$C$350,3,0),"")</f>
        <v/>
      </c>
      <c r="E1142" s="63"/>
      <c r="F1142" s="63" t="str">
        <f>IFERROR(INDEX(منتجات!$G$3:$G$350,MATCH(B1142,منتجات!$A$3:$A$115,0)),"")</f>
        <v/>
      </c>
      <c r="G1142" s="63" t="str">
        <f t="shared" si="19"/>
        <v/>
      </c>
      <c r="H1142" s="69"/>
    </row>
    <row r="1143" spans="1:8" x14ac:dyDescent="0.35">
      <c r="A1143" s="64"/>
      <c r="B1143" s="65"/>
      <c r="C1143" s="65" t="str">
        <f>IFERROR(VLOOKUP(B1143,منتجات!$A$3:$C$350,2,0),"")</f>
        <v/>
      </c>
      <c r="D1143" s="65" t="str">
        <f>IFERROR(VLOOKUP(B1143,منتجات!$A$3:$C$350,3,0),"")</f>
        <v/>
      </c>
      <c r="E1143" s="65"/>
      <c r="F1143" s="65" t="str">
        <f>IFERROR(INDEX(منتجات!$G$3:$G$350,MATCH(B1143,منتجات!$A$3:$A$115,0)),"")</f>
        <v/>
      </c>
      <c r="G1143" s="65" t="str">
        <f t="shared" si="19"/>
        <v/>
      </c>
      <c r="H1143" s="70"/>
    </row>
    <row r="1144" spans="1:8" x14ac:dyDescent="0.35">
      <c r="A1144" s="62"/>
      <c r="B1144" s="63"/>
      <c r="C1144" s="63" t="str">
        <f>IFERROR(VLOOKUP(B1144,منتجات!$A$3:$C$350,2,0),"")</f>
        <v/>
      </c>
      <c r="D1144" s="63" t="str">
        <f>IFERROR(VLOOKUP(B1144,منتجات!$A$3:$C$350,3,0),"")</f>
        <v/>
      </c>
      <c r="E1144" s="63"/>
      <c r="F1144" s="63" t="str">
        <f>IFERROR(INDEX(منتجات!$G$3:$G$350,MATCH(B1144,منتجات!$A$3:$A$115,0)),"")</f>
        <v/>
      </c>
      <c r="G1144" s="63" t="str">
        <f t="shared" si="19"/>
        <v/>
      </c>
      <c r="H1144" s="69"/>
    </row>
    <row r="1145" spans="1:8" x14ac:dyDescent="0.35">
      <c r="A1145" s="64"/>
      <c r="B1145" s="65"/>
      <c r="C1145" s="65" t="str">
        <f>IFERROR(VLOOKUP(B1145,منتجات!$A$3:$C$350,2,0),"")</f>
        <v/>
      </c>
      <c r="D1145" s="65" t="str">
        <f>IFERROR(VLOOKUP(B1145,منتجات!$A$3:$C$350,3,0),"")</f>
        <v/>
      </c>
      <c r="E1145" s="65"/>
      <c r="F1145" s="65" t="str">
        <f>IFERROR(INDEX(منتجات!$G$3:$G$350,MATCH(B1145,منتجات!$A$3:$A$115,0)),"")</f>
        <v/>
      </c>
      <c r="G1145" s="65" t="str">
        <f t="shared" si="19"/>
        <v/>
      </c>
      <c r="H1145" s="70"/>
    </row>
    <row r="1146" spans="1:8" x14ac:dyDescent="0.35">
      <c r="A1146" s="62"/>
      <c r="B1146" s="63"/>
      <c r="C1146" s="63" t="str">
        <f>IFERROR(VLOOKUP(B1146,منتجات!$A$3:$C$350,2,0),"")</f>
        <v/>
      </c>
      <c r="D1146" s="63" t="str">
        <f>IFERROR(VLOOKUP(B1146,منتجات!$A$3:$C$350,3,0),"")</f>
        <v/>
      </c>
      <c r="E1146" s="63"/>
      <c r="F1146" s="63" t="str">
        <f>IFERROR(INDEX(منتجات!$G$3:$G$350,MATCH(B1146,منتجات!$A$3:$A$115,0)),"")</f>
        <v/>
      </c>
      <c r="G1146" s="63" t="str">
        <f t="shared" si="19"/>
        <v/>
      </c>
      <c r="H1146" s="69"/>
    </row>
    <row r="1147" spans="1:8" x14ac:dyDescent="0.35">
      <c r="A1147" s="64"/>
      <c r="B1147" s="65"/>
      <c r="C1147" s="65" t="str">
        <f>IFERROR(VLOOKUP(B1147,منتجات!$A$3:$C$350,2,0),"")</f>
        <v/>
      </c>
      <c r="D1147" s="65" t="str">
        <f>IFERROR(VLOOKUP(B1147,منتجات!$A$3:$C$350,3,0),"")</f>
        <v/>
      </c>
      <c r="E1147" s="65"/>
      <c r="F1147" s="65" t="str">
        <f>IFERROR(INDEX(منتجات!$G$3:$G$350,MATCH(B1147,منتجات!$A$3:$A$115,0)),"")</f>
        <v/>
      </c>
      <c r="G1147" s="65" t="str">
        <f t="shared" si="19"/>
        <v/>
      </c>
      <c r="H1147" s="70"/>
    </row>
    <row r="1148" spans="1:8" x14ac:dyDescent="0.35">
      <c r="A1148" s="62"/>
      <c r="B1148" s="63"/>
      <c r="C1148" s="63" t="str">
        <f>IFERROR(VLOOKUP(B1148,منتجات!$A$3:$C$350,2,0),"")</f>
        <v/>
      </c>
      <c r="D1148" s="63" t="str">
        <f>IFERROR(VLOOKUP(B1148,منتجات!$A$3:$C$350,3,0),"")</f>
        <v/>
      </c>
      <c r="E1148" s="63"/>
      <c r="F1148" s="63" t="str">
        <f>IFERROR(INDEX(منتجات!$G$3:$G$350,MATCH(B1148,منتجات!$A$3:$A$115,0)),"")</f>
        <v/>
      </c>
      <c r="G1148" s="63" t="str">
        <f t="shared" si="19"/>
        <v/>
      </c>
      <c r="H1148" s="69"/>
    </row>
    <row r="1149" spans="1:8" x14ac:dyDescent="0.35">
      <c r="A1149" s="64"/>
      <c r="B1149" s="65"/>
      <c r="C1149" s="65" t="str">
        <f>IFERROR(VLOOKUP(B1149,منتجات!$A$3:$C$350,2,0),"")</f>
        <v/>
      </c>
      <c r="D1149" s="65" t="str">
        <f>IFERROR(VLOOKUP(B1149,منتجات!$A$3:$C$350,3,0),"")</f>
        <v/>
      </c>
      <c r="E1149" s="65"/>
      <c r="F1149" s="65" t="str">
        <f>IFERROR(INDEX(منتجات!$G$3:$G$350,MATCH(B1149,منتجات!$A$3:$A$115,0)),"")</f>
        <v/>
      </c>
      <c r="G1149" s="65" t="str">
        <f t="shared" si="19"/>
        <v/>
      </c>
      <c r="H1149" s="70"/>
    </row>
    <row r="1150" spans="1:8" x14ac:dyDescent="0.35">
      <c r="A1150" s="62"/>
      <c r="B1150" s="63"/>
      <c r="C1150" s="63" t="str">
        <f>IFERROR(VLOOKUP(B1150,منتجات!$A$3:$C$350,2,0),"")</f>
        <v/>
      </c>
      <c r="D1150" s="63" t="str">
        <f>IFERROR(VLOOKUP(B1150,منتجات!$A$3:$C$350,3,0),"")</f>
        <v/>
      </c>
      <c r="E1150" s="63"/>
      <c r="F1150" s="63" t="str">
        <f>IFERROR(INDEX(منتجات!$G$3:$G$350,MATCH(B1150,منتجات!$A$3:$A$115,0)),"")</f>
        <v/>
      </c>
      <c r="G1150" s="63" t="str">
        <f t="shared" si="19"/>
        <v/>
      </c>
      <c r="H1150" s="69"/>
    </row>
    <row r="1151" spans="1:8" x14ac:dyDescent="0.35">
      <c r="A1151" s="64"/>
      <c r="B1151" s="65"/>
      <c r="C1151" s="65" t="str">
        <f>IFERROR(VLOOKUP(B1151,منتجات!$A$3:$C$350,2,0),"")</f>
        <v/>
      </c>
      <c r="D1151" s="65" t="str">
        <f>IFERROR(VLOOKUP(B1151,منتجات!$A$3:$C$350,3,0),"")</f>
        <v/>
      </c>
      <c r="E1151" s="65"/>
      <c r="F1151" s="65" t="str">
        <f>IFERROR(INDEX(منتجات!$G$3:$G$350,MATCH(B1151,منتجات!$A$3:$A$115,0)),"")</f>
        <v/>
      </c>
      <c r="G1151" s="65" t="str">
        <f t="shared" si="19"/>
        <v/>
      </c>
      <c r="H1151" s="70"/>
    </row>
    <row r="1152" spans="1:8" x14ac:dyDescent="0.35">
      <c r="A1152" s="62"/>
      <c r="B1152" s="63"/>
      <c r="C1152" s="63" t="str">
        <f>IFERROR(VLOOKUP(B1152,منتجات!$A$3:$C$350,2,0),"")</f>
        <v/>
      </c>
      <c r="D1152" s="63" t="str">
        <f>IFERROR(VLOOKUP(B1152,منتجات!$A$3:$C$350,3,0),"")</f>
        <v/>
      </c>
      <c r="E1152" s="63"/>
      <c r="F1152" s="63" t="str">
        <f>IFERROR(INDEX(منتجات!$G$3:$G$350,MATCH(B1152,منتجات!$A$3:$A$115,0)),"")</f>
        <v/>
      </c>
      <c r="G1152" s="63" t="str">
        <f t="shared" si="19"/>
        <v/>
      </c>
      <c r="H1152" s="69"/>
    </row>
    <row r="1153" spans="1:8" x14ac:dyDescent="0.35">
      <c r="A1153" s="64"/>
      <c r="B1153" s="65"/>
      <c r="C1153" s="65" t="str">
        <f>IFERROR(VLOOKUP(B1153,منتجات!$A$3:$C$350,2,0),"")</f>
        <v/>
      </c>
      <c r="D1153" s="65" t="str">
        <f>IFERROR(VLOOKUP(B1153,منتجات!$A$3:$C$350,3,0),"")</f>
        <v/>
      </c>
      <c r="E1153" s="65"/>
      <c r="F1153" s="65" t="str">
        <f>IFERROR(INDEX(منتجات!$G$3:$G$350,MATCH(B1153,منتجات!$A$3:$A$115,0)),"")</f>
        <v/>
      </c>
      <c r="G1153" s="65" t="str">
        <f t="shared" si="19"/>
        <v/>
      </c>
      <c r="H1153" s="70"/>
    </row>
    <row r="1154" spans="1:8" x14ac:dyDescent="0.35">
      <c r="A1154" s="62"/>
      <c r="B1154" s="63"/>
      <c r="C1154" s="63" t="str">
        <f>IFERROR(VLOOKUP(B1154,منتجات!$A$3:$C$350,2,0),"")</f>
        <v/>
      </c>
      <c r="D1154" s="63" t="str">
        <f>IFERROR(VLOOKUP(B1154,منتجات!$A$3:$C$350,3,0),"")</f>
        <v/>
      </c>
      <c r="E1154" s="63"/>
      <c r="F1154" s="63" t="str">
        <f>IFERROR(INDEX(منتجات!$G$3:$G$350,MATCH(B1154,منتجات!$A$3:$A$115,0)),"")</f>
        <v/>
      </c>
      <c r="G1154" s="63" t="str">
        <f t="shared" si="19"/>
        <v/>
      </c>
      <c r="H1154" s="69"/>
    </row>
    <row r="1155" spans="1:8" x14ac:dyDescent="0.35">
      <c r="A1155" s="64"/>
      <c r="B1155" s="65"/>
      <c r="C1155" s="65" t="str">
        <f>IFERROR(VLOOKUP(B1155,منتجات!$A$3:$C$350,2,0),"")</f>
        <v/>
      </c>
      <c r="D1155" s="65" t="str">
        <f>IFERROR(VLOOKUP(B1155,منتجات!$A$3:$C$350,3,0),"")</f>
        <v/>
      </c>
      <c r="E1155" s="65"/>
      <c r="F1155" s="65" t="str">
        <f>IFERROR(INDEX(منتجات!$G$3:$G$350,MATCH(B1155,منتجات!$A$3:$A$115,0)),"")</f>
        <v/>
      </c>
      <c r="G1155" s="65" t="str">
        <f t="shared" si="19"/>
        <v/>
      </c>
      <c r="H1155" s="70"/>
    </row>
    <row r="1156" spans="1:8" x14ac:dyDescent="0.35">
      <c r="A1156" s="62"/>
      <c r="B1156" s="63"/>
      <c r="C1156" s="63" t="str">
        <f>IFERROR(VLOOKUP(B1156,منتجات!$A$3:$C$350,2,0),"")</f>
        <v/>
      </c>
      <c r="D1156" s="63" t="str">
        <f>IFERROR(VLOOKUP(B1156,منتجات!$A$3:$C$350,3,0),"")</f>
        <v/>
      </c>
      <c r="E1156" s="63"/>
      <c r="F1156" s="63" t="str">
        <f>IFERROR(INDEX(منتجات!$G$3:$G$350,MATCH(B1156,منتجات!$A$3:$A$115,0)),"")</f>
        <v/>
      </c>
      <c r="G1156" s="63" t="str">
        <f t="shared" si="19"/>
        <v/>
      </c>
      <c r="H1156" s="69"/>
    </row>
    <row r="1157" spans="1:8" x14ac:dyDescent="0.35">
      <c r="A1157" s="64"/>
      <c r="B1157" s="65"/>
      <c r="C1157" s="65" t="str">
        <f>IFERROR(VLOOKUP(B1157,منتجات!$A$3:$C$350,2,0),"")</f>
        <v/>
      </c>
      <c r="D1157" s="65" t="str">
        <f>IFERROR(VLOOKUP(B1157,منتجات!$A$3:$C$350,3,0),"")</f>
        <v/>
      </c>
      <c r="E1157" s="65"/>
      <c r="F1157" s="65" t="str">
        <f>IFERROR(INDEX(منتجات!$G$3:$G$350,MATCH(B1157,منتجات!$A$3:$A$115,0)),"")</f>
        <v/>
      </c>
      <c r="G1157" s="65" t="str">
        <f t="shared" si="19"/>
        <v/>
      </c>
      <c r="H1157" s="70"/>
    </row>
    <row r="1158" spans="1:8" x14ac:dyDescent="0.35">
      <c r="A1158" s="62"/>
      <c r="B1158" s="63"/>
      <c r="C1158" s="63" t="str">
        <f>IFERROR(VLOOKUP(B1158,منتجات!$A$3:$C$350,2,0),"")</f>
        <v/>
      </c>
      <c r="D1158" s="63" t="str">
        <f>IFERROR(VLOOKUP(B1158,منتجات!$A$3:$C$350,3,0),"")</f>
        <v/>
      </c>
      <c r="E1158" s="63"/>
      <c r="F1158" s="63" t="str">
        <f>IFERROR(INDEX(منتجات!$G$3:$G$350,MATCH(B1158,منتجات!$A$3:$A$115,0)),"")</f>
        <v/>
      </c>
      <c r="G1158" s="63" t="str">
        <f t="shared" ref="G1158:G1221" si="20">IFERROR(E1158*F1158*D1158,"")</f>
        <v/>
      </c>
      <c r="H1158" s="69"/>
    </row>
    <row r="1159" spans="1:8" x14ac:dyDescent="0.35">
      <c r="A1159" s="64"/>
      <c r="B1159" s="65"/>
      <c r="C1159" s="65" t="str">
        <f>IFERROR(VLOOKUP(B1159,منتجات!$A$3:$C$350,2,0),"")</f>
        <v/>
      </c>
      <c r="D1159" s="65" t="str">
        <f>IFERROR(VLOOKUP(B1159,منتجات!$A$3:$C$350,3,0),"")</f>
        <v/>
      </c>
      <c r="E1159" s="65"/>
      <c r="F1159" s="65" t="str">
        <f>IFERROR(INDEX(منتجات!$G$3:$G$350,MATCH(B1159,منتجات!$A$3:$A$115,0)),"")</f>
        <v/>
      </c>
      <c r="G1159" s="65" t="str">
        <f t="shared" si="20"/>
        <v/>
      </c>
      <c r="H1159" s="70"/>
    </row>
    <row r="1160" spans="1:8" x14ac:dyDescent="0.35">
      <c r="A1160" s="62"/>
      <c r="B1160" s="63"/>
      <c r="C1160" s="63" t="str">
        <f>IFERROR(VLOOKUP(B1160,منتجات!$A$3:$C$350,2,0),"")</f>
        <v/>
      </c>
      <c r="D1160" s="63" t="str">
        <f>IFERROR(VLOOKUP(B1160,منتجات!$A$3:$C$350,3,0),"")</f>
        <v/>
      </c>
      <c r="E1160" s="63"/>
      <c r="F1160" s="63" t="str">
        <f>IFERROR(INDEX(منتجات!$G$3:$G$350,MATCH(B1160,منتجات!$A$3:$A$115,0)),"")</f>
        <v/>
      </c>
      <c r="G1160" s="63" t="str">
        <f t="shared" si="20"/>
        <v/>
      </c>
      <c r="H1160" s="69"/>
    </row>
    <row r="1161" spans="1:8" x14ac:dyDescent="0.35">
      <c r="A1161" s="64"/>
      <c r="B1161" s="65"/>
      <c r="C1161" s="65" t="str">
        <f>IFERROR(VLOOKUP(B1161,منتجات!$A$3:$C$350,2,0),"")</f>
        <v/>
      </c>
      <c r="D1161" s="65" t="str">
        <f>IFERROR(VLOOKUP(B1161,منتجات!$A$3:$C$350,3,0),"")</f>
        <v/>
      </c>
      <c r="E1161" s="65"/>
      <c r="F1161" s="65" t="str">
        <f>IFERROR(INDEX(منتجات!$G$3:$G$350,MATCH(B1161,منتجات!$A$3:$A$115,0)),"")</f>
        <v/>
      </c>
      <c r="G1161" s="65" t="str">
        <f t="shared" si="20"/>
        <v/>
      </c>
      <c r="H1161" s="70"/>
    </row>
    <row r="1162" spans="1:8" x14ac:dyDescent="0.35">
      <c r="A1162" s="62"/>
      <c r="B1162" s="63"/>
      <c r="C1162" s="63" t="str">
        <f>IFERROR(VLOOKUP(B1162,منتجات!$A$3:$C$350,2,0),"")</f>
        <v/>
      </c>
      <c r="D1162" s="63" t="str">
        <f>IFERROR(VLOOKUP(B1162,منتجات!$A$3:$C$350,3,0),"")</f>
        <v/>
      </c>
      <c r="E1162" s="63"/>
      <c r="F1162" s="63" t="str">
        <f>IFERROR(INDEX(منتجات!$G$3:$G$350,MATCH(B1162,منتجات!$A$3:$A$115,0)),"")</f>
        <v/>
      </c>
      <c r="G1162" s="63" t="str">
        <f t="shared" si="20"/>
        <v/>
      </c>
      <c r="H1162" s="69"/>
    </row>
    <row r="1163" spans="1:8" x14ac:dyDescent="0.35">
      <c r="A1163" s="64"/>
      <c r="B1163" s="65"/>
      <c r="C1163" s="65" t="str">
        <f>IFERROR(VLOOKUP(B1163,منتجات!$A$3:$C$350,2,0),"")</f>
        <v/>
      </c>
      <c r="D1163" s="65" t="str">
        <f>IFERROR(VLOOKUP(B1163,منتجات!$A$3:$C$350,3,0),"")</f>
        <v/>
      </c>
      <c r="E1163" s="65"/>
      <c r="F1163" s="65" t="str">
        <f>IFERROR(INDEX(منتجات!$G$3:$G$350,MATCH(B1163,منتجات!$A$3:$A$115,0)),"")</f>
        <v/>
      </c>
      <c r="G1163" s="65" t="str">
        <f t="shared" si="20"/>
        <v/>
      </c>
      <c r="H1163" s="70"/>
    </row>
    <row r="1164" spans="1:8" x14ac:dyDescent="0.35">
      <c r="A1164" s="62"/>
      <c r="B1164" s="63"/>
      <c r="C1164" s="63" t="str">
        <f>IFERROR(VLOOKUP(B1164,منتجات!$A$3:$C$350,2,0),"")</f>
        <v/>
      </c>
      <c r="D1164" s="63" t="str">
        <f>IFERROR(VLOOKUP(B1164,منتجات!$A$3:$C$350,3,0),"")</f>
        <v/>
      </c>
      <c r="E1164" s="63"/>
      <c r="F1164" s="63" t="str">
        <f>IFERROR(INDEX(منتجات!$G$3:$G$350,MATCH(B1164,منتجات!$A$3:$A$115,0)),"")</f>
        <v/>
      </c>
      <c r="G1164" s="63" t="str">
        <f t="shared" si="20"/>
        <v/>
      </c>
      <c r="H1164" s="69"/>
    </row>
    <row r="1165" spans="1:8" x14ac:dyDescent="0.35">
      <c r="A1165" s="64"/>
      <c r="B1165" s="65"/>
      <c r="C1165" s="65" t="str">
        <f>IFERROR(VLOOKUP(B1165,منتجات!$A$3:$C$350,2,0),"")</f>
        <v/>
      </c>
      <c r="D1165" s="65" t="str">
        <f>IFERROR(VLOOKUP(B1165,منتجات!$A$3:$C$350,3,0),"")</f>
        <v/>
      </c>
      <c r="E1165" s="65"/>
      <c r="F1165" s="65" t="str">
        <f>IFERROR(INDEX(منتجات!$G$3:$G$350,MATCH(B1165,منتجات!$A$3:$A$115,0)),"")</f>
        <v/>
      </c>
      <c r="G1165" s="65" t="str">
        <f t="shared" si="20"/>
        <v/>
      </c>
      <c r="H1165" s="70"/>
    </row>
    <row r="1166" spans="1:8" x14ac:dyDescent="0.35">
      <c r="A1166" s="62"/>
      <c r="B1166" s="63"/>
      <c r="C1166" s="63" t="str">
        <f>IFERROR(VLOOKUP(B1166,منتجات!$A$3:$C$350,2,0),"")</f>
        <v/>
      </c>
      <c r="D1166" s="63" t="str">
        <f>IFERROR(VLOOKUP(B1166,منتجات!$A$3:$C$350,3,0),"")</f>
        <v/>
      </c>
      <c r="E1166" s="63"/>
      <c r="F1166" s="63" t="str">
        <f>IFERROR(INDEX(منتجات!$G$3:$G$350,MATCH(B1166,منتجات!$A$3:$A$115,0)),"")</f>
        <v/>
      </c>
      <c r="G1166" s="63" t="str">
        <f t="shared" si="20"/>
        <v/>
      </c>
      <c r="H1166" s="69"/>
    </row>
    <row r="1167" spans="1:8" x14ac:dyDescent="0.35">
      <c r="A1167" s="64"/>
      <c r="B1167" s="65"/>
      <c r="C1167" s="65" t="str">
        <f>IFERROR(VLOOKUP(B1167,منتجات!$A$3:$C$350,2,0),"")</f>
        <v/>
      </c>
      <c r="D1167" s="65" t="str">
        <f>IFERROR(VLOOKUP(B1167,منتجات!$A$3:$C$350,3,0),"")</f>
        <v/>
      </c>
      <c r="E1167" s="65"/>
      <c r="F1167" s="65" t="str">
        <f>IFERROR(INDEX(منتجات!$G$3:$G$350,MATCH(B1167,منتجات!$A$3:$A$115,0)),"")</f>
        <v/>
      </c>
      <c r="G1167" s="65" t="str">
        <f t="shared" si="20"/>
        <v/>
      </c>
      <c r="H1167" s="70"/>
    </row>
    <row r="1168" spans="1:8" x14ac:dyDescent="0.35">
      <c r="A1168" s="62"/>
      <c r="B1168" s="63"/>
      <c r="C1168" s="63" t="str">
        <f>IFERROR(VLOOKUP(B1168,منتجات!$A$3:$C$350,2,0),"")</f>
        <v/>
      </c>
      <c r="D1168" s="63" t="str">
        <f>IFERROR(VLOOKUP(B1168,منتجات!$A$3:$C$350,3,0),"")</f>
        <v/>
      </c>
      <c r="E1168" s="63"/>
      <c r="F1168" s="63" t="str">
        <f>IFERROR(INDEX(منتجات!$G$3:$G$350,MATCH(B1168,منتجات!$A$3:$A$115,0)),"")</f>
        <v/>
      </c>
      <c r="G1168" s="63" t="str">
        <f t="shared" si="20"/>
        <v/>
      </c>
      <c r="H1168" s="69"/>
    </row>
    <row r="1169" spans="1:8" x14ac:dyDescent="0.35">
      <c r="A1169" s="64"/>
      <c r="B1169" s="65"/>
      <c r="C1169" s="65" t="str">
        <f>IFERROR(VLOOKUP(B1169,منتجات!$A$3:$C$350,2,0),"")</f>
        <v/>
      </c>
      <c r="D1169" s="65" t="str">
        <f>IFERROR(VLOOKUP(B1169,منتجات!$A$3:$C$350,3,0),"")</f>
        <v/>
      </c>
      <c r="E1169" s="65"/>
      <c r="F1169" s="65" t="str">
        <f>IFERROR(INDEX(منتجات!$G$3:$G$350,MATCH(B1169,منتجات!$A$3:$A$115,0)),"")</f>
        <v/>
      </c>
      <c r="G1169" s="65" t="str">
        <f t="shared" si="20"/>
        <v/>
      </c>
      <c r="H1169" s="70"/>
    </row>
    <row r="1170" spans="1:8" x14ac:dyDescent="0.35">
      <c r="A1170" s="62"/>
      <c r="B1170" s="63"/>
      <c r="C1170" s="63" t="str">
        <f>IFERROR(VLOOKUP(B1170,منتجات!$A$3:$C$350,2,0),"")</f>
        <v/>
      </c>
      <c r="D1170" s="63" t="str">
        <f>IFERROR(VLOOKUP(B1170,منتجات!$A$3:$C$350,3,0),"")</f>
        <v/>
      </c>
      <c r="E1170" s="63"/>
      <c r="F1170" s="63" t="str">
        <f>IFERROR(INDEX(منتجات!$G$3:$G$350,MATCH(B1170,منتجات!$A$3:$A$115,0)),"")</f>
        <v/>
      </c>
      <c r="G1170" s="63" t="str">
        <f t="shared" si="20"/>
        <v/>
      </c>
      <c r="H1170" s="69"/>
    </row>
    <row r="1171" spans="1:8" x14ac:dyDescent="0.35">
      <c r="A1171" s="64"/>
      <c r="B1171" s="65"/>
      <c r="C1171" s="65" t="str">
        <f>IFERROR(VLOOKUP(B1171,منتجات!$A$3:$C$350,2,0),"")</f>
        <v/>
      </c>
      <c r="D1171" s="65" t="str">
        <f>IFERROR(VLOOKUP(B1171,منتجات!$A$3:$C$350,3,0),"")</f>
        <v/>
      </c>
      <c r="E1171" s="65"/>
      <c r="F1171" s="65" t="str">
        <f>IFERROR(INDEX(منتجات!$G$3:$G$350,MATCH(B1171,منتجات!$A$3:$A$115,0)),"")</f>
        <v/>
      </c>
      <c r="G1171" s="65" t="str">
        <f t="shared" si="20"/>
        <v/>
      </c>
      <c r="H1171" s="70"/>
    </row>
    <row r="1172" spans="1:8" x14ac:dyDescent="0.35">
      <c r="A1172" s="62"/>
      <c r="B1172" s="63"/>
      <c r="C1172" s="63" t="str">
        <f>IFERROR(VLOOKUP(B1172,منتجات!$A$3:$C$350,2,0),"")</f>
        <v/>
      </c>
      <c r="D1172" s="63" t="str">
        <f>IFERROR(VLOOKUP(B1172,منتجات!$A$3:$C$350,3,0),"")</f>
        <v/>
      </c>
      <c r="E1172" s="63"/>
      <c r="F1172" s="63" t="str">
        <f>IFERROR(INDEX(منتجات!$G$3:$G$350,MATCH(B1172,منتجات!$A$3:$A$115,0)),"")</f>
        <v/>
      </c>
      <c r="G1172" s="63" t="str">
        <f t="shared" si="20"/>
        <v/>
      </c>
      <c r="H1172" s="69"/>
    </row>
    <row r="1173" spans="1:8" x14ac:dyDescent="0.35">
      <c r="A1173" s="64"/>
      <c r="B1173" s="65"/>
      <c r="C1173" s="65" t="str">
        <f>IFERROR(VLOOKUP(B1173,منتجات!$A$3:$C$350,2,0),"")</f>
        <v/>
      </c>
      <c r="D1173" s="65" t="str">
        <f>IFERROR(VLOOKUP(B1173,منتجات!$A$3:$C$350,3,0),"")</f>
        <v/>
      </c>
      <c r="E1173" s="65"/>
      <c r="F1173" s="65" t="str">
        <f>IFERROR(INDEX(منتجات!$G$3:$G$350,MATCH(B1173,منتجات!$A$3:$A$115,0)),"")</f>
        <v/>
      </c>
      <c r="G1173" s="65" t="str">
        <f t="shared" si="20"/>
        <v/>
      </c>
      <c r="H1173" s="70"/>
    </row>
    <row r="1174" spans="1:8" x14ac:dyDescent="0.35">
      <c r="A1174" s="62"/>
      <c r="B1174" s="63"/>
      <c r="C1174" s="63" t="str">
        <f>IFERROR(VLOOKUP(B1174,منتجات!$A$3:$C$350,2,0),"")</f>
        <v/>
      </c>
      <c r="D1174" s="63" t="str">
        <f>IFERROR(VLOOKUP(B1174,منتجات!$A$3:$C$350,3,0),"")</f>
        <v/>
      </c>
      <c r="E1174" s="63"/>
      <c r="F1174" s="63" t="str">
        <f>IFERROR(INDEX(منتجات!$G$3:$G$350,MATCH(B1174,منتجات!$A$3:$A$115,0)),"")</f>
        <v/>
      </c>
      <c r="G1174" s="63" t="str">
        <f t="shared" si="20"/>
        <v/>
      </c>
      <c r="H1174" s="69"/>
    </row>
    <row r="1175" spans="1:8" x14ac:dyDescent="0.35">
      <c r="A1175" s="64"/>
      <c r="B1175" s="65"/>
      <c r="C1175" s="65" t="str">
        <f>IFERROR(VLOOKUP(B1175,منتجات!$A$3:$C$350,2,0),"")</f>
        <v/>
      </c>
      <c r="D1175" s="65" t="str">
        <f>IFERROR(VLOOKUP(B1175,منتجات!$A$3:$C$350,3,0),"")</f>
        <v/>
      </c>
      <c r="E1175" s="65"/>
      <c r="F1175" s="65" t="str">
        <f>IFERROR(INDEX(منتجات!$G$3:$G$350,MATCH(B1175,منتجات!$A$3:$A$115,0)),"")</f>
        <v/>
      </c>
      <c r="G1175" s="65" t="str">
        <f t="shared" si="20"/>
        <v/>
      </c>
      <c r="H1175" s="70"/>
    </row>
    <row r="1176" spans="1:8" x14ac:dyDescent="0.35">
      <c r="A1176" s="62"/>
      <c r="B1176" s="63"/>
      <c r="C1176" s="63" t="str">
        <f>IFERROR(VLOOKUP(B1176,منتجات!$A$3:$C$350,2,0),"")</f>
        <v/>
      </c>
      <c r="D1176" s="63" t="str">
        <f>IFERROR(VLOOKUP(B1176,منتجات!$A$3:$C$350,3,0),"")</f>
        <v/>
      </c>
      <c r="E1176" s="63"/>
      <c r="F1176" s="63" t="str">
        <f>IFERROR(INDEX(منتجات!$G$3:$G$350,MATCH(B1176,منتجات!$A$3:$A$115,0)),"")</f>
        <v/>
      </c>
      <c r="G1176" s="63" t="str">
        <f t="shared" si="20"/>
        <v/>
      </c>
      <c r="H1176" s="69"/>
    </row>
    <row r="1177" spans="1:8" x14ac:dyDescent="0.35">
      <c r="A1177" s="64"/>
      <c r="B1177" s="65"/>
      <c r="C1177" s="65" t="str">
        <f>IFERROR(VLOOKUP(B1177,منتجات!$A$3:$C$350,2,0),"")</f>
        <v/>
      </c>
      <c r="D1177" s="65" t="str">
        <f>IFERROR(VLOOKUP(B1177,منتجات!$A$3:$C$350,3,0),"")</f>
        <v/>
      </c>
      <c r="E1177" s="65"/>
      <c r="F1177" s="65" t="str">
        <f>IFERROR(INDEX(منتجات!$G$3:$G$350,MATCH(B1177,منتجات!$A$3:$A$115,0)),"")</f>
        <v/>
      </c>
      <c r="G1177" s="65" t="str">
        <f t="shared" si="20"/>
        <v/>
      </c>
      <c r="H1177" s="70"/>
    </row>
    <row r="1178" spans="1:8" x14ac:dyDescent="0.35">
      <c r="A1178" s="62"/>
      <c r="B1178" s="63"/>
      <c r="C1178" s="63" t="str">
        <f>IFERROR(VLOOKUP(B1178,منتجات!$A$3:$C$350,2,0),"")</f>
        <v/>
      </c>
      <c r="D1178" s="63" t="str">
        <f>IFERROR(VLOOKUP(B1178,منتجات!$A$3:$C$350,3,0),"")</f>
        <v/>
      </c>
      <c r="E1178" s="63"/>
      <c r="F1178" s="63" t="str">
        <f>IFERROR(INDEX(منتجات!$G$3:$G$350,MATCH(B1178,منتجات!$A$3:$A$115,0)),"")</f>
        <v/>
      </c>
      <c r="G1178" s="63" t="str">
        <f t="shared" si="20"/>
        <v/>
      </c>
      <c r="H1178" s="69"/>
    </row>
    <row r="1179" spans="1:8" x14ac:dyDescent="0.35">
      <c r="A1179" s="64"/>
      <c r="B1179" s="65"/>
      <c r="C1179" s="65" t="str">
        <f>IFERROR(VLOOKUP(B1179,منتجات!$A$3:$C$350,2,0),"")</f>
        <v/>
      </c>
      <c r="D1179" s="65" t="str">
        <f>IFERROR(VLOOKUP(B1179,منتجات!$A$3:$C$350,3,0),"")</f>
        <v/>
      </c>
      <c r="E1179" s="65"/>
      <c r="F1179" s="65" t="str">
        <f>IFERROR(INDEX(منتجات!$G$3:$G$350,MATCH(B1179,منتجات!$A$3:$A$115,0)),"")</f>
        <v/>
      </c>
      <c r="G1179" s="65" t="str">
        <f t="shared" si="20"/>
        <v/>
      </c>
      <c r="H1179" s="70"/>
    </row>
    <row r="1180" spans="1:8" x14ac:dyDescent="0.35">
      <c r="A1180" s="62"/>
      <c r="B1180" s="63"/>
      <c r="C1180" s="63" t="str">
        <f>IFERROR(VLOOKUP(B1180,منتجات!$A$3:$C$350,2,0),"")</f>
        <v/>
      </c>
      <c r="D1180" s="63" t="str">
        <f>IFERROR(VLOOKUP(B1180,منتجات!$A$3:$C$350,3,0),"")</f>
        <v/>
      </c>
      <c r="E1180" s="63"/>
      <c r="F1180" s="63" t="str">
        <f>IFERROR(INDEX(منتجات!$G$3:$G$350,MATCH(B1180,منتجات!$A$3:$A$115,0)),"")</f>
        <v/>
      </c>
      <c r="G1180" s="63" t="str">
        <f t="shared" si="20"/>
        <v/>
      </c>
      <c r="H1180" s="69"/>
    </row>
    <row r="1181" spans="1:8" x14ac:dyDescent="0.35">
      <c r="A1181" s="64"/>
      <c r="B1181" s="65"/>
      <c r="C1181" s="65" t="str">
        <f>IFERROR(VLOOKUP(B1181,منتجات!$A$3:$C$350,2,0),"")</f>
        <v/>
      </c>
      <c r="D1181" s="65" t="str">
        <f>IFERROR(VLOOKUP(B1181,منتجات!$A$3:$C$350,3,0),"")</f>
        <v/>
      </c>
      <c r="E1181" s="65"/>
      <c r="F1181" s="65" t="str">
        <f>IFERROR(INDEX(منتجات!$G$3:$G$350,MATCH(B1181,منتجات!$A$3:$A$115,0)),"")</f>
        <v/>
      </c>
      <c r="G1181" s="65" t="str">
        <f t="shared" si="20"/>
        <v/>
      </c>
      <c r="H1181" s="70"/>
    </row>
    <row r="1182" spans="1:8" x14ac:dyDescent="0.35">
      <c r="A1182" s="62"/>
      <c r="B1182" s="63"/>
      <c r="C1182" s="63" t="str">
        <f>IFERROR(VLOOKUP(B1182,منتجات!$A$3:$C$350,2,0),"")</f>
        <v/>
      </c>
      <c r="D1182" s="63" t="str">
        <f>IFERROR(VLOOKUP(B1182,منتجات!$A$3:$C$350,3,0),"")</f>
        <v/>
      </c>
      <c r="E1182" s="63"/>
      <c r="F1182" s="63" t="str">
        <f>IFERROR(INDEX(منتجات!$G$3:$G$350,MATCH(B1182,منتجات!$A$3:$A$115,0)),"")</f>
        <v/>
      </c>
      <c r="G1182" s="63" t="str">
        <f t="shared" si="20"/>
        <v/>
      </c>
      <c r="H1182" s="69"/>
    </row>
    <row r="1183" spans="1:8" x14ac:dyDescent="0.35">
      <c r="A1183" s="64"/>
      <c r="B1183" s="65"/>
      <c r="C1183" s="65" t="str">
        <f>IFERROR(VLOOKUP(B1183,منتجات!$A$3:$C$350,2,0),"")</f>
        <v/>
      </c>
      <c r="D1183" s="65" t="str">
        <f>IFERROR(VLOOKUP(B1183,منتجات!$A$3:$C$350,3,0),"")</f>
        <v/>
      </c>
      <c r="E1183" s="65"/>
      <c r="F1183" s="65" t="str">
        <f>IFERROR(INDEX(منتجات!$G$3:$G$350,MATCH(B1183,منتجات!$A$3:$A$115,0)),"")</f>
        <v/>
      </c>
      <c r="G1183" s="65" t="str">
        <f t="shared" si="20"/>
        <v/>
      </c>
      <c r="H1183" s="70"/>
    </row>
    <row r="1184" spans="1:8" x14ac:dyDescent="0.35">
      <c r="A1184" s="62"/>
      <c r="B1184" s="63"/>
      <c r="C1184" s="63" t="str">
        <f>IFERROR(VLOOKUP(B1184,منتجات!$A$3:$C$350,2,0),"")</f>
        <v/>
      </c>
      <c r="D1184" s="63" t="str">
        <f>IFERROR(VLOOKUP(B1184,منتجات!$A$3:$C$350,3,0),"")</f>
        <v/>
      </c>
      <c r="E1184" s="63"/>
      <c r="F1184" s="63" t="str">
        <f>IFERROR(INDEX(منتجات!$G$3:$G$350,MATCH(B1184,منتجات!$A$3:$A$115,0)),"")</f>
        <v/>
      </c>
      <c r="G1184" s="63" t="str">
        <f t="shared" si="20"/>
        <v/>
      </c>
      <c r="H1184" s="69"/>
    </row>
    <row r="1185" spans="1:8" x14ac:dyDescent="0.35">
      <c r="A1185" s="64"/>
      <c r="B1185" s="65"/>
      <c r="C1185" s="65" t="str">
        <f>IFERROR(VLOOKUP(B1185,منتجات!$A$3:$C$350,2,0),"")</f>
        <v/>
      </c>
      <c r="D1185" s="65" t="str">
        <f>IFERROR(VLOOKUP(B1185,منتجات!$A$3:$C$350,3,0),"")</f>
        <v/>
      </c>
      <c r="E1185" s="65"/>
      <c r="F1185" s="65" t="str">
        <f>IFERROR(INDEX(منتجات!$G$3:$G$350,MATCH(B1185,منتجات!$A$3:$A$115,0)),"")</f>
        <v/>
      </c>
      <c r="G1185" s="65" t="str">
        <f t="shared" si="20"/>
        <v/>
      </c>
      <c r="H1185" s="70"/>
    </row>
    <row r="1186" spans="1:8" x14ac:dyDescent="0.35">
      <c r="A1186" s="62"/>
      <c r="B1186" s="63"/>
      <c r="C1186" s="63" t="str">
        <f>IFERROR(VLOOKUP(B1186,منتجات!$A$3:$C$350,2,0),"")</f>
        <v/>
      </c>
      <c r="D1186" s="63" t="str">
        <f>IFERROR(VLOOKUP(B1186,منتجات!$A$3:$C$350,3,0),"")</f>
        <v/>
      </c>
      <c r="E1186" s="63"/>
      <c r="F1186" s="63" t="str">
        <f>IFERROR(INDEX(منتجات!$G$3:$G$350,MATCH(B1186,منتجات!$A$3:$A$115,0)),"")</f>
        <v/>
      </c>
      <c r="G1186" s="63" t="str">
        <f t="shared" si="20"/>
        <v/>
      </c>
      <c r="H1186" s="69"/>
    </row>
    <row r="1187" spans="1:8" x14ac:dyDescent="0.35">
      <c r="A1187" s="64"/>
      <c r="B1187" s="65"/>
      <c r="C1187" s="65" t="str">
        <f>IFERROR(VLOOKUP(B1187,منتجات!$A$3:$C$350,2,0),"")</f>
        <v/>
      </c>
      <c r="D1187" s="65" t="str">
        <f>IFERROR(VLOOKUP(B1187,منتجات!$A$3:$C$350,3,0),"")</f>
        <v/>
      </c>
      <c r="E1187" s="65"/>
      <c r="F1187" s="65" t="str">
        <f>IFERROR(INDEX(منتجات!$G$3:$G$350,MATCH(B1187,منتجات!$A$3:$A$115,0)),"")</f>
        <v/>
      </c>
      <c r="G1187" s="65" t="str">
        <f t="shared" si="20"/>
        <v/>
      </c>
      <c r="H1187" s="70"/>
    </row>
    <row r="1188" spans="1:8" x14ac:dyDescent="0.35">
      <c r="A1188" s="62"/>
      <c r="B1188" s="63"/>
      <c r="C1188" s="63" t="str">
        <f>IFERROR(VLOOKUP(B1188,منتجات!$A$3:$C$350,2,0),"")</f>
        <v/>
      </c>
      <c r="D1188" s="63" t="str">
        <f>IFERROR(VLOOKUP(B1188,منتجات!$A$3:$C$350,3,0),"")</f>
        <v/>
      </c>
      <c r="E1188" s="63"/>
      <c r="F1188" s="63" t="str">
        <f>IFERROR(INDEX(منتجات!$G$3:$G$350,MATCH(B1188,منتجات!$A$3:$A$115,0)),"")</f>
        <v/>
      </c>
      <c r="G1188" s="63" t="str">
        <f t="shared" si="20"/>
        <v/>
      </c>
      <c r="H1188" s="69"/>
    </row>
    <row r="1189" spans="1:8" x14ac:dyDescent="0.35">
      <c r="A1189" s="64"/>
      <c r="B1189" s="65"/>
      <c r="C1189" s="65" t="str">
        <f>IFERROR(VLOOKUP(B1189,منتجات!$A$3:$C$350,2,0),"")</f>
        <v/>
      </c>
      <c r="D1189" s="65" t="str">
        <f>IFERROR(VLOOKUP(B1189,منتجات!$A$3:$C$350,3,0),"")</f>
        <v/>
      </c>
      <c r="E1189" s="65"/>
      <c r="F1189" s="65" t="str">
        <f>IFERROR(INDEX(منتجات!$G$3:$G$350,MATCH(B1189,منتجات!$A$3:$A$115,0)),"")</f>
        <v/>
      </c>
      <c r="G1189" s="65" t="str">
        <f t="shared" si="20"/>
        <v/>
      </c>
      <c r="H1189" s="70"/>
    </row>
    <row r="1190" spans="1:8" x14ac:dyDescent="0.35">
      <c r="A1190" s="62"/>
      <c r="B1190" s="63"/>
      <c r="C1190" s="63" t="str">
        <f>IFERROR(VLOOKUP(B1190,منتجات!$A$3:$C$350,2,0),"")</f>
        <v/>
      </c>
      <c r="D1190" s="63" t="str">
        <f>IFERROR(VLOOKUP(B1190,منتجات!$A$3:$C$350,3,0),"")</f>
        <v/>
      </c>
      <c r="E1190" s="63"/>
      <c r="F1190" s="63" t="str">
        <f>IFERROR(INDEX(منتجات!$G$3:$G$350,MATCH(B1190,منتجات!$A$3:$A$115,0)),"")</f>
        <v/>
      </c>
      <c r="G1190" s="63" t="str">
        <f t="shared" si="20"/>
        <v/>
      </c>
      <c r="H1190" s="69"/>
    </row>
    <row r="1191" spans="1:8" x14ac:dyDescent="0.35">
      <c r="A1191" s="64"/>
      <c r="B1191" s="65"/>
      <c r="C1191" s="65" t="str">
        <f>IFERROR(VLOOKUP(B1191,منتجات!$A$3:$C$350,2,0),"")</f>
        <v/>
      </c>
      <c r="D1191" s="65" t="str">
        <f>IFERROR(VLOOKUP(B1191,منتجات!$A$3:$C$350,3,0),"")</f>
        <v/>
      </c>
      <c r="E1191" s="65"/>
      <c r="F1191" s="65" t="str">
        <f>IFERROR(INDEX(منتجات!$G$3:$G$350,MATCH(B1191,منتجات!$A$3:$A$115,0)),"")</f>
        <v/>
      </c>
      <c r="G1191" s="65" t="str">
        <f t="shared" si="20"/>
        <v/>
      </c>
      <c r="H1191" s="70"/>
    </row>
    <row r="1192" spans="1:8" x14ac:dyDescent="0.35">
      <c r="A1192" s="62"/>
      <c r="B1192" s="63"/>
      <c r="C1192" s="63" t="str">
        <f>IFERROR(VLOOKUP(B1192,منتجات!$A$3:$C$350,2,0),"")</f>
        <v/>
      </c>
      <c r="D1192" s="63" t="str">
        <f>IFERROR(VLOOKUP(B1192,منتجات!$A$3:$C$350,3,0),"")</f>
        <v/>
      </c>
      <c r="E1192" s="63"/>
      <c r="F1192" s="63" t="str">
        <f>IFERROR(INDEX(منتجات!$G$3:$G$350,MATCH(B1192,منتجات!$A$3:$A$115,0)),"")</f>
        <v/>
      </c>
      <c r="G1192" s="63" t="str">
        <f t="shared" si="20"/>
        <v/>
      </c>
      <c r="H1192" s="69"/>
    </row>
    <row r="1193" spans="1:8" x14ac:dyDescent="0.35">
      <c r="A1193" s="64"/>
      <c r="B1193" s="65"/>
      <c r="C1193" s="65" t="str">
        <f>IFERROR(VLOOKUP(B1193,منتجات!$A$3:$C$350,2,0),"")</f>
        <v/>
      </c>
      <c r="D1193" s="65" t="str">
        <f>IFERROR(VLOOKUP(B1193,منتجات!$A$3:$C$350,3,0),"")</f>
        <v/>
      </c>
      <c r="E1193" s="65"/>
      <c r="F1193" s="65" t="str">
        <f>IFERROR(INDEX(منتجات!$G$3:$G$350,MATCH(B1193,منتجات!$A$3:$A$115,0)),"")</f>
        <v/>
      </c>
      <c r="G1193" s="65" t="str">
        <f t="shared" si="20"/>
        <v/>
      </c>
      <c r="H1193" s="70"/>
    </row>
    <row r="1194" spans="1:8" x14ac:dyDescent="0.35">
      <c r="A1194" s="62"/>
      <c r="B1194" s="63"/>
      <c r="C1194" s="63" t="str">
        <f>IFERROR(VLOOKUP(B1194,منتجات!$A$3:$C$350,2,0),"")</f>
        <v/>
      </c>
      <c r="D1194" s="63" t="str">
        <f>IFERROR(VLOOKUP(B1194,منتجات!$A$3:$C$350,3,0),"")</f>
        <v/>
      </c>
      <c r="E1194" s="63"/>
      <c r="F1194" s="63" t="str">
        <f>IFERROR(INDEX(منتجات!$G$3:$G$350,MATCH(B1194,منتجات!$A$3:$A$115,0)),"")</f>
        <v/>
      </c>
      <c r="G1194" s="63" t="str">
        <f t="shared" si="20"/>
        <v/>
      </c>
      <c r="H1194" s="69"/>
    </row>
    <row r="1195" spans="1:8" x14ac:dyDescent="0.35">
      <c r="A1195" s="64"/>
      <c r="B1195" s="65"/>
      <c r="C1195" s="65" t="str">
        <f>IFERROR(VLOOKUP(B1195,منتجات!$A$3:$C$350,2,0),"")</f>
        <v/>
      </c>
      <c r="D1195" s="65" t="str">
        <f>IFERROR(VLOOKUP(B1195,منتجات!$A$3:$C$350,3,0),"")</f>
        <v/>
      </c>
      <c r="E1195" s="65"/>
      <c r="F1195" s="65" t="str">
        <f>IFERROR(INDEX(منتجات!$G$3:$G$350,MATCH(B1195,منتجات!$A$3:$A$115,0)),"")</f>
        <v/>
      </c>
      <c r="G1195" s="65" t="str">
        <f t="shared" si="20"/>
        <v/>
      </c>
      <c r="H1195" s="70"/>
    </row>
    <row r="1196" spans="1:8" x14ac:dyDescent="0.35">
      <c r="A1196" s="62"/>
      <c r="B1196" s="63"/>
      <c r="C1196" s="63" t="str">
        <f>IFERROR(VLOOKUP(B1196,منتجات!$A$3:$C$350,2,0),"")</f>
        <v/>
      </c>
      <c r="D1196" s="63" t="str">
        <f>IFERROR(VLOOKUP(B1196,منتجات!$A$3:$C$350,3,0),"")</f>
        <v/>
      </c>
      <c r="E1196" s="63"/>
      <c r="F1196" s="63" t="str">
        <f>IFERROR(INDEX(منتجات!$G$3:$G$350,MATCH(B1196,منتجات!$A$3:$A$115,0)),"")</f>
        <v/>
      </c>
      <c r="G1196" s="63" t="str">
        <f t="shared" si="20"/>
        <v/>
      </c>
      <c r="H1196" s="69"/>
    </row>
    <row r="1197" spans="1:8" x14ac:dyDescent="0.35">
      <c r="A1197" s="64"/>
      <c r="B1197" s="65"/>
      <c r="C1197" s="65" t="str">
        <f>IFERROR(VLOOKUP(B1197,منتجات!$A$3:$C$350,2,0),"")</f>
        <v/>
      </c>
      <c r="D1197" s="65" t="str">
        <f>IFERROR(VLOOKUP(B1197,منتجات!$A$3:$C$350,3,0),"")</f>
        <v/>
      </c>
      <c r="E1197" s="65"/>
      <c r="F1197" s="65" t="str">
        <f>IFERROR(INDEX(منتجات!$G$3:$G$350,MATCH(B1197,منتجات!$A$3:$A$115,0)),"")</f>
        <v/>
      </c>
      <c r="G1197" s="65" t="str">
        <f t="shared" si="20"/>
        <v/>
      </c>
      <c r="H1197" s="70"/>
    </row>
    <row r="1198" spans="1:8" x14ac:dyDescent="0.35">
      <c r="A1198" s="62"/>
      <c r="B1198" s="63"/>
      <c r="C1198" s="63" t="str">
        <f>IFERROR(VLOOKUP(B1198,منتجات!$A$3:$C$350,2,0),"")</f>
        <v/>
      </c>
      <c r="D1198" s="63" t="str">
        <f>IFERROR(VLOOKUP(B1198,منتجات!$A$3:$C$350,3,0),"")</f>
        <v/>
      </c>
      <c r="E1198" s="63"/>
      <c r="F1198" s="63" t="str">
        <f>IFERROR(INDEX(منتجات!$G$3:$G$350,MATCH(B1198,منتجات!$A$3:$A$115,0)),"")</f>
        <v/>
      </c>
      <c r="G1198" s="63" t="str">
        <f t="shared" si="20"/>
        <v/>
      </c>
      <c r="H1198" s="69"/>
    </row>
    <row r="1199" spans="1:8" x14ac:dyDescent="0.35">
      <c r="A1199" s="64"/>
      <c r="B1199" s="65"/>
      <c r="C1199" s="65" t="str">
        <f>IFERROR(VLOOKUP(B1199,منتجات!$A$3:$C$350,2,0),"")</f>
        <v/>
      </c>
      <c r="D1199" s="65" t="str">
        <f>IFERROR(VLOOKUP(B1199,منتجات!$A$3:$C$350,3,0),"")</f>
        <v/>
      </c>
      <c r="E1199" s="65"/>
      <c r="F1199" s="65" t="str">
        <f>IFERROR(INDEX(منتجات!$G$3:$G$350,MATCH(B1199,منتجات!$A$3:$A$115,0)),"")</f>
        <v/>
      </c>
      <c r="G1199" s="65" t="str">
        <f t="shared" si="20"/>
        <v/>
      </c>
      <c r="H1199" s="70"/>
    </row>
    <row r="1200" spans="1:8" x14ac:dyDescent="0.35">
      <c r="A1200" s="62"/>
      <c r="B1200" s="63"/>
      <c r="C1200" s="63" t="str">
        <f>IFERROR(VLOOKUP(B1200,منتجات!$A$3:$C$350,2,0),"")</f>
        <v/>
      </c>
      <c r="D1200" s="63" t="str">
        <f>IFERROR(VLOOKUP(B1200,منتجات!$A$3:$C$350,3,0),"")</f>
        <v/>
      </c>
      <c r="E1200" s="63"/>
      <c r="F1200" s="63" t="str">
        <f>IFERROR(INDEX(منتجات!$G$3:$G$350,MATCH(B1200,منتجات!$A$3:$A$115,0)),"")</f>
        <v/>
      </c>
      <c r="G1200" s="63" t="str">
        <f t="shared" si="20"/>
        <v/>
      </c>
      <c r="H1200" s="69"/>
    </row>
    <row r="1201" spans="1:8" x14ac:dyDescent="0.35">
      <c r="A1201" s="64"/>
      <c r="B1201" s="65"/>
      <c r="C1201" s="65" t="str">
        <f>IFERROR(VLOOKUP(B1201,منتجات!$A$3:$C$350,2,0),"")</f>
        <v/>
      </c>
      <c r="D1201" s="65" t="str">
        <f>IFERROR(VLOOKUP(B1201,منتجات!$A$3:$C$350,3,0),"")</f>
        <v/>
      </c>
      <c r="E1201" s="65"/>
      <c r="F1201" s="65" t="str">
        <f>IFERROR(INDEX(منتجات!$G$3:$G$350,MATCH(B1201,منتجات!$A$3:$A$115,0)),"")</f>
        <v/>
      </c>
      <c r="G1201" s="65" t="str">
        <f t="shared" si="20"/>
        <v/>
      </c>
      <c r="H1201" s="70"/>
    </row>
    <row r="1202" spans="1:8" x14ac:dyDescent="0.35">
      <c r="A1202" s="62"/>
      <c r="B1202" s="63"/>
      <c r="C1202" s="63" t="str">
        <f>IFERROR(VLOOKUP(B1202,منتجات!$A$3:$C$350,2,0),"")</f>
        <v/>
      </c>
      <c r="D1202" s="63" t="str">
        <f>IFERROR(VLOOKUP(B1202,منتجات!$A$3:$C$350,3,0),"")</f>
        <v/>
      </c>
      <c r="E1202" s="63"/>
      <c r="F1202" s="63" t="str">
        <f>IFERROR(INDEX(منتجات!$G$3:$G$350,MATCH(B1202,منتجات!$A$3:$A$115,0)),"")</f>
        <v/>
      </c>
      <c r="G1202" s="63" t="str">
        <f t="shared" si="20"/>
        <v/>
      </c>
      <c r="H1202" s="69"/>
    </row>
    <row r="1203" spans="1:8" x14ac:dyDescent="0.35">
      <c r="A1203" s="64"/>
      <c r="B1203" s="65"/>
      <c r="C1203" s="65" t="str">
        <f>IFERROR(VLOOKUP(B1203,منتجات!$A$3:$C$350,2,0),"")</f>
        <v/>
      </c>
      <c r="D1203" s="65" t="str">
        <f>IFERROR(VLOOKUP(B1203,منتجات!$A$3:$C$350,3,0),"")</f>
        <v/>
      </c>
      <c r="E1203" s="65"/>
      <c r="F1203" s="65" t="str">
        <f>IFERROR(INDEX(منتجات!$G$3:$G$350,MATCH(B1203,منتجات!$A$3:$A$115,0)),"")</f>
        <v/>
      </c>
      <c r="G1203" s="65" t="str">
        <f t="shared" si="20"/>
        <v/>
      </c>
      <c r="H1203" s="70"/>
    </row>
    <row r="1204" spans="1:8" x14ac:dyDescent="0.35">
      <c r="A1204" s="62"/>
      <c r="B1204" s="63"/>
      <c r="C1204" s="63" t="str">
        <f>IFERROR(VLOOKUP(B1204,منتجات!$A$3:$C$350,2,0),"")</f>
        <v/>
      </c>
      <c r="D1204" s="63" t="str">
        <f>IFERROR(VLOOKUP(B1204,منتجات!$A$3:$C$350,3,0),"")</f>
        <v/>
      </c>
      <c r="E1204" s="63"/>
      <c r="F1204" s="63" t="str">
        <f>IFERROR(INDEX(منتجات!$G$3:$G$350,MATCH(B1204,منتجات!$A$3:$A$115,0)),"")</f>
        <v/>
      </c>
      <c r="G1204" s="63" t="str">
        <f t="shared" si="20"/>
        <v/>
      </c>
      <c r="H1204" s="69"/>
    </row>
    <row r="1205" spans="1:8" x14ac:dyDescent="0.35">
      <c r="A1205" s="64"/>
      <c r="B1205" s="65"/>
      <c r="C1205" s="65" t="str">
        <f>IFERROR(VLOOKUP(B1205,منتجات!$A$3:$C$350,2,0),"")</f>
        <v/>
      </c>
      <c r="D1205" s="65" t="str">
        <f>IFERROR(VLOOKUP(B1205,منتجات!$A$3:$C$350,3,0),"")</f>
        <v/>
      </c>
      <c r="E1205" s="65"/>
      <c r="F1205" s="65" t="str">
        <f>IFERROR(INDEX(منتجات!$G$3:$G$350,MATCH(B1205,منتجات!$A$3:$A$115,0)),"")</f>
        <v/>
      </c>
      <c r="G1205" s="65" t="str">
        <f t="shared" si="20"/>
        <v/>
      </c>
      <c r="H1205" s="70"/>
    </row>
    <row r="1206" spans="1:8" x14ac:dyDescent="0.35">
      <c r="A1206" s="62"/>
      <c r="B1206" s="63"/>
      <c r="C1206" s="63" t="str">
        <f>IFERROR(VLOOKUP(B1206,منتجات!$A$3:$C$350,2,0),"")</f>
        <v/>
      </c>
      <c r="D1206" s="63" t="str">
        <f>IFERROR(VLOOKUP(B1206,منتجات!$A$3:$C$350,3,0),"")</f>
        <v/>
      </c>
      <c r="E1206" s="63"/>
      <c r="F1206" s="63" t="str">
        <f>IFERROR(INDEX(منتجات!$G$3:$G$350,MATCH(B1206,منتجات!$A$3:$A$115,0)),"")</f>
        <v/>
      </c>
      <c r="G1206" s="63" t="str">
        <f t="shared" si="20"/>
        <v/>
      </c>
      <c r="H1206" s="69"/>
    </row>
    <row r="1207" spans="1:8" x14ac:dyDescent="0.35">
      <c r="A1207" s="64"/>
      <c r="B1207" s="65"/>
      <c r="C1207" s="65" t="str">
        <f>IFERROR(VLOOKUP(B1207,منتجات!$A$3:$C$350,2,0),"")</f>
        <v/>
      </c>
      <c r="D1207" s="65" t="str">
        <f>IFERROR(VLOOKUP(B1207,منتجات!$A$3:$C$350,3,0),"")</f>
        <v/>
      </c>
      <c r="E1207" s="65"/>
      <c r="F1207" s="65" t="str">
        <f>IFERROR(INDEX(منتجات!$G$3:$G$350,MATCH(B1207,منتجات!$A$3:$A$115,0)),"")</f>
        <v/>
      </c>
      <c r="G1207" s="65" t="str">
        <f t="shared" si="20"/>
        <v/>
      </c>
      <c r="H1207" s="70"/>
    </row>
    <row r="1208" spans="1:8" x14ac:dyDescent="0.35">
      <c r="A1208" s="62"/>
      <c r="B1208" s="63"/>
      <c r="C1208" s="63" t="str">
        <f>IFERROR(VLOOKUP(B1208,منتجات!$A$3:$C$350,2,0),"")</f>
        <v/>
      </c>
      <c r="D1208" s="63" t="str">
        <f>IFERROR(VLOOKUP(B1208,منتجات!$A$3:$C$350,3,0),"")</f>
        <v/>
      </c>
      <c r="E1208" s="63"/>
      <c r="F1208" s="63" t="str">
        <f>IFERROR(INDEX(منتجات!$G$3:$G$350,MATCH(B1208,منتجات!$A$3:$A$115,0)),"")</f>
        <v/>
      </c>
      <c r="G1208" s="63" t="str">
        <f t="shared" si="20"/>
        <v/>
      </c>
      <c r="H1208" s="69"/>
    </row>
    <row r="1209" spans="1:8" x14ac:dyDescent="0.35">
      <c r="A1209" s="64"/>
      <c r="B1209" s="65"/>
      <c r="C1209" s="65" t="str">
        <f>IFERROR(VLOOKUP(B1209,منتجات!$A$3:$C$350,2,0),"")</f>
        <v/>
      </c>
      <c r="D1209" s="65" t="str">
        <f>IFERROR(VLOOKUP(B1209,منتجات!$A$3:$C$350,3,0),"")</f>
        <v/>
      </c>
      <c r="E1209" s="65"/>
      <c r="F1209" s="65" t="str">
        <f>IFERROR(INDEX(منتجات!$G$3:$G$350,MATCH(B1209,منتجات!$A$3:$A$115,0)),"")</f>
        <v/>
      </c>
      <c r="G1209" s="65" t="str">
        <f t="shared" si="20"/>
        <v/>
      </c>
      <c r="H1209" s="70"/>
    </row>
    <row r="1210" spans="1:8" x14ac:dyDescent="0.35">
      <c r="A1210" s="62"/>
      <c r="B1210" s="63"/>
      <c r="C1210" s="63" t="str">
        <f>IFERROR(VLOOKUP(B1210,منتجات!$A$3:$C$350,2,0),"")</f>
        <v/>
      </c>
      <c r="D1210" s="63" t="str">
        <f>IFERROR(VLOOKUP(B1210,منتجات!$A$3:$C$350,3,0),"")</f>
        <v/>
      </c>
      <c r="E1210" s="63"/>
      <c r="F1210" s="63" t="str">
        <f>IFERROR(INDEX(منتجات!$G$3:$G$350,MATCH(B1210,منتجات!$A$3:$A$115,0)),"")</f>
        <v/>
      </c>
      <c r="G1210" s="63" t="str">
        <f t="shared" si="20"/>
        <v/>
      </c>
      <c r="H1210" s="69"/>
    </row>
    <row r="1211" spans="1:8" x14ac:dyDescent="0.35">
      <c r="A1211" s="64"/>
      <c r="B1211" s="65"/>
      <c r="C1211" s="65" t="str">
        <f>IFERROR(VLOOKUP(B1211,منتجات!$A$3:$C$350,2,0),"")</f>
        <v/>
      </c>
      <c r="D1211" s="65" t="str">
        <f>IFERROR(VLOOKUP(B1211,منتجات!$A$3:$C$350,3,0),"")</f>
        <v/>
      </c>
      <c r="E1211" s="65"/>
      <c r="F1211" s="65" t="str">
        <f>IFERROR(INDEX(منتجات!$G$3:$G$350,MATCH(B1211,منتجات!$A$3:$A$115,0)),"")</f>
        <v/>
      </c>
      <c r="G1211" s="65" t="str">
        <f t="shared" si="20"/>
        <v/>
      </c>
      <c r="H1211" s="70"/>
    </row>
    <row r="1212" spans="1:8" x14ac:dyDescent="0.35">
      <c r="A1212" s="62"/>
      <c r="B1212" s="63"/>
      <c r="C1212" s="63" t="str">
        <f>IFERROR(VLOOKUP(B1212,منتجات!$A$3:$C$350,2,0),"")</f>
        <v/>
      </c>
      <c r="D1212" s="63" t="str">
        <f>IFERROR(VLOOKUP(B1212,منتجات!$A$3:$C$350,3,0),"")</f>
        <v/>
      </c>
      <c r="E1212" s="63"/>
      <c r="F1212" s="63" t="str">
        <f>IFERROR(INDEX(منتجات!$G$3:$G$350,MATCH(B1212,منتجات!$A$3:$A$115,0)),"")</f>
        <v/>
      </c>
      <c r="G1212" s="63" t="str">
        <f t="shared" si="20"/>
        <v/>
      </c>
      <c r="H1212" s="69"/>
    </row>
    <row r="1213" spans="1:8" x14ac:dyDescent="0.35">
      <c r="A1213" s="64"/>
      <c r="B1213" s="65"/>
      <c r="C1213" s="65" t="str">
        <f>IFERROR(VLOOKUP(B1213,منتجات!$A$3:$C$350,2,0),"")</f>
        <v/>
      </c>
      <c r="D1213" s="65" t="str">
        <f>IFERROR(VLOOKUP(B1213,منتجات!$A$3:$C$350,3,0),"")</f>
        <v/>
      </c>
      <c r="E1213" s="65"/>
      <c r="F1213" s="65" t="str">
        <f>IFERROR(INDEX(منتجات!$G$3:$G$350,MATCH(B1213,منتجات!$A$3:$A$115,0)),"")</f>
        <v/>
      </c>
      <c r="G1213" s="65" t="str">
        <f t="shared" si="20"/>
        <v/>
      </c>
      <c r="H1213" s="70"/>
    </row>
    <row r="1214" spans="1:8" x14ac:dyDescent="0.35">
      <c r="A1214" s="62"/>
      <c r="B1214" s="63"/>
      <c r="C1214" s="63" t="str">
        <f>IFERROR(VLOOKUP(B1214,منتجات!$A$3:$C$350,2,0),"")</f>
        <v/>
      </c>
      <c r="D1214" s="63" t="str">
        <f>IFERROR(VLOOKUP(B1214,منتجات!$A$3:$C$350,3,0),"")</f>
        <v/>
      </c>
      <c r="E1214" s="63"/>
      <c r="F1214" s="63" t="str">
        <f>IFERROR(INDEX(منتجات!$G$3:$G$350,MATCH(B1214,منتجات!$A$3:$A$115,0)),"")</f>
        <v/>
      </c>
      <c r="G1214" s="63" t="str">
        <f t="shared" si="20"/>
        <v/>
      </c>
      <c r="H1214" s="69"/>
    </row>
    <row r="1215" spans="1:8" x14ac:dyDescent="0.35">
      <c r="A1215" s="64"/>
      <c r="B1215" s="65"/>
      <c r="C1215" s="65" t="str">
        <f>IFERROR(VLOOKUP(B1215,منتجات!$A$3:$C$350,2,0),"")</f>
        <v/>
      </c>
      <c r="D1215" s="65" t="str">
        <f>IFERROR(VLOOKUP(B1215,منتجات!$A$3:$C$350,3,0),"")</f>
        <v/>
      </c>
      <c r="E1215" s="65"/>
      <c r="F1215" s="65" t="str">
        <f>IFERROR(INDEX(منتجات!$G$3:$G$350,MATCH(B1215,منتجات!$A$3:$A$115,0)),"")</f>
        <v/>
      </c>
      <c r="G1215" s="65" t="str">
        <f t="shared" si="20"/>
        <v/>
      </c>
      <c r="H1215" s="70"/>
    </row>
    <row r="1216" spans="1:8" x14ac:dyDescent="0.35">
      <c r="A1216" s="62"/>
      <c r="B1216" s="63"/>
      <c r="C1216" s="63" t="str">
        <f>IFERROR(VLOOKUP(B1216,منتجات!$A$3:$C$350,2,0),"")</f>
        <v/>
      </c>
      <c r="D1216" s="63" t="str">
        <f>IFERROR(VLOOKUP(B1216,منتجات!$A$3:$C$350,3,0),"")</f>
        <v/>
      </c>
      <c r="E1216" s="63"/>
      <c r="F1216" s="63" t="str">
        <f>IFERROR(INDEX(منتجات!$G$3:$G$350,MATCH(B1216,منتجات!$A$3:$A$115,0)),"")</f>
        <v/>
      </c>
      <c r="G1216" s="63" t="str">
        <f t="shared" si="20"/>
        <v/>
      </c>
      <c r="H1216" s="69"/>
    </row>
    <row r="1217" spans="1:8" x14ac:dyDescent="0.35">
      <c r="A1217" s="64"/>
      <c r="B1217" s="65"/>
      <c r="C1217" s="65" t="str">
        <f>IFERROR(VLOOKUP(B1217,منتجات!$A$3:$C$350,2,0),"")</f>
        <v/>
      </c>
      <c r="D1217" s="65" t="str">
        <f>IFERROR(VLOOKUP(B1217,منتجات!$A$3:$C$350,3,0),"")</f>
        <v/>
      </c>
      <c r="E1217" s="65"/>
      <c r="F1217" s="65" t="str">
        <f>IFERROR(INDEX(منتجات!$G$3:$G$350,MATCH(B1217,منتجات!$A$3:$A$115,0)),"")</f>
        <v/>
      </c>
      <c r="G1217" s="65" t="str">
        <f t="shared" si="20"/>
        <v/>
      </c>
      <c r="H1217" s="70"/>
    </row>
    <row r="1218" spans="1:8" x14ac:dyDescent="0.35">
      <c r="A1218" s="62"/>
      <c r="B1218" s="63"/>
      <c r="C1218" s="63" t="str">
        <f>IFERROR(VLOOKUP(B1218,منتجات!$A$3:$C$350,2,0),"")</f>
        <v/>
      </c>
      <c r="D1218" s="63" t="str">
        <f>IFERROR(VLOOKUP(B1218,منتجات!$A$3:$C$350,3,0),"")</f>
        <v/>
      </c>
      <c r="E1218" s="63"/>
      <c r="F1218" s="63" t="str">
        <f>IFERROR(INDEX(منتجات!$G$3:$G$350,MATCH(B1218,منتجات!$A$3:$A$115,0)),"")</f>
        <v/>
      </c>
      <c r="G1218" s="63" t="str">
        <f t="shared" si="20"/>
        <v/>
      </c>
      <c r="H1218" s="69"/>
    </row>
    <row r="1219" spans="1:8" x14ac:dyDescent="0.35">
      <c r="A1219" s="64"/>
      <c r="B1219" s="65"/>
      <c r="C1219" s="65" t="str">
        <f>IFERROR(VLOOKUP(B1219,منتجات!$A$3:$C$350,2,0),"")</f>
        <v/>
      </c>
      <c r="D1219" s="65" t="str">
        <f>IFERROR(VLOOKUP(B1219,منتجات!$A$3:$C$350,3,0),"")</f>
        <v/>
      </c>
      <c r="E1219" s="65"/>
      <c r="F1219" s="65" t="str">
        <f>IFERROR(INDEX(منتجات!$G$3:$G$350,MATCH(B1219,منتجات!$A$3:$A$115,0)),"")</f>
        <v/>
      </c>
      <c r="G1219" s="65" t="str">
        <f t="shared" si="20"/>
        <v/>
      </c>
      <c r="H1219" s="70"/>
    </row>
    <row r="1220" spans="1:8" x14ac:dyDescent="0.35">
      <c r="A1220" s="62"/>
      <c r="B1220" s="63"/>
      <c r="C1220" s="63" t="str">
        <f>IFERROR(VLOOKUP(B1220,منتجات!$A$3:$C$350,2,0),"")</f>
        <v/>
      </c>
      <c r="D1220" s="63" t="str">
        <f>IFERROR(VLOOKUP(B1220,منتجات!$A$3:$C$350,3,0),"")</f>
        <v/>
      </c>
      <c r="E1220" s="63"/>
      <c r="F1220" s="63" t="str">
        <f>IFERROR(INDEX(منتجات!$G$3:$G$350,MATCH(B1220,منتجات!$A$3:$A$115,0)),"")</f>
        <v/>
      </c>
      <c r="G1220" s="63" t="str">
        <f t="shared" si="20"/>
        <v/>
      </c>
      <c r="H1220" s="69"/>
    </row>
    <row r="1221" spans="1:8" x14ac:dyDescent="0.35">
      <c r="A1221" s="64"/>
      <c r="B1221" s="65"/>
      <c r="C1221" s="65" t="str">
        <f>IFERROR(VLOOKUP(B1221,منتجات!$A$3:$C$350,2,0),"")</f>
        <v/>
      </c>
      <c r="D1221" s="65" t="str">
        <f>IFERROR(VLOOKUP(B1221,منتجات!$A$3:$C$350,3,0),"")</f>
        <v/>
      </c>
      <c r="E1221" s="65"/>
      <c r="F1221" s="65" t="str">
        <f>IFERROR(INDEX(منتجات!$G$3:$G$350,MATCH(B1221,منتجات!$A$3:$A$115,0)),"")</f>
        <v/>
      </c>
      <c r="G1221" s="65" t="str">
        <f t="shared" si="20"/>
        <v/>
      </c>
      <c r="H1221" s="70"/>
    </row>
    <row r="1222" spans="1:8" x14ac:dyDescent="0.35">
      <c r="A1222" s="62"/>
      <c r="B1222" s="63"/>
      <c r="C1222" s="63" t="str">
        <f>IFERROR(VLOOKUP(B1222,منتجات!$A$3:$C$350,2,0),"")</f>
        <v/>
      </c>
      <c r="D1222" s="63" t="str">
        <f>IFERROR(VLOOKUP(B1222,منتجات!$A$3:$C$350,3,0),"")</f>
        <v/>
      </c>
      <c r="E1222" s="63"/>
      <c r="F1222" s="63" t="str">
        <f>IFERROR(INDEX(منتجات!$G$3:$G$350,MATCH(B1222,منتجات!$A$3:$A$115,0)),"")</f>
        <v/>
      </c>
      <c r="G1222" s="63" t="str">
        <f t="shared" ref="G1222:G1285" si="21">IFERROR(E1222*F1222*D1222,"")</f>
        <v/>
      </c>
      <c r="H1222" s="69"/>
    </row>
    <row r="1223" spans="1:8" x14ac:dyDescent="0.35">
      <c r="A1223" s="64"/>
      <c r="B1223" s="65"/>
      <c r="C1223" s="65" t="str">
        <f>IFERROR(VLOOKUP(B1223,منتجات!$A$3:$C$350,2,0),"")</f>
        <v/>
      </c>
      <c r="D1223" s="65" t="str">
        <f>IFERROR(VLOOKUP(B1223,منتجات!$A$3:$C$350,3,0),"")</f>
        <v/>
      </c>
      <c r="E1223" s="65"/>
      <c r="F1223" s="65" t="str">
        <f>IFERROR(INDEX(منتجات!$G$3:$G$350,MATCH(B1223,منتجات!$A$3:$A$115,0)),"")</f>
        <v/>
      </c>
      <c r="G1223" s="65" t="str">
        <f t="shared" si="21"/>
        <v/>
      </c>
      <c r="H1223" s="70"/>
    </row>
    <row r="1224" spans="1:8" x14ac:dyDescent="0.35">
      <c r="A1224" s="62"/>
      <c r="B1224" s="63"/>
      <c r="C1224" s="63" t="str">
        <f>IFERROR(VLOOKUP(B1224,منتجات!$A$3:$C$350,2,0),"")</f>
        <v/>
      </c>
      <c r="D1224" s="63" t="str">
        <f>IFERROR(VLOOKUP(B1224,منتجات!$A$3:$C$350,3,0),"")</f>
        <v/>
      </c>
      <c r="E1224" s="63"/>
      <c r="F1224" s="63" t="str">
        <f>IFERROR(INDEX(منتجات!$G$3:$G$350,MATCH(B1224,منتجات!$A$3:$A$115,0)),"")</f>
        <v/>
      </c>
      <c r="G1224" s="63" t="str">
        <f t="shared" si="21"/>
        <v/>
      </c>
      <c r="H1224" s="69"/>
    </row>
    <row r="1225" spans="1:8" x14ac:dyDescent="0.35">
      <c r="A1225" s="64"/>
      <c r="B1225" s="65"/>
      <c r="C1225" s="65" t="str">
        <f>IFERROR(VLOOKUP(B1225,منتجات!$A$3:$C$350,2,0),"")</f>
        <v/>
      </c>
      <c r="D1225" s="65" t="str">
        <f>IFERROR(VLOOKUP(B1225,منتجات!$A$3:$C$350,3,0),"")</f>
        <v/>
      </c>
      <c r="E1225" s="65"/>
      <c r="F1225" s="65" t="str">
        <f>IFERROR(INDEX(منتجات!$G$3:$G$350,MATCH(B1225,منتجات!$A$3:$A$115,0)),"")</f>
        <v/>
      </c>
      <c r="G1225" s="65" t="str">
        <f t="shared" si="21"/>
        <v/>
      </c>
      <c r="H1225" s="70"/>
    </row>
    <row r="1226" spans="1:8" x14ac:dyDescent="0.35">
      <c r="A1226" s="62"/>
      <c r="B1226" s="63"/>
      <c r="C1226" s="63" t="str">
        <f>IFERROR(VLOOKUP(B1226,منتجات!$A$3:$C$350,2,0),"")</f>
        <v/>
      </c>
      <c r="D1226" s="63" t="str">
        <f>IFERROR(VLOOKUP(B1226,منتجات!$A$3:$C$350,3,0),"")</f>
        <v/>
      </c>
      <c r="E1226" s="63"/>
      <c r="F1226" s="63" t="str">
        <f>IFERROR(INDEX(منتجات!$G$3:$G$350,MATCH(B1226,منتجات!$A$3:$A$115,0)),"")</f>
        <v/>
      </c>
      <c r="G1226" s="63" t="str">
        <f t="shared" si="21"/>
        <v/>
      </c>
      <c r="H1226" s="69"/>
    </row>
    <row r="1227" spans="1:8" x14ac:dyDescent="0.35">
      <c r="A1227" s="64"/>
      <c r="B1227" s="65"/>
      <c r="C1227" s="65" t="str">
        <f>IFERROR(VLOOKUP(B1227,منتجات!$A$3:$C$350,2,0),"")</f>
        <v/>
      </c>
      <c r="D1227" s="65" t="str">
        <f>IFERROR(VLOOKUP(B1227,منتجات!$A$3:$C$350,3,0),"")</f>
        <v/>
      </c>
      <c r="E1227" s="65"/>
      <c r="F1227" s="65" t="str">
        <f>IFERROR(INDEX(منتجات!$G$3:$G$350,MATCH(B1227,منتجات!$A$3:$A$115,0)),"")</f>
        <v/>
      </c>
      <c r="G1227" s="65" t="str">
        <f t="shared" si="21"/>
        <v/>
      </c>
      <c r="H1227" s="70"/>
    </row>
    <row r="1228" spans="1:8" x14ac:dyDescent="0.35">
      <c r="A1228" s="62"/>
      <c r="B1228" s="63"/>
      <c r="C1228" s="63" t="str">
        <f>IFERROR(VLOOKUP(B1228,منتجات!$A$3:$C$350,2,0),"")</f>
        <v/>
      </c>
      <c r="D1228" s="63" t="str">
        <f>IFERROR(VLOOKUP(B1228,منتجات!$A$3:$C$350,3,0),"")</f>
        <v/>
      </c>
      <c r="E1228" s="63"/>
      <c r="F1228" s="63" t="str">
        <f>IFERROR(INDEX(منتجات!$G$3:$G$350,MATCH(B1228,منتجات!$A$3:$A$115,0)),"")</f>
        <v/>
      </c>
      <c r="G1228" s="63" t="str">
        <f t="shared" si="21"/>
        <v/>
      </c>
      <c r="H1228" s="69"/>
    </row>
    <row r="1229" spans="1:8" x14ac:dyDescent="0.35">
      <c r="A1229" s="64"/>
      <c r="B1229" s="65"/>
      <c r="C1229" s="65" t="str">
        <f>IFERROR(VLOOKUP(B1229,منتجات!$A$3:$C$350,2,0),"")</f>
        <v/>
      </c>
      <c r="D1229" s="65" t="str">
        <f>IFERROR(VLOOKUP(B1229,منتجات!$A$3:$C$350,3,0),"")</f>
        <v/>
      </c>
      <c r="E1229" s="65"/>
      <c r="F1229" s="65" t="str">
        <f>IFERROR(INDEX(منتجات!$G$3:$G$350,MATCH(B1229,منتجات!$A$3:$A$115,0)),"")</f>
        <v/>
      </c>
      <c r="G1229" s="65" t="str">
        <f t="shared" si="21"/>
        <v/>
      </c>
      <c r="H1229" s="70"/>
    </row>
    <row r="1230" spans="1:8" x14ac:dyDescent="0.35">
      <c r="A1230" s="62"/>
      <c r="B1230" s="63"/>
      <c r="C1230" s="63" t="str">
        <f>IFERROR(VLOOKUP(B1230,منتجات!$A$3:$C$350,2,0),"")</f>
        <v/>
      </c>
      <c r="D1230" s="63" t="str">
        <f>IFERROR(VLOOKUP(B1230,منتجات!$A$3:$C$350,3,0),"")</f>
        <v/>
      </c>
      <c r="E1230" s="63"/>
      <c r="F1230" s="63" t="str">
        <f>IFERROR(INDEX(منتجات!$G$3:$G$350,MATCH(B1230,منتجات!$A$3:$A$115,0)),"")</f>
        <v/>
      </c>
      <c r="G1230" s="63" t="str">
        <f t="shared" si="21"/>
        <v/>
      </c>
      <c r="H1230" s="69"/>
    </row>
    <row r="1231" spans="1:8" x14ac:dyDescent="0.35">
      <c r="A1231" s="64"/>
      <c r="B1231" s="65"/>
      <c r="C1231" s="65" t="str">
        <f>IFERROR(VLOOKUP(B1231,منتجات!$A$3:$C$350,2,0),"")</f>
        <v/>
      </c>
      <c r="D1231" s="65" t="str">
        <f>IFERROR(VLOOKUP(B1231,منتجات!$A$3:$C$350,3,0),"")</f>
        <v/>
      </c>
      <c r="E1231" s="65"/>
      <c r="F1231" s="65" t="str">
        <f>IFERROR(INDEX(منتجات!$G$3:$G$350,MATCH(B1231,منتجات!$A$3:$A$115,0)),"")</f>
        <v/>
      </c>
      <c r="G1231" s="65" t="str">
        <f t="shared" si="21"/>
        <v/>
      </c>
      <c r="H1231" s="70"/>
    </row>
    <row r="1232" spans="1:8" x14ac:dyDescent="0.35">
      <c r="A1232" s="62"/>
      <c r="B1232" s="63"/>
      <c r="C1232" s="63" t="str">
        <f>IFERROR(VLOOKUP(B1232,منتجات!$A$3:$C$350,2,0),"")</f>
        <v/>
      </c>
      <c r="D1232" s="63" t="str">
        <f>IFERROR(VLOOKUP(B1232,منتجات!$A$3:$C$350,3,0),"")</f>
        <v/>
      </c>
      <c r="E1232" s="63"/>
      <c r="F1232" s="63" t="str">
        <f>IFERROR(INDEX(منتجات!$G$3:$G$350,MATCH(B1232,منتجات!$A$3:$A$115,0)),"")</f>
        <v/>
      </c>
      <c r="G1232" s="63" t="str">
        <f t="shared" si="21"/>
        <v/>
      </c>
      <c r="H1232" s="69"/>
    </row>
    <row r="1233" spans="1:8" x14ac:dyDescent="0.35">
      <c r="A1233" s="64"/>
      <c r="B1233" s="65"/>
      <c r="C1233" s="65" t="str">
        <f>IFERROR(VLOOKUP(B1233,منتجات!$A$3:$C$350,2,0),"")</f>
        <v/>
      </c>
      <c r="D1233" s="65" t="str">
        <f>IFERROR(VLOOKUP(B1233,منتجات!$A$3:$C$350,3,0),"")</f>
        <v/>
      </c>
      <c r="E1233" s="65"/>
      <c r="F1233" s="65" t="str">
        <f>IFERROR(INDEX(منتجات!$G$3:$G$350,MATCH(B1233,منتجات!$A$3:$A$115,0)),"")</f>
        <v/>
      </c>
      <c r="G1233" s="65" t="str">
        <f t="shared" si="21"/>
        <v/>
      </c>
      <c r="H1233" s="70"/>
    </row>
    <row r="1234" spans="1:8" x14ac:dyDescent="0.35">
      <c r="A1234" s="62"/>
      <c r="B1234" s="63"/>
      <c r="C1234" s="63" t="str">
        <f>IFERROR(VLOOKUP(B1234,منتجات!$A$3:$C$350,2,0),"")</f>
        <v/>
      </c>
      <c r="D1234" s="63" t="str">
        <f>IFERROR(VLOOKUP(B1234,منتجات!$A$3:$C$350,3,0),"")</f>
        <v/>
      </c>
      <c r="E1234" s="63"/>
      <c r="F1234" s="63" t="str">
        <f>IFERROR(INDEX(منتجات!$G$3:$G$350,MATCH(B1234,منتجات!$A$3:$A$115,0)),"")</f>
        <v/>
      </c>
      <c r="G1234" s="63" t="str">
        <f t="shared" si="21"/>
        <v/>
      </c>
      <c r="H1234" s="69"/>
    </row>
    <row r="1235" spans="1:8" x14ac:dyDescent="0.35">
      <c r="A1235" s="64"/>
      <c r="B1235" s="65"/>
      <c r="C1235" s="65" t="str">
        <f>IFERROR(VLOOKUP(B1235,منتجات!$A$3:$C$350,2,0),"")</f>
        <v/>
      </c>
      <c r="D1235" s="65" t="str">
        <f>IFERROR(VLOOKUP(B1235,منتجات!$A$3:$C$350,3,0),"")</f>
        <v/>
      </c>
      <c r="E1235" s="65"/>
      <c r="F1235" s="65" t="str">
        <f>IFERROR(INDEX(منتجات!$G$3:$G$350,MATCH(B1235,منتجات!$A$3:$A$115,0)),"")</f>
        <v/>
      </c>
      <c r="G1235" s="65" t="str">
        <f t="shared" si="21"/>
        <v/>
      </c>
      <c r="H1235" s="70"/>
    </row>
    <row r="1236" spans="1:8" x14ac:dyDescent="0.35">
      <c r="A1236" s="62"/>
      <c r="B1236" s="63"/>
      <c r="C1236" s="63" t="str">
        <f>IFERROR(VLOOKUP(B1236,منتجات!$A$3:$C$350,2,0),"")</f>
        <v/>
      </c>
      <c r="D1236" s="63" t="str">
        <f>IFERROR(VLOOKUP(B1236,منتجات!$A$3:$C$350,3,0),"")</f>
        <v/>
      </c>
      <c r="E1236" s="63"/>
      <c r="F1236" s="63" t="str">
        <f>IFERROR(INDEX(منتجات!$G$3:$G$350,MATCH(B1236,منتجات!$A$3:$A$115,0)),"")</f>
        <v/>
      </c>
      <c r="G1236" s="63" t="str">
        <f t="shared" si="21"/>
        <v/>
      </c>
      <c r="H1236" s="69"/>
    </row>
    <row r="1237" spans="1:8" x14ac:dyDescent="0.35">
      <c r="A1237" s="64"/>
      <c r="B1237" s="65"/>
      <c r="C1237" s="65" t="str">
        <f>IFERROR(VLOOKUP(B1237,منتجات!$A$3:$C$350,2,0),"")</f>
        <v/>
      </c>
      <c r="D1237" s="65" t="str">
        <f>IFERROR(VLOOKUP(B1237,منتجات!$A$3:$C$350,3,0),"")</f>
        <v/>
      </c>
      <c r="E1237" s="65"/>
      <c r="F1237" s="65" t="str">
        <f>IFERROR(INDEX(منتجات!$G$3:$G$350,MATCH(B1237,منتجات!$A$3:$A$115,0)),"")</f>
        <v/>
      </c>
      <c r="G1237" s="65" t="str">
        <f t="shared" si="21"/>
        <v/>
      </c>
      <c r="H1237" s="70"/>
    </row>
    <row r="1238" spans="1:8" x14ac:dyDescent="0.35">
      <c r="A1238" s="62"/>
      <c r="B1238" s="63"/>
      <c r="C1238" s="63" t="str">
        <f>IFERROR(VLOOKUP(B1238,منتجات!$A$3:$C$350,2,0),"")</f>
        <v/>
      </c>
      <c r="D1238" s="63" t="str">
        <f>IFERROR(VLOOKUP(B1238,منتجات!$A$3:$C$350,3,0),"")</f>
        <v/>
      </c>
      <c r="E1238" s="63"/>
      <c r="F1238" s="63" t="str">
        <f>IFERROR(INDEX(منتجات!$G$3:$G$350,MATCH(B1238,منتجات!$A$3:$A$115,0)),"")</f>
        <v/>
      </c>
      <c r="G1238" s="63" t="str">
        <f t="shared" si="21"/>
        <v/>
      </c>
      <c r="H1238" s="69"/>
    </row>
    <row r="1239" spans="1:8" x14ac:dyDescent="0.35">
      <c r="A1239" s="64"/>
      <c r="B1239" s="65"/>
      <c r="C1239" s="65" t="str">
        <f>IFERROR(VLOOKUP(B1239,منتجات!$A$3:$C$350,2,0),"")</f>
        <v/>
      </c>
      <c r="D1239" s="65" t="str">
        <f>IFERROR(VLOOKUP(B1239,منتجات!$A$3:$C$350,3,0),"")</f>
        <v/>
      </c>
      <c r="E1239" s="65"/>
      <c r="F1239" s="65" t="str">
        <f>IFERROR(INDEX(منتجات!$G$3:$G$350,MATCH(B1239,منتجات!$A$3:$A$115,0)),"")</f>
        <v/>
      </c>
      <c r="G1239" s="65" t="str">
        <f t="shared" si="21"/>
        <v/>
      </c>
      <c r="H1239" s="70"/>
    </row>
    <row r="1240" spans="1:8" x14ac:dyDescent="0.35">
      <c r="A1240" s="62"/>
      <c r="B1240" s="63"/>
      <c r="C1240" s="63" t="str">
        <f>IFERROR(VLOOKUP(B1240,منتجات!$A$3:$C$350,2,0),"")</f>
        <v/>
      </c>
      <c r="D1240" s="63" t="str">
        <f>IFERROR(VLOOKUP(B1240,منتجات!$A$3:$C$350,3,0),"")</f>
        <v/>
      </c>
      <c r="E1240" s="63"/>
      <c r="F1240" s="63" t="str">
        <f>IFERROR(INDEX(منتجات!$G$3:$G$350,MATCH(B1240,منتجات!$A$3:$A$115,0)),"")</f>
        <v/>
      </c>
      <c r="G1240" s="63" t="str">
        <f t="shared" si="21"/>
        <v/>
      </c>
      <c r="H1240" s="69"/>
    </row>
    <row r="1241" spans="1:8" x14ac:dyDescent="0.35">
      <c r="A1241" s="64"/>
      <c r="B1241" s="65"/>
      <c r="C1241" s="65" t="str">
        <f>IFERROR(VLOOKUP(B1241,منتجات!$A$3:$C$350,2,0),"")</f>
        <v/>
      </c>
      <c r="D1241" s="65" t="str">
        <f>IFERROR(VLOOKUP(B1241,منتجات!$A$3:$C$350,3,0),"")</f>
        <v/>
      </c>
      <c r="E1241" s="65"/>
      <c r="F1241" s="65" t="str">
        <f>IFERROR(INDEX(منتجات!$G$3:$G$350,MATCH(B1241,منتجات!$A$3:$A$115,0)),"")</f>
        <v/>
      </c>
      <c r="G1241" s="65" t="str">
        <f t="shared" si="21"/>
        <v/>
      </c>
      <c r="H1241" s="70"/>
    </row>
    <row r="1242" spans="1:8" x14ac:dyDescent="0.35">
      <c r="A1242" s="62"/>
      <c r="B1242" s="63"/>
      <c r="C1242" s="63" t="str">
        <f>IFERROR(VLOOKUP(B1242,منتجات!$A$3:$C$350,2,0),"")</f>
        <v/>
      </c>
      <c r="D1242" s="63" t="str">
        <f>IFERROR(VLOOKUP(B1242,منتجات!$A$3:$C$350,3,0),"")</f>
        <v/>
      </c>
      <c r="E1242" s="63"/>
      <c r="F1242" s="63" t="str">
        <f>IFERROR(INDEX(منتجات!$G$3:$G$350,MATCH(B1242,منتجات!$A$3:$A$115,0)),"")</f>
        <v/>
      </c>
      <c r="G1242" s="63" t="str">
        <f t="shared" si="21"/>
        <v/>
      </c>
      <c r="H1242" s="69"/>
    </row>
    <row r="1243" spans="1:8" x14ac:dyDescent="0.35">
      <c r="A1243" s="64"/>
      <c r="B1243" s="65"/>
      <c r="C1243" s="65" t="str">
        <f>IFERROR(VLOOKUP(B1243,منتجات!$A$3:$C$350,2,0),"")</f>
        <v/>
      </c>
      <c r="D1243" s="65" t="str">
        <f>IFERROR(VLOOKUP(B1243,منتجات!$A$3:$C$350,3,0),"")</f>
        <v/>
      </c>
      <c r="E1243" s="65"/>
      <c r="F1243" s="65" t="str">
        <f>IFERROR(INDEX(منتجات!$G$3:$G$350,MATCH(B1243,منتجات!$A$3:$A$115,0)),"")</f>
        <v/>
      </c>
      <c r="G1243" s="65" t="str">
        <f t="shared" si="21"/>
        <v/>
      </c>
      <c r="H1243" s="70"/>
    </row>
    <row r="1244" spans="1:8" x14ac:dyDescent="0.35">
      <c r="A1244" s="62"/>
      <c r="B1244" s="63"/>
      <c r="C1244" s="63" t="str">
        <f>IFERROR(VLOOKUP(B1244,منتجات!$A$3:$C$350,2,0),"")</f>
        <v/>
      </c>
      <c r="D1244" s="63" t="str">
        <f>IFERROR(VLOOKUP(B1244,منتجات!$A$3:$C$350,3,0),"")</f>
        <v/>
      </c>
      <c r="E1244" s="63"/>
      <c r="F1244" s="63" t="str">
        <f>IFERROR(INDEX(منتجات!$G$3:$G$350,MATCH(B1244,منتجات!$A$3:$A$115,0)),"")</f>
        <v/>
      </c>
      <c r="G1244" s="63" t="str">
        <f t="shared" si="21"/>
        <v/>
      </c>
      <c r="H1244" s="69"/>
    </row>
    <row r="1245" spans="1:8" x14ac:dyDescent="0.35">
      <c r="A1245" s="64"/>
      <c r="B1245" s="65"/>
      <c r="C1245" s="65" t="str">
        <f>IFERROR(VLOOKUP(B1245,منتجات!$A$3:$C$350,2,0),"")</f>
        <v/>
      </c>
      <c r="D1245" s="65" t="str">
        <f>IFERROR(VLOOKUP(B1245,منتجات!$A$3:$C$350,3,0),"")</f>
        <v/>
      </c>
      <c r="E1245" s="65"/>
      <c r="F1245" s="65" t="str">
        <f>IFERROR(INDEX(منتجات!$G$3:$G$350,MATCH(B1245,منتجات!$A$3:$A$115,0)),"")</f>
        <v/>
      </c>
      <c r="G1245" s="65" t="str">
        <f t="shared" si="21"/>
        <v/>
      </c>
      <c r="H1245" s="70"/>
    </row>
    <row r="1246" spans="1:8" x14ac:dyDescent="0.35">
      <c r="A1246" s="62"/>
      <c r="B1246" s="63"/>
      <c r="C1246" s="63" t="str">
        <f>IFERROR(VLOOKUP(B1246,منتجات!$A$3:$C$350,2,0),"")</f>
        <v/>
      </c>
      <c r="D1246" s="63" t="str">
        <f>IFERROR(VLOOKUP(B1246,منتجات!$A$3:$C$350,3,0),"")</f>
        <v/>
      </c>
      <c r="E1246" s="63"/>
      <c r="F1246" s="63" t="str">
        <f>IFERROR(INDEX(منتجات!$G$3:$G$350,MATCH(B1246,منتجات!$A$3:$A$115,0)),"")</f>
        <v/>
      </c>
      <c r="G1246" s="63" t="str">
        <f t="shared" si="21"/>
        <v/>
      </c>
      <c r="H1246" s="69"/>
    </row>
    <row r="1247" spans="1:8" x14ac:dyDescent="0.35">
      <c r="A1247" s="64"/>
      <c r="B1247" s="65"/>
      <c r="C1247" s="65" t="str">
        <f>IFERROR(VLOOKUP(B1247,منتجات!$A$3:$C$350,2,0),"")</f>
        <v/>
      </c>
      <c r="D1247" s="65" t="str">
        <f>IFERROR(VLOOKUP(B1247,منتجات!$A$3:$C$350,3,0),"")</f>
        <v/>
      </c>
      <c r="E1247" s="65"/>
      <c r="F1247" s="65" t="str">
        <f>IFERROR(INDEX(منتجات!$G$3:$G$350,MATCH(B1247,منتجات!$A$3:$A$115,0)),"")</f>
        <v/>
      </c>
      <c r="G1247" s="65" t="str">
        <f t="shared" si="21"/>
        <v/>
      </c>
      <c r="H1247" s="70"/>
    </row>
    <row r="1248" spans="1:8" x14ac:dyDescent="0.35">
      <c r="A1248" s="62"/>
      <c r="B1248" s="63"/>
      <c r="C1248" s="63" t="str">
        <f>IFERROR(VLOOKUP(B1248,منتجات!$A$3:$C$350,2,0),"")</f>
        <v/>
      </c>
      <c r="D1248" s="63" t="str">
        <f>IFERROR(VLOOKUP(B1248,منتجات!$A$3:$C$350,3,0),"")</f>
        <v/>
      </c>
      <c r="E1248" s="63"/>
      <c r="F1248" s="63" t="str">
        <f>IFERROR(INDEX(منتجات!$G$3:$G$350,MATCH(B1248,منتجات!$A$3:$A$115,0)),"")</f>
        <v/>
      </c>
      <c r="G1248" s="63" t="str">
        <f t="shared" si="21"/>
        <v/>
      </c>
      <c r="H1248" s="69"/>
    </row>
    <row r="1249" spans="1:8" x14ac:dyDescent="0.35">
      <c r="A1249" s="64"/>
      <c r="B1249" s="65"/>
      <c r="C1249" s="65" t="str">
        <f>IFERROR(VLOOKUP(B1249,منتجات!$A$3:$C$350,2,0),"")</f>
        <v/>
      </c>
      <c r="D1249" s="65" t="str">
        <f>IFERROR(VLOOKUP(B1249,منتجات!$A$3:$C$350,3,0),"")</f>
        <v/>
      </c>
      <c r="E1249" s="65"/>
      <c r="F1249" s="65" t="str">
        <f>IFERROR(INDEX(منتجات!$G$3:$G$350,MATCH(B1249,منتجات!$A$3:$A$115,0)),"")</f>
        <v/>
      </c>
      <c r="G1249" s="65" t="str">
        <f t="shared" si="21"/>
        <v/>
      </c>
      <c r="H1249" s="70"/>
    </row>
    <row r="1250" spans="1:8" x14ac:dyDescent="0.35">
      <c r="A1250" s="62"/>
      <c r="B1250" s="63"/>
      <c r="C1250" s="63" t="str">
        <f>IFERROR(VLOOKUP(B1250,منتجات!$A$3:$C$350,2,0),"")</f>
        <v/>
      </c>
      <c r="D1250" s="63" t="str">
        <f>IFERROR(VLOOKUP(B1250,منتجات!$A$3:$C$350,3,0),"")</f>
        <v/>
      </c>
      <c r="E1250" s="63"/>
      <c r="F1250" s="63" t="str">
        <f>IFERROR(INDEX(منتجات!$G$3:$G$350,MATCH(B1250,منتجات!$A$3:$A$115,0)),"")</f>
        <v/>
      </c>
      <c r="G1250" s="63" t="str">
        <f t="shared" si="21"/>
        <v/>
      </c>
      <c r="H1250" s="69"/>
    </row>
    <row r="1251" spans="1:8" x14ac:dyDescent="0.35">
      <c r="A1251" s="64"/>
      <c r="B1251" s="65"/>
      <c r="C1251" s="65" t="str">
        <f>IFERROR(VLOOKUP(B1251,منتجات!$A$3:$C$350,2,0),"")</f>
        <v/>
      </c>
      <c r="D1251" s="65" t="str">
        <f>IFERROR(VLOOKUP(B1251,منتجات!$A$3:$C$350,3,0),"")</f>
        <v/>
      </c>
      <c r="E1251" s="65"/>
      <c r="F1251" s="65" t="str">
        <f>IFERROR(INDEX(منتجات!$G$3:$G$350,MATCH(B1251,منتجات!$A$3:$A$115,0)),"")</f>
        <v/>
      </c>
      <c r="G1251" s="65" t="str">
        <f t="shared" si="21"/>
        <v/>
      </c>
      <c r="H1251" s="70"/>
    </row>
    <row r="1252" spans="1:8" x14ac:dyDescent="0.35">
      <c r="A1252" s="62"/>
      <c r="B1252" s="63"/>
      <c r="C1252" s="63" t="str">
        <f>IFERROR(VLOOKUP(B1252,منتجات!$A$3:$C$350,2,0),"")</f>
        <v/>
      </c>
      <c r="D1252" s="63" t="str">
        <f>IFERROR(VLOOKUP(B1252,منتجات!$A$3:$C$350,3,0),"")</f>
        <v/>
      </c>
      <c r="E1252" s="63"/>
      <c r="F1252" s="63" t="str">
        <f>IFERROR(INDEX(منتجات!$G$3:$G$350,MATCH(B1252,منتجات!$A$3:$A$115,0)),"")</f>
        <v/>
      </c>
      <c r="G1252" s="63" t="str">
        <f t="shared" si="21"/>
        <v/>
      </c>
      <c r="H1252" s="69"/>
    </row>
    <row r="1253" spans="1:8" x14ac:dyDescent="0.35">
      <c r="A1253" s="64"/>
      <c r="B1253" s="65"/>
      <c r="C1253" s="65" t="str">
        <f>IFERROR(VLOOKUP(B1253,منتجات!$A$3:$C$350,2,0),"")</f>
        <v/>
      </c>
      <c r="D1253" s="65" t="str">
        <f>IFERROR(VLOOKUP(B1253,منتجات!$A$3:$C$350,3,0),"")</f>
        <v/>
      </c>
      <c r="E1253" s="65"/>
      <c r="F1253" s="65" t="str">
        <f>IFERROR(INDEX(منتجات!$G$3:$G$350,MATCH(B1253,منتجات!$A$3:$A$115,0)),"")</f>
        <v/>
      </c>
      <c r="G1253" s="65" t="str">
        <f t="shared" si="21"/>
        <v/>
      </c>
      <c r="H1253" s="70"/>
    </row>
    <row r="1254" spans="1:8" x14ac:dyDescent="0.35">
      <c r="A1254" s="62"/>
      <c r="B1254" s="63"/>
      <c r="C1254" s="63" t="str">
        <f>IFERROR(VLOOKUP(B1254,منتجات!$A$3:$C$350,2,0),"")</f>
        <v/>
      </c>
      <c r="D1254" s="63" t="str">
        <f>IFERROR(VLOOKUP(B1254,منتجات!$A$3:$C$350,3,0),"")</f>
        <v/>
      </c>
      <c r="E1254" s="63"/>
      <c r="F1254" s="63" t="str">
        <f>IFERROR(INDEX(منتجات!$G$3:$G$350,MATCH(B1254,منتجات!$A$3:$A$115,0)),"")</f>
        <v/>
      </c>
      <c r="G1254" s="63" t="str">
        <f t="shared" si="21"/>
        <v/>
      </c>
      <c r="H1254" s="69"/>
    </row>
    <row r="1255" spans="1:8" x14ac:dyDescent="0.35">
      <c r="A1255" s="64"/>
      <c r="B1255" s="65"/>
      <c r="C1255" s="65" t="str">
        <f>IFERROR(VLOOKUP(B1255,منتجات!$A$3:$C$350,2,0),"")</f>
        <v/>
      </c>
      <c r="D1255" s="65" t="str">
        <f>IFERROR(VLOOKUP(B1255,منتجات!$A$3:$C$350,3,0),"")</f>
        <v/>
      </c>
      <c r="E1255" s="65"/>
      <c r="F1255" s="65" t="str">
        <f>IFERROR(INDEX(منتجات!$G$3:$G$350,MATCH(B1255,منتجات!$A$3:$A$115,0)),"")</f>
        <v/>
      </c>
      <c r="G1255" s="65" t="str">
        <f t="shared" si="21"/>
        <v/>
      </c>
      <c r="H1255" s="70"/>
    </row>
    <row r="1256" spans="1:8" x14ac:dyDescent="0.35">
      <c r="A1256" s="62"/>
      <c r="B1256" s="63"/>
      <c r="C1256" s="63" t="str">
        <f>IFERROR(VLOOKUP(B1256,منتجات!$A$3:$C$350,2,0),"")</f>
        <v/>
      </c>
      <c r="D1256" s="63" t="str">
        <f>IFERROR(VLOOKUP(B1256,منتجات!$A$3:$C$350,3,0),"")</f>
        <v/>
      </c>
      <c r="E1256" s="63"/>
      <c r="F1256" s="63" t="str">
        <f>IFERROR(INDEX(منتجات!$G$3:$G$350,MATCH(B1256,منتجات!$A$3:$A$115,0)),"")</f>
        <v/>
      </c>
      <c r="G1256" s="63" t="str">
        <f t="shared" si="21"/>
        <v/>
      </c>
      <c r="H1256" s="69"/>
    </row>
    <row r="1257" spans="1:8" x14ac:dyDescent="0.35">
      <c r="A1257" s="64"/>
      <c r="B1257" s="65"/>
      <c r="C1257" s="65" t="str">
        <f>IFERROR(VLOOKUP(B1257,منتجات!$A$3:$C$350,2,0),"")</f>
        <v/>
      </c>
      <c r="D1257" s="65" t="str">
        <f>IFERROR(VLOOKUP(B1257,منتجات!$A$3:$C$350,3,0),"")</f>
        <v/>
      </c>
      <c r="E1257" s="65"/>
      <c r="F1257" s="65" t="str">
        <f>IFERROR(INDEX(منتجات!$G$3:$G$350,MATCH(B1257,منتجات!$A$3:$A$115,0)),"")</f>
        <v/>
      </c>
      <c r="G1257" s="65" t="str">
        <f t="shared" si="21"/>
        <v/>
      </c>
      <c r="H1257" s="70"/>
    </row>
    <row r="1258" spans="1:8" x14ac:dyDescent="0.35">
      <c r="A1258" s="62"/>
      <c r="B1258" s="63"/>
      <c r="C1258" s="63" t="str">
        <f>IFERROR(VLOOKUP(B1258,منتجات!$A$3:$C$350,2,0),"")</f>
        <v/>
      </c>
      <c r="D1258" s="63" t="str">
        <f>IFERROR(VLOOKUP(B1258,منتجات!$A$3:$C$350,3,0),"")</f>
        <v/>
      </c>
      <c r="E1258" s="63"/>
      <c r="F1258" s="63" t="str">
        <f>IFERROR(INDEX(منتجات!$G$3:$G$350,MATCH(B1258,منتجات!$A$3:$A$115,0)),"")</f>
        <v/>
      </c>
      <c r="G1258" s="63" t="str">
        <f t="shared" si="21"/>
        <v/>
      </c>
      <c r="H1258" s="69"/>
    </row>
    <row r="1259" spans="1:8" x14ac:dyDescent="0.35">
      <c r="A1259" s="64"/>
      <c r="B1259" s="65"/>
      <c r="C1259" s="65" t="str">
        <f>IFERROR(VLOOKUP(B1259,منتجات!$A$3:$C$350,2,0),"")</f>
        <v/>
      </c>
      <c r="D1259" s="65" t="str">
        <f>IFERROR(VLOOKUP(B1259,منتجات!$A$3:$C$350,3,0),"")</f>
        <v/>
      </c>
      <c r="E1259" s="65"/>
      <c r="F1259" s="65" t="str">
        <f>IFERROR(INDEX(منتجات!$G$3:$G$350,MATCH(B1259,منتجات!$A$3:$A$115,0)),"")</f>
        <v/>
      </c>
      <c r="G1259" s="65" t="str">
        <f t="shared" si="21"/>
        <v/>
      </c>
      <c r="H1259" s="70"/>
    </row>
    <row r="1260" spans="1:8" x14ac:dyDescent="0.35">
      <c r="A1260" s="62"/>
      <c r="B1260" s="63"/>
      <c r="C1260" s="63" t="str">
        <f>IFERROR(VLOOKUP(B1260,منتجات!$A$3:$C$350,2,0),"")</f>
        <v/>
      </c>
      <c r="D1260" s="63" t="str">
        <f>IFERROR(VLOOKUP(B1260,منتجات!$A$3:$C$350,3,0),"")</f>
        <v/>
      </c>
      <c r="E1260" s="63"/>
      <c r="F1260" s="63" t="str">
        <f>IFERROR(INDEX(منتجات!$G$3:$G$350,MATCH(B1260,منتجات!$A$3:$A$115,0)),"")</f>
        <v/>
      </c>
      <c r="G1260" s="63" t="str">
        <f t="shared" si="21"/>
        <v/>
      </c>
      <c r="H1260" s="69"/>
    </row>
    <row r="1261" spans="1:8" x14ac:dyDescent="0.35">
      <c r="A1261" s="64"/>
      <c r="B1261" s="65"/>
      <c r="C1261" s="65" t="str">
        <f>IFERROR(VLOOKUP(B1261,منتجات!$A$3:$C$350,2,0),"")</f>
        <v/>
      </c>
      <c r="D1261" s="65" t="str">
        <f>IFERROR(VLOOKUP(B1261,منتجات!$A$3:$C$350,3,0),"")</f>
        <v/>
      </c>
      <c r="E1261" s="65"/>
      <c r="F1261" s="65" t="str">
        <f>IFERROR(INDEX(منتجات!$G$3:$G$350,MATCH(B1261,منتجات!$A$3:$A$115,0)),"")</f>
        <v/>
      </c>
      <c r="G1261" s="65" t="str">
        <f t="shared" si="21"/>
        <v/>
      </c>
      <c r="H1261" s="70"/>
    </row>
    <row r="1262" spans="1:8" x14ac:dyDescent="0.35">
      <c r="A1262" s="62"/>
      <c r="B1262" s="63"/>
      <c r="C1262" s="63" t="str">
        <f>IFERROR(VLOOKUP(B1262,منتجات!$A$3:$C$350,2,0),"")</f>
        <v/>
      </c>
      <c r="D1262" s="63" t="str">
        <f>IFERROR(VLOOKUP(B1262,منتجات!$A$3:$C$350,3,0),"")</f>
        <v/>
      </c>
      <c r="E1262" s="63"/>
      <c r="F1262" s="63" t="str">
        <f>IFERROR(INDEX(منتجات!$G$3:$G$350,MATCH(B1262,منتجات!$A$3:$A$115,0)),"")</f>
        <v/>
      </c>
      <c r="G1262" s="63" t="str">
        <f t="shared" si="21"/>
        <v/>
      </c>
      <c r="H1262" s="69"/>
    </row>
    <row r="1263" spans="1:8" x14ac:dyDescent="0.35">
      <c r="A1263" s="64"/>
      <c r="B1263" s="65"/>
      <c r="C1263" s="65" t="str">
        <f>IFERROR(VLOOKUP(B1263,منتجات!$A$3:$C$350,2,0),"")</f>
        <v/>
      </c>
      <c r="D1263" s="65" t="str">
        <f>IFERROR(VLOOKUP(B1263,منتجات!$A$3:$C$350,3,0),"")</f>
        <v/>
      </c>
      <c r="E1263" s="65"/>
      <c r="F1263" s="65" t="str">
        <f>IFERROR(INDEX(منتجات!$G$3:$G$350,MATCH(B1263,منتجات!$A$3:$A$115,0)),"")</f>
        <v/>
      </c>
      <c r="G1263" s="65" t="str">
        <f t="shared" si="21"/>
        <v/>
      </c>
      <c r="H1263" s="70"/>
    </row>
    <row r="1264" spans="1:8" x14ac:dyDescent="0.35">
      <c r="A1264" s="62"/>
      <c r="B1264" s="63"/>
      <c r="C1264" s="63" t="str">
        <f>IFERROR(VLOOKUP(B1264,منتجات!$A$3:$C$350,2,0),"")</f>
        <v/>
      </c>
      <c r="D1264" s="63" t="str">
        <f>IFERROR(VLOOKUP(B1264,منتجات!$A$3:$C$350,3,0),"")</f>
        <v/>
      </c>
      <c r="E1264" s="63"/>
      <c r="F1264" s="63" t="str">
        <f>IFERROR(INDEX(منتجات!$G$3:$G$350,MATCH(B1264,منتجات!$A$3:$A$115,0)),"")</f>
        <v/>
      </c>
      <c r="G1264" s="63" t="str">
        <f t="shared" si="21"/>
        <v/>
      </c>
      <c r="H1264" s="69"/>
    </row>
    <row r="1265" spans="1:8" x14ac:dyDescent="0.35">
      <c r="A1265" s="64"/>
      <c r="B1265" s="65"/>
      <c r="C1265" s="65" t="str">
        <f>IFERROR(VLOOKUP(B1265,منتجات!$A$3:$C$350,2,0),"")</f>
        <v/>
      </c>
      <c r="D1265" s="65" t="str">
        <f>IFERROR(VLOOKUP(B1265,منتجات!$A$3:$C$350,3,0),"")</f>
        <v/>
      </c>
      <c r="E1265" s="65"/>
      <c r="F1265" s="65" t="str">
        <f>IFERROR(INDEX(منتجات!$G$3:$G$350,MATCH(B1265,منتجات!$A$3:$A$115,0)),"")</f>
        <v/>
      </c>
      <c r="G1265" s="65" t="str">
        <f t="shared" si="21"/>
        <v/>
      </c>
      <c r="H1265" s="70"/>
    </row>
    <row r="1266" spans="1:8" x14ac:dyDescent="0.35">
      <c r="A1266" s="62"/>
      <c r="B1266" s="63"/>
      <c r="C1266" s="63" t="str">
        <f>IFERROR(VLOOKUP(B1266,منتجات!$A$3:$C$350,2,0),"")</f>
        <v/>
      </c>
      <c r="D1266" s="63" t="str">
        <f>IFERROR(VLOOKUP(B1266,منتجات!$A$3:$C$350,3,0),"")</f>
        <v/>
      </c>
      <c r="E1266" s="63"/>
      <c r="F1266" s="63" t="str">
        <f>IFERROR(INDEX(منتجات!$G$3:$G$350,MATCH(B1266,منتجات!$A$3:$A$115,0)),"")</f>
        <v/>
      </c>
      <c r="G1266" s="63" t="str">
        <f t="shared" si="21"/>
        <v/>
      </c>
      <c r="H1266" s="69"/>
    </row>
    <row r="1267" spans="1:8" x14ac:dyDescent="0.35">
      <c r="A1267" s="64"/>
      <c r="B1267" s="65"/>
      <c r="C1267" s="65" t="str">
        <f>IFERROR(VLOOKUP(B1267,منتجات!$A$3:$C$350,2,0),"")</f>
        <v/>
      </c>
      <c r="D1267" s="65" t="str">
        <f>IFERROR(VLOOKUP(B1267,منتجات!$A$3:$C$350,3,0),"")</f>
        <v/>
      </c>
      <c r="E1267" s="65"/>
      <c r="F1267" s="65" t="str">
        <f>IFERROR(INDEX(منتجات!$G$3:$G$350,MATCH(B1267,منتجات!$A$3:$A$115,0)),"")</f>
        <v/>
      </c>
      <c r="G1267" s="65" t="str">
        <f t="shared" si="21"/>
        <v/>
      </c>
      <c r="H1267" s="70"/>
    </row>
    <row r="1268" spans="1:8" x14ac:dyDescent="0.35">
      <c r="A1268" s="62"/>
      <c r="B1268" s="63"/>
      <c r="C1268" s="63" t="str">
        <f>IFERROR(VLOOKUP(B1268,منتجات!$A$3:$C$350,2,0),"")</f>
        <v/>
      </c>
      <c r="D1268" s="63" t="str">
        <f>IFERROR(VLOOKUP(B1268,منتجات!$A$3:$C$350,3,0),"")</f>
        <v/>
      </c>
      <c r="E1268" s="63"/>
      <c r="F1268" s="63" t="str">
        <f>IFERROR(INDEX(منتجات!$G$3:$G$350,MATCH(B1268,منتجات!$A$3:$A$115,0)),"")</f>
        <v/>
      </c>
      <c r="G1268" s="63" t="str">
        <f t="shared" si="21"/>
        <v/>
      </c>
      <c r="H1268" s="69"/>
    </row>
    <row r="1269" spans="1:8" x14ac:dyDescent="0.35">
      <c r="A1269" s="64"/>
      <c r="B1269" s="65"/>
      <c r="C1269" s="65" t="str">
        <f>IFERROR(VLOOKUP(B1269,منتجات!$A$3:$C$350,2,0),"")</f>
        <v/>
      </c>
      <c r="D1269" s="65" t="str">
        <f>IFERROR(VLOOKUP(B1269,منتجات!$A$3:$C$350,3,0),"")</f>
        <v/>
      </c>
      <c r="E1269" s="65"/>
      <c r="F1269" s="65" t="str">
        <f>IFERROR(INDEX(منتجات!$G$3:$G$350,MATCH(B1269,منتجات!$A$3:$A$115,0)),"")</f>
        <v/>
      </c>
      <c r="G1269" s="65" t="str">
        <f t="shared" si="21"/>
        <v/>
      </c>
      <c r="H1269" s="70"/>
    </row>
    <row r="1270" spans="1:8" x14ac:dyDescent="0.35">
      <c r="A1270" s="62"/>
      <c r="B1270" s="63"/>
      <c r="C1270" s="63" t="str">
        <f>IFERROR(VLOOKUP(B1270,منتجات!$A$3:$C$350,2,0),"")</f>
        <v/>
      </c>
      <c r="D1270" s="63" t="str">
        <f>IFERROR(VLOOKUP(B1270,منتجات!$A$3:$C$350,3,0),"")</f>
        <v/>
      </c>
      <c r="E1270" s="63"/>
      <c r="F1270" s="63" t="str">
        <f>IFERROR(INDEX(منتجات!$G$3:$G$350,MATCH(B1270,منتجات!$A$3:$A$115,0)),"")</f>
        <v/>
      </c>
      <c r="G1270" s="63" t="str">
        <f t="shared" si="21"/>
        <v/>
      </c>
      <c r="H1270" s="69"/>
    </row>
    <row r="1271" spans="1:8" x14ac:dyDescent="0.35">
      <c r="A1271" s="64"/>
      <c r="B1271" s="65"/>
      <c r="C1271" s="65" t="str">
        <f>IFERROR(VLOOKUP(B1271,منتجات!$A$3:$C$350,2,0),"")</f>
        <v/>
      </c>
      <c r="D1271" s="65" t="str">
        <f>IFERROR(VLOOKUP(B1271,منتجات!$A$3:$C$350,3,0),"")</f>
        <v/>
      </c>
      <c r="E1271" s="65"/>
      <c r="F1271" s="65" t="str">
        <f>IFERROR(INDEX(منتجات!$G$3:$G$350,MATCH(B1271,منتجات!$A$3:$A$115,0)),"")</f>
        <v/>
      </c>
      <c r="G1271" s="65" t="str">
        <f t="shared" si="21"/>
        <v/>
      </c>
      <c r="H1271" s="70"/>
    </row>
    <row r="1272" spans="1:8" x14ac:dyDescent="0.35">
      <c r="A1272" s="62"/>
      <c r="B1272" s="63"/>
      <c r="C1272" s="63" t="str">
        <f>IFERROR(VLOOKUP(B1272,منتجات!$A$3:$C$350,2,0),"")</f>
        <v/>
      </c>
      <c r="D1272" s="63" t="str">
        <f>IFERROR(VLOOKUP(B1272,منتجات!$A$3:$C$350,3,0),"")</f>
        <v/>
      </c>
      <c r="E1272" s="63"/>
      <c r="F1272" s="63" t="str">
        <f>IFERROR(INDEX(منتجات!$G$3:$G$350,MATCH(B1272,منتجات!$A$3:$A$115,0)),"")</f>
        <v/>
      </c>
      <c r="G1272" s="63" t="str">
        <f t="shared" si="21"/>
        <v/>
      </c>
      <c r="H1272" s="69"/>
    </row>
    <row r="1273" spans="1:8" x14ac:dyDescent="0.35">
      <c r="A1273" s="64"/>
      <c r="B1273" s="65"/>
      <c r="C1273" s="65" t="str">
        <f>IFERROR(VLOOKUP(B1273,منتجات!$A$3:$C$350,2,0),"")</f>
        <v/>
      </c>
      <c r="D1273" s="65" t="str">
        <f>IFERROR(VLOOKUP(B1273,منتجات!$A$3:$C$350,3,0),"")</f>
        <v/>
      </c>
      <c r="E1273" s="65"/>
      <c r="F1273" s="65" t="str">
        <f>IFERROR(INDEX(منتجات!$G$3:$G$350,MATCH(B1273,منتجات!$A$3:$A$115,0)),"")</f>
        <v/>
      </c>
      <c r="G1273" s="65" t="str">
        <f t="shared" si="21"/>
        <v/>
      </c>
      <c r="H1273" s="70"/>
    </row>
    <row r="1274" spans="1:8" x14ac:dyDescent="0.35">
      <c r="A1274" s="62"/>
      <c r="B1274" s="63"/>
      <c r="C1274" s="63" t="str">
        <f>IFERROR(VLOOKUP(B1274,منتجات!$A$3:$C$350,2,0),"")</f>
        <v/>
      </c>
      <c r="D1274" s="63" t="str">
        <f>IFERROR(VLOOKUP(B1274,منتجات!$A$3:$C$350,3,0),"")</f>
        <v/>
      </c>
      <c r="E1274" s="63"/>
      <c r="F1274" s="63" t="str">
        <f>IFERROR(INDEX(منتجات!$G$3:$G$350,MATCH(B1274,منتجات!$A$3:$A$115,0)),"")</f>
        <v/>
      </c>
      <c r="G1274" s="63" t="str">
        <f t="shared" si="21"/>
        <v/>
      </c>
      <c r="H1274" s="69"/>
    </row>
    <row r="1275" spans="1:8" x14ac:dyDescent="0.35">
      <c r="A1275" s="64"/>
      <c r="B1275" s="65"/>
      <c r="C1275" s="65" t="str">
        <f>IFERROR(VLOOKUP(B1275,منتجات!$A$3:$C$350,2,0),"")</f>
        <v/>
      </c>
      <c r="D1275" s="65" t="str">
        <f>IFERROR(VLOOKUP(B1275,منتجات!$A$3:$C$350,3,0),"")</f>
        <v/>
      </c>
      <c r="E1275" s="65"/>
      <c r="F1275" s="65" t="str">
        <f>IFERROR(INDEX(منتجات!$G$3:$G$350,MATCH(B1275,منتجات!$A$3:$A$115,0)),"")</f>
        <v/>
      </c>
      <c r="G1275" s="65" t="str">
        <f t="shared" si="21"/>
        <v/>
      </c>
      <c r="H1275" s="70"/>
    </row>
    <row r="1276" spans="1:8" x14ac:dyDescent="0.35">
      <c r="A1276" s="62"/>
      <c r="B1276" s="63"/>
      <c r="C1276" s="63" t="str">
        <f>IFERROR(VLOOKUP(B1276,منتجات!$A$3:$C$350,2,0),"")</f>
        <v/>
      </c>
      <c r="D1276" s="63" t="str">
        <f>IFERROR(VLOOKUP(B1276,منتجات!$A$3:$C$350,3,0),"")</f>
        <v/>
      </c>
      <c r="E1276" s="63"/>
      <c r="F1276" s="63" t="str">
        <f>IFERROR(INDEX(منتجات!$G$3:$G$350,MATCH(B1276,منتجات!$A$3:$A$115,0)),"")</f>
        <v/>
      </c>
      <c r="G1276" s="63" t="str">
        <f t="shared" si="21"/>
        <v/>
      </c>
      <c r="H1276" s="69"/>
    </row>
    <row r="1277" spans="1:8" x14ac:dyDescent="0.35">
      <c r="A1277" s="64"/>
      <c r="B1277" s="65"/>
      <c r="C1277" s="65" t="str">
        <f>IFERROR(VLOOKUP(B1277,منتجات!$A$3:$C$350,2,0),"")</f>
        <v/>
      </c>
      <c r="D1277" s="65" t="str">
        <f>IFERROR(VLOOKUP(B1277,منتجات!$A$3:$C$350,3,0),"")</f>
        <v/>
      </c>
      <c r="E1277" s="65"/>
      <c r="F1277" s="65" t="str">
        <f>IFERROR(INDEX(منتجات!$G$3:$G$350,MATCH(B1277,منتجات!$A$3:$A$115,0)),"")</f>
        <v/>
      </c>
      <c r="G1277" s="65" t="str">
        <f t="shared" si="21"/>
        <v/>
      </c>
      <c r="H1277" s="70"/>
    </row>
    <row r="1278" spans="1:8" x14ac:dyDescent="0.35">
      <c r="A1278" s="62"/>
      <c r="B1278" s="63"/>
      <c r="C1278" s="63" t="str">
        <f>IFERROR(VLOOKUP(B1278,منتجات!$A$3:$C$350,2,0),"")</f>
        <v/>
      </c>
      <c r="D1278" s="63" t="str">
        <f>IFERROR(VLOOKUP(B1278,منتجات!$A$3:$C$350,3,0),"")</f>
        <v/>
      </c>
      <c r="E1278" s="63"/>
      <c r="F1278" s="63" t="str">
        <f>IFERROR(INDEX(منتجات!$G$3:$G$350,MATCH(B1278,منتجات!$A$3:$A$115,0)),"")</f>
        <v/>
      </c>
      <c r="G1278" s="63" t="str">
        <f t="shared" si="21"/>
        <v/>
      </c>
      <c r="H1278" s="69"/>
    </row>
    <row r="1279" spans="1:8" x14ac:dyDescent="0.35">
      <c r="A1279" s="64"/>
      <c r="B1279" s="65"/>
      <c r="C1279" s="65" t="str">
        <f>IFERROR(VLOOKUP(B1279,منتجات!$A$3:$C$350,2,0),"")</f>
        <v/>
      </c>
      <c r="D1279" s="65" t="str">
        <f>IFERROR(VLOOKUP(B1279,منتجات!$A$3:$C$350,3,0),"")</f>
        <v/>
      </c>
      <c r="E1279" s="65"/>
      <c r="F1279" s="65" t="str">
        <f>IFERROR(INDEX(منتجات!$G$3:$G$350,MATCH(B1279,منتجات!$A$3:$A$115,0)),"")</f>
        <v/>
      </c>
      <c r="G1279" s="65" t="str">
        <f t="shared" si="21"/>
        <v/>
      </c>
      <c r="H1279" s="70"/>
    </row>
    <row r="1280" spans="1:8" x14ac:dyDescent="0.35">
      <c r="A1280" s="62"/>
      <c r="B1280" s="63"/>
      <c r="C1280" s="63" t="str">
        <f>IFERROR(VLOOKUP(B1280,منتجات!$A$3:$C$350,2,0),"")</f>
        <v/>
      </c>
      <c r="D1280" s="63" t="str">
        <f>IFERROR(VLOOKUP(B1280,منتجات!$A$3:$C$350,3,0),"")</f>
        <v/>
      </c>
      <c r="E1280" s="63"/>
      <c r="F1280" s="63" t="str">
        <f>IFERROR(INDEX(منتجات!$G$3:$G$350,MATCH(B1280,منتجات!$A$3:$A$115,0)),"")</f>
        <v/>
      </c>
      <c r="G1280" s="63" t="str">
        <f t="shared" si="21"/>
        <v/>
      </c>
      <c r="H1280" s="69"/>
    </row>
    <row r="1281" spans="1:8" x14ac:dyDescent="0.35">
      <c r="A1281" s="64"/>
      <c r="B1281" s="65"/>
      <c r="C1281" s="65" t="str">
        <f>IFERROR(VLOOKUP(B1281,منتجات!$A$3:$C$350,2,0),"")</f>
        <v/>
      </c>
      <c r="D1281" s="65" t="str">
        <f>IFERROR(VLOOKUP(B1281,منتجات!$A$3:$C$350,3,0),"")</f>
        <v/>
      </c>
      <c r="E1281" s="65"/>
      <c r="F1281" s="65" t="str">
        <f>IFERROR(INDEX(منتجات!$G$3:$G$350,MATCH(B1281,منتجات!$A$3:$A$115,0)),"")</f>
        <v/>
      </c>
      <c r="G1281" s="65" t="str">
        <f t="shared" si="21"/>
        <v/>
      </c>
      <c r="H1281" s="70"/>
    </row>
    <row r="1282" spans="1:8" x14ac:dyDescent="0.35">
      <c r="A1282" s="62"/>
      <c r="B1282" s="63"/>
      <c r="C1282" s="63" t="str">
        <f>IFERROR(VLOOKUP(B1282,منتجات!$A$3:$C$350,2,0),"")</f>
        <v/>
      </c>
      <c r="D1282" s="63" t="str">
        <f>IFERROR(VLOOKUP(B1282,منتجات!$A$3:$C$350,3,0),"")</f>
        <v/>
      </c>
      <c r="E1282" s="63"/>
      <c r="F1282" s="63" t="str">
        <f>IFERROR(INDEX(منتجات!$G$3:$G$350,MATCH(B1282,منتجات!$A$3:$A$115,0)),"")</f>
        <v/>
      </c>
      <c r="G1282" s="63" t="str">
        <f t="shared" si="21"/>
        <v/>
      </c>
      <c r="H1282" s="69"/>
    </row>
    <row r="1283" spans="1:8" x14ac:dyDescent="0.35">
      <c r="A1283" s="64"/>
      <c r="B1283" s="65"/>
      <c r="C1283" s="65" t="str">
        <f>IFERROR(VLOOKUP(B1283,منتجات!$A$3:$C$350,2,0),"")</f>
        <v/>
      </c>
      <c r="D1283" s="65" t="str">
        <f>IFERROR(VLOOKUP(B1283,منتجات!$A$3:$C$350,3,0),"")</f>
        <v/>
      </c>
      <c r="E1283" s="65"/>
      <c r="F1283" s="65" t="str">
        <f>IFERROR(INDEX(منتجات!$G$3:$G$350,MATCH(B1283,منتجات!$A$3:$A$115,0)),"")</f>
        <v/>
      </c>
      <c r="G1283" s="65" t="str">
        <f t="shared" si="21"/>
        <v/>
      </c>
      <c r="H1283" s="70"/>
    </row>
    <row r="1284" spans="1:8" x14ac:dyDescent="0.35">
      <c r="A1284" s="62"/>
      <c r="B1284" s="63"/>
      <c r="C1284" s="63" t="str">
        <f>IFERROR(VLOOKUP(B1284,منتجات!$A$3:$C$350,2,0),"")</f>
        <v/>
      </c>
      <c r="D1284" s="63" t="str">
        <f>IFERROR(VLOOKUP(B1284,منتجات!$A$3:$C$350,3,0),"")</f>
        <v/>
      </c>
      <c r="E1284" s="63"/>
      <c r="F1284" s="63" t="str">
        <f>IFERROR(INDEX(منتجات!$G$3:$G$350,MATCH(B1284,منتجات!$A$3:$A$115,0)),"")</f>
        <v/>
      </c>
      <c r="G1284" s="63" t="str">
        <f t="shared" si="21"/>
        <v/>
      </c>
      <c r="H1284" s="69"/>
    </row>
    <row r="1285" spans="1:8" x14ac:dyDescent="0.35">
      <c r="A1285" s="64"/>
      <c r="B1285" s="65"/>
      <c r="C1285" s="65" t="str">
        <f>IFERROR(VLOOKUP(B1285,منتجات!$A$3:$C$350,2,0),"")</f>
        <v/>
      </c>
      <c r="D1285" s="65" t="str">
        <f>IFERROR(VLOOKUP(B1285,منتجات!$A$3:$C$350,3,0),"")</f>
        <v/>
      </c>
      <c r="E1285" s="65"/>
      <c r="F1285" s="65" t="str">
        <f>IFERROR(INDEX(منتجات!$G$3:$G$350,MATCH(B1285,منتجات!$A$3:$A$115,0)),"")</f>
        <v/>
      </c>
      <c r="G1285" s="65" t="str">
        <f t="shared" si="21"/>
        <v/>
      </c>
      <c r="H1285" s="70"/>
    </row>
    <row r="1286" spans="1:8" x14ac:dyDescent="0.35">
      <c r="A1286" s="62"/>
      <c r="B1286" s="63"/>
      <c r="C1286" s="63" t="str">
        <f>IFERROR(VLOOKUP(B1286,منتجات!$A$3:$C$350,2,0),"")</f>
        <v/>
      </c>
      <c r="D1286" s="63" t="str">
        <f>IFERROR(VLOOKUP(B1286,منتجات!$A$3:$C$350,3,0),"")</f>
        <v/>
      </c>
      <c r="E1286" s="63"/>
      <c r="F1286" s="63" t="str">
        <f>IFERROR(INDEX(منتجات!$G$3:$G$350,MATCH(B1286,منتجات!$A$3:$A$115,0)),"")</f>
        <v/>
      </c>
      <c r="G1286" s="63" t="str">
        <f t="shared" ref="G1286:G1349" si="22">IFERROR(E1286*F1286*D1286,"")</f>
        <v/>
      </c>
      <c r="H1286" s="69"/>
    </row>
    <row r="1287" spans="1:8" x14ac:dyDescent="0.35">
      <c r="A1287" s="64"/>
      <c r="B1287" s="65"/>
      <c r="C1287" s="65" t="str">
        <f>IFERROR(VLOOKUP(B1287,منتجات!$A$3:$C$350,2,0),"")</f>
        <v/>
      </c>
      <c r="D1287" s="65" t="str">
        <f>IFERROR(VLOOKUP(B1287,منتجات!$A$3:$C$350,3,0),"")</f>
        <v/>
      </c>
      <c r="E1287" s="65"/>
      <c r="F1287" s="65" t="str">
        <f>IFERROR(INDEX(منتجات!$G$3:$G$350,MATCH(B1287,منتجات!$A$3:$A$115,0)),"")</f>
        <v/>
      </c>
      <c r="G1287" s="65" t="str">
        <f t="shared" si="22"/>
        <v/>
      </c>
      <c r="H1287" s="70"/>
    </row>
    <row r="1288" spans="1:8" x14ac:dyDescent="0.35">
      <c r="A1288" s="62"/>
      <c r="B1288" s="63"/>
      <c r="C1288" s="63" t="str">
        <f>IFERROR(VLOOKUP(B1288,منتجات!$A$3:$C$350,2,0),"")</f>
        <v/>
      </c>
      <c r="D1288" s="63" t="str">
        <f>IFERROR(VLOOKUP(B1288,منتجات!$A$3:$C$350,3,0),"")</f>
        <v/>
      </c>
      <c r="E1288" s="63"/>
      <c r="F1288" s="63" t="str">
        <f>IFERROR(INDEX(منتجات!$G$3:$G$350,MATCH(B1288,منتجات!$A$3:$A$115,0)),"")</f>
        <v/>
      </c>
      <c r="G1288" s="63" t="str">
        <f t="shared" si="22"/>
        <v/>
      </c>
      <c r="H1288" s="69"/>
    </row>
    <row r="1289" spans="1:8" x14ac:dyDescent="0.35">
      <c r="A1289" s="64"/>
      <c r="B1289" s="65"/>
      <c r="C1289" s="65" t="str">
        <f>IFERROR(VLOOKUP(B1289,منتجات!$A$3:$C$350,2,0),"")</f>
        <v/>
      </c>
      <c r="D1289" s="65" t="str">
        <f>IFERROR(VLOOKUP(B1289,منتجات!$A$3:$C$350,3,0),"")</f>
        <v/>
      </c>
      <c r="E1289" s="65"/>
      <c r="F1289" s="65" t="str">
        <f>IFERROR(INDEX(منتجات!$G$3:$G$350,MATCH(B1289,منتجات!$A$3:$A$115,0)),"")</f>
        <v/>
      </c>
      <c r="G1289" s="65" t="str">
        <f t="shared" si="22"/>
        <v/>
      </c>
      <c r="H1289" s="70"/>
    </row>
    <row r="1290" spans="1:8" x14ac:dyDescent="0.35">
      <c r="A1290" s="62"/>
      <c r="B1290" s="63"/>
      <c r="C1290" s="63" t="str">
        <f>IFERROR(VLOOKUP(B1290,منتجات!$A$3:$C$350,2,0),"")</f>
        <v/>
      </c>
      <c r="D1290" s="63" t="str">
        <f>IFERROR(VLOOKUP(B1290,منتجات!$A$3:$C$350,3,0),"")</f>
        <v/>
      </c>
      <c r="E1290" s="63"/>
      <c r="F1290" s="63" t="str">
        <f>IFERROR(INDEX(منتجات!$G$3:$G$350,MATCH(B1290,منتجات!$A$3:$A$115,0)),"")</f>
        <v/>
      </c>
      <c r="G1290" s="63" t="str">
        <f t="shared" si="22"/>
        <v/>
      </c>
      <c r="H1290" s="69"/>
    </row>
    <row r="1291" spans="1:8" x14ac:dyDescent="0.35">
      <c r="A1291" s="64"/>
      <c r="B1291" s="65"/>
      <c r="C1291" s="65" t="str">
        <f>IFERROR(VLOOKUP(B1291,منتجات!$A$3:$C$350,2,0),"")</f>
        <v/>
      </c>
      <c r="D1291" s="65" t="str">
        <f>IFERROR(VLOOKUP(B1291,منتجات!$A$3:$C$350,3,0),"")</f>
        <v/>
      </c>
      <c r="E1291" s="65"/>
      <c r="F1291" s="65" t="str">
        <f>IFERROR(INDEX(منتجات!$G$3:$G$350,MATCH(B1291,منتجات!$A$3:$A$115,0)),"")</f>
        <v/>
      </c>
      <c r="G1291" s="65" t="str">
        <f t="shared" si="22"/>
        <v/>
      </c>
      <c r="H1291" s="70"/>
    </row>
    <row r="1292" spans="1:8" x14ac:dyDescent="0.35">
      <c r="A1292" s="62"/>
      <c r="B1292" s="63"/>
      <c r="C1292" s="63" t="str">
        <f>IFERROR(VLOOKUP(B1292,منتجات!$A$3:$C$350,2,0),"")</f>
        <v/>
      </c>
      <c r="D1292" s="63" t="str">
        <f>IFERROR(VLOOKUP(B1292,منتجات!$A$3:$C$350,3,0),"")</f>
        <v/>
      </c>
      <c r="E1292" s="63"/>
      <c r="F1292" s="63" t="str">
        <f>IFERROR(INDEX(منتجات!$G$3:$G$350,MATCH(B1292,منتجات!$A$3:$A$115,0)),"")</f>
        <v/>
      </c>
      <c r="G1292" s="63" t="str">
        <f t="shared" si="22"/>
        <v/>
      </c>
      <c r="H1292" s="69"/>
    </row>
    <row r="1293" spans="1:8" x14ac:dyDescent="0.35">
      <c r="A1293" s="64"/>
      <c r="B1293" s="65"/>
      <c r="C1293" s="65" t="str">
        <f>IFERROR(VLOOKUP(B1293,منتجات!$A$3:$C$350,2,0),"")</f>
        <v/>
      </c>
      <c r="D1293" s="65" t="str">
        <f>IFERROR(VLOOKUP(B1293,منتجات!$A$3:$C$350,3,0),"")</f>
        <v/>
      </c>
      <c r="E1293" s="65"/>
      <c r="F1293" s="65" t="str">
        <f>IFERROR(INDEX(منتجات!$G$3:$G$350,MATCH(B1293,منتجات!$A$3:$A$115,0)),"")</f>
        <v/>
      </c>
      <c r="G1293" s="65" t="str">
        <f t="shared" si="22"/>
        <v/>
      </c>
      <c r="H1293" s="70"/>
    </row>
    <row r="1294" spans="1:8" x14ac:dyDescent="0.35">
      <c r="A1294" s="62"/>
      <c r="B1294" s="63"/>
      <c r="C1294" s="63" t="str">
        <f>IFERROR(VLOOKUP(B1294,منتجات!$A$3:$C$350,2,0),"")</f>
        <v/>
      </c>
      <c r="D1294" s="63" t="str">
        <f>IFERROR(VLOOKUP(B1294,منتجات!$A$3:$C$350,3,0),"")</f>
        <v/>
      </c>
      <c r="E1294" s="63"/>
      <c r="F1294" s="63" t="str">
        <f>IFERROR(INDEX(منتجات!$G$3:$G$350,MATCH(B1294,منتجات!$A$3:$A$115,0)),"")</f>
        <v/>
      </c>
      <c r="G1294" s="63" t="str">
        <f t="shared" si="22"/>
        <v/>
      </c>
      <c r="H1294" s="69"/>
    </row>
    <row r="1295" spans="1:8" x14ac:dyDescent="0.35">
      <c r="A1295" s="64"/>
      <c r="B1295" s="65"/>
      <c r="C1295" s="65" t="str">
        <f>IFERROR(VLOOKUP(B1295,منتجات!$A$3:$C$350,2,0),"")</f>
        <v/>
      </c>
      <c r="D1295" s="65" t="str">
        <f>IFERROR(VLOOKUP(B1295,منتجات!$A$3:$C$350,3,0),"")</f>
        <v/>
      </c>
      <c r="E1295" s="65"/>
      <c r="F1295" s="65" t="str">
        <f>IFERROR(INDEX(منتجات!$G$3:$G$350,MATCH(B1295,منتجات!$A$3:$A$115,0)),"")</f>
        <v/>
      </c>
      <c r="G1295" s="65" t="str">
        <f t="shared" si="22"/>
        <v/>
      </c>
      <c r="H1295" s="70"/>
    </row>
    <row r="1296" spans="1:8" x14ac:dyDescent="0.35">
      <c r="A1296" s="62"/>
      <c r="B1296" s="63"/>
      <c r="C1296" s="63" t="str">
        <f>IFERROR(VLOOKUP(B1296,منتجات!$A$3:$C$350,2,0),"")</f>
        <v/>
      </c>
      <c r="D1296" s="63" t="str">
        <f>IFERROR(VLOOKUP(B1296,منتجات!$A$3:$C$350,3,0),"")</f>
        <v/>
      </c>
      <c r="E1296" s="63"/>
      <c r="F1296" s="63" t="str">
        <f>IFERROR(INDEX(منتجات!$G$3:$G$350,MATCH(B1296,منتجات!$A$3:$A$115,0)),"")</f>
        <v/>
      </c>
      <c r="G1296" s="63" t="str">
        <f t="shared" si="22"/>
        <v/>
      </c>
      <c r="H1296" s="69"/>
    </row>
    <row r="1297" spans="1:8" x14ac:dyDescent="0.35">
      <c r="A1297" s="64"/>
      <c r="B1297" s="65"/>
      <c r="C1297" s="65" t="str">
        <f>IFERROR(VLOOKUP(B1297,منتجات!$A$3:$C$350,2,0),"")</f>
        <v/>
      </c>
      <c r="D1297" s="65" t="str">
        <f>IFERROR(VLOOKUP(B1297,منتجات!$A$3:$C$350,3,0),"")</f>
        <v/>
      </c>
      <c r="E1297" s="65"/>
      <c r="F1297" s="65" t="str">
        <f>IFERROR(INDEX(منتجات!$G$3:$G$350,MATCH(B1297,منتجات!$A$3:$A$115,0)),"")</f>
        <v/>
      </c>
      <c r="G1297" s="65" t="str">
        <f t="shared" si="22"/>
        <v/>
      </c>
      <c r="H1297" s="70"/>
    </row>
    <row r="1298" spans="1:8" x14ac:dyDescent="0.35">
      <c r="A1298" s="62"/>
      <c r="B1298" s="63"/>
      <c r="C1298" s="63" t="str">
        <f>IFERROR(VLOOKUP(B1298,منتجات!$A$3:$C$350,2,0),"")</f>
        <v/>
      </c>
      <c r="D1298" s="63" t="str">
        <f>IFERROR(VLOOKUP(B1298,منتجات!$A$3:$C$350,3,0),"")</f>
        <v/>
      </c>
      <c r="E1298" s="63"/>
      <c r="F1298" s="63" t="str">
        <f>IFERROR(INDEX(منتجات!$G$3:$G$350,MATCH(B1298,منتجات!$A$3:$A$115,0)),"")</f>
        <v/>
      </c>
      <c r="G1298" s="63" t="str">
        <f t="shared" si="22"/>
        <v/>
      </c>
      <c r="H1298" s="69"/>
    </row>
    <row r="1299" spans="1:8" x14ac:dyDescent="0.35">
      <c r="A1299" s="64"/>
      <c r="B1299" s="65"/>
      <c r="C1299" s="65" t="str">
        <f>IFERROR(VLOOKUP(B1299,منتجات!$A$3:$C$350,2,0),"")</f>
        <v/>
      </c>
      <c r="D1299" s="65" t="str">
        <f>IFERROR(VLOOKUP(B1299,منتجات!$A$3:$C$350,3,0),"")</f>
        <v/>
      </c>
      <c r="E1299" s="65"/>
      <c r="F1299" s="65" t="str">
        <f>IFERROR(INDEX(منتجات!$G$3:$G$350,MATCH(B1299,منتجات!$A$3:$A$115,0)),"")</f>
        <v/>
      </c>
      <c r="G1299" s="65" t="str">
        <f t="shared" si="22"/>
        <v/>
      </c>
      <c r="H1299" s="70"/>
    </row>
    <row r="1300" spans="1:8" x14ac:dyDescent="0.35">
      <c r="A1300" s="62"/>
      <c r="B1300" s="63"/>
      <c r="C1300" s="63" t="str">
        <f>IFERROR(VLOOKUP(B1300,منتجات!$A$3:$C$350,2,0),"")</f>
        <v/>
      </c>
      <c r="D1300" s="63" t="str">
        <f>IFERROR(VLOOKUP(B1300,منتجات!$A$3:$C$350,3,0),"")</f>
        <v/>
      </c>
      <c r="E1300" s="63"/>
      <c r="F1300" s="63" t="str">
        <f>IFERROR(INDEX(منتجات!$G$3:$G$350,MATCH(B1300,منتجات!$A$3:$A$115,0)),"")</f>
        <v/>
      </c>
      <c r="G1300" s="63" t="str">
        <f t="shared" si="22"/>
        <v/>
      </c>
      <c r="H1300" s="69"/>
    </row>
    <row r="1301" spans="1:8" x14ac:dyDescent="0.35">
      <c r="A1301" s="64"/>
      <c r="B1301" s="65"/>
      <c r="C1301" s="65" t="str">
        <f>IFERROR(VLOOKUP(B1301,منتجات!$A$3:$C$350,2,0),"")</f>
        <v/>
      </c>
      <c r="D1301" s="65" t="str">
        <f>IFERROR(VLOOKUP(B1301,منتجات!$A$3:$C$350,3,0),"")</f>
        <v/>
      </c>
      <c r="E1301" s="65"/>
      <c r="F1301" s="65" t="str">
        <f>IFERROR(INDEX(منتجات!$G$3:$G$350,MATCH(B1301,منتجات!$A$3:$A$115,0)),"")</f>
        <v/>
      </c>
      <c r="G1301" s="65" t="str">
        <f t="shared" si="22"/>
        <v/>
      </c>
      <c r="H1301" s="70"/>
    </row>
    <row r="1302" spans="1:8" x14ac:dyDescent="0.35">
      <c r="A1302" s="62"/>
      <c r="B1302" s="63"/>
      <c r="C1302" s="63" t="str">
        <f>IFERROR(VLOOKUP(B1302,منتجات!$A$3:$C$350,2,0),"")</f>
        <v/>
      </c>
      <c r="D1302" s="63" t="str">
        <f>IFERROR(VLOOKUP(B1302,منتجات!$A$3:$C$350,3,0),"")</f>
        <v/>
      </c>
      <c r="E1302" s="63"/>
      <c r="F1302" s="63" t="str">
        <f>IFERROR(INDEX(منتجات!$G$3:$G$350,MATCH(B1302,منتجات!$A$3:$A$115,0)),"")</f>
        <v/>
      </c>
      <c r="G1302" s="63" t="str">
        <f t="shared" si="22"/>
        <v/>
      </c>
      <c r="H1302" s="69"/>
    </row>
    <row r="1303" spans="1:8" x14ac:dyDescent="0.35">
      <c r="A1303" s="64"/>
      <c r="B1303" s="65"/>
      <c r="C1303" s="65" t="str">
        <f>IFERROR(VLOOKUP(B1303,منتجات!$A$3:$C$350,2,0),"")</f>
        <v/>
      </c>
      <c r="D1303" s="65" t="str">
        <f>IFERROR(VLOOKUP(B1303,منتجات!$A$3:$C$350,3,0),"")</f>
        <v/>
      </c>
      <c r="E1303" s="65"/>
      <c r="F1303" s="65" t="str">
        <f>IFERROR(INDEX(منتجات!$G$3:$G$350,MATCH(B1303,منتجات!$A$3:$A$115,0)),"")</f>
        <v/>
      </c>
      <c r="G1303" s="65" t="str">
        <f t="shared" si="22"/>
        <v/>
      </c>
      <c r="H1303" s="70"/>
    </row>
    <row r="1304" spans="1:8" x14ac:dyDescent="0.35">
      <c r="A1304" s="62"/>
      <c r="B1304" s="63"/>
      <c r="C1304" s="63" t="str">
        <f>IFERROR(VLOOKUP(B1304,منتجات!$A$3:$C$350,2,0),"")</f>
        <v/>
      </c>
      <c r="D1304" s="63" t="str">
        <f>IFERROR(VLOOKUP(B1304,منتجات!$A$3:$C$350,3,0),"")</f>
        <v/>
      </c>
      <c r="E1304" s="63"/>
      <c r="F1304" s="63" t="str">
        <f>IFERROR(INDEX(منتجات!$G$3:$G$350,MATCH(B1304,منتجات!$A$3:$A$115,0)),"")</f>
        <v/>
      </c>
      <c r="G1304" s="63" t="str">
        <f t="shared" si="22"/>
        <v/>
      </c>
      <c r="H1304" s="69"/>
    </row>
    <row r="1305" spans="1:8" x14ac:dyDescent="0.35">
      <c r="A1305" s="64"/>
      <c r="B1305" s="65"/>
      <c r="C1305" s="65" t="str">
        <f>IFERROR(VLOOKUP(B1305,منتجات!$A$3:$C$350,2,0),"")</f>
        <v/>
      </c>
      <c r="D1305" s="65" t="str">
        <f>IFERROR(VLOOKUP(B1305,منتجات!$A$3:$C$350,3,0),"")</f>
        <v/>
      </c>
      <c r="E1305" s="65"/>
      <c r="F1305" s="65" t="str">
        <f>IFERROR(INDEX(منتجات!$G$3:$G$350,MATCH(B1305,منتجات!$A$3:$A$115,0)),"")</f>
        <v/>
      </c>
      <c r="G1305" s="65" t="str">
        <f t="shared" si="22"/>
        <v/>
      </c>
      <c r="H1305" s="70"/>
    </row>
    <row r="1306" spans="1:8" x14ac:dyDescent="0.35">
      <c r="A1306" s="62"/>
      <c r="B1306" s="63"/>
      <c r="C1306" s="63" t="str">
        <f>IFERROR(VLOOKUP(B1306,منتجات!$A$3:$C$350,2,0),"")</f>
        <v/>
      </c>
      <c r="D1306" s="63" t="str">
        <f>IFERROR(VLOOKUP(B1306,منتجات!$A$3:$C$350,3,0),"")</f>
        <v/>
      </c>
      <c r="E1306" s="63"/>
      <c r="F1306" s="63" t="str">
        <f>IFERROR(INDEX(منتجات!$G$3:$G$350,MATCH(B1306,منتجات!$A$3:$A$115,0)),"")</f>
        <v/>
      </c>
      <c r="G1306" s="63" t="str">
        <f t="shared" si="22"/>
        <v/>
      </c>
      <c r="H1306" s="69"/>
    </row>
    <row r="1307" spans="1:8" x14ac:dyDescent="0.35">
      <c r="A1307" s="64"/>
      <c r="B1307" s="65"/>
      <c r="C1307" s="65" t="str">
        <f>IFERROR(VLOOKUP(B1307,منتجات!$A$3:$C$350,2,0),"")</f>
        <v/>
      </c>
      <c r="D1307" s="65" t="str">
        <f>IFERROR(VLOOKUP(B1307,منتجات!$A$3:$C$350,3,0),"")</f>
        <v/>
      </c>
      <c r="E1307" s="65"/>
      <c r="F1307" s="65" t="str">
        <f>IFERROR(INDEX(منتجات!$G$3:$G$350,MATCH(B1307,منتجات!$A$3:$A$115,0)),"")</f>
        <v/>
      </c>
      <c r="G1307" s="65" t="str">
        <f t="shared" si="22"/>
        <v/>
      </c>
      <c r="H1307" s="70"/>
    </row>
    <row r="1308" spans="1:8" x14ac:dyDescent="0.35">
      <c r="A1308" s="62"/>
      <c r="B1308" s="63"/>
      <c r="C1308" s="63" t="str">
        <f>IFERROR(VLOOKUP(B1308,منتجات!$A$3:$C$350,2,0),"")</f>
        <v/>
      </c>
      <c r="D1308" s="63" t="str">
        <f>IFERROR(VLOOKUP(B1308,منتجات!$A$3:$C$350,3,0),"")</f>
        <v/>
      </c>
      <c r="E1308" s="63"/>
      <c r="F1308" s="63" t="str">
        <f>IFERROR(INDEX(منتجات!$G$3:$G$350,MATCH(B1308,منتجات!$A$3:$A$115,0)),"")</f>
        <v/>
      </c>
      <c r="G1308" s="63" t="str">
        <f t="shared" si="22"/>
        <v/>
      </c>
      <c r="H1308" s="69"/>
    </row>
    <row r="1309" spans="1:8" x14ac:dyDescent="0.35">
      <c r="A1309" s="64"/>
      <c r="B1309" s="65"/>
      <c r="C1309" s="65" t="str">
        <f>IFERROR(VLOOKUP(B1309,منتجات!$A$3:$C$350,2,0),"")</f>
        <v/>
      </c>
      <c r="D1309" s="65" t="str">
        <f>IFERROR(VLOOKUP(B1309,منتجات!$A$3:$C$350,3,0),"")</f>
        <v/>
      </c>
      <c r="E1309" s="65"/>
      <c r="F1309" s="65" t="str">
        <f>IFERROR(INDEX(منتجات!$G$3:$G$350,MATCH(B1309,منتجات!$A$3:$A$115,0)),"")</f>
        <v/>
      </c>
      <c r="G1309" s="65" t="str">
        <f t="shared" si="22"/>
        <v/>
      </c>
      <c r="H1309" s="70"/>
    </row>
    <row r="1310" spans="1:8" x14ac:dyDescent="0.35">
      <c r="A1310" s="62"/>
      <c r="B1310" s="63"/>
      <c r="C1310" s="63" t="str">
        <f>IFERROR(VLOOKUP(B1310,منتجات!$A$3:$C$350,2,0),"")</f>
        <v/>
      </c>
      <c r="D1310" s="63" t="str">
        <f>IFERROR(VLOOKUP(B1310,منتجات!$A$3:$C$350,3,0),"")</f>
        <v/>
      </c>
      <c r="E1310" s="63"/>
      <c r="F1310" s="63" t="str">
        <f>IFERROR(INDEX(منتجات!$G$3:$G$350,MATCH(B1310,منتجات!$A$3:$A$115,0)),"")</f>
        <v/>
      </c>
      <c r="G1310" s="63" t="str">
        <f t="shared" si="22"/>
        <v/>
      </c>
      <c r="H1310" s="69"/>
    </row>
    <row r="1311" spans="1:8" x14ac:dyDescent="0.35">
      <c r="A1311" s="64"/>
      <c r="B1311" s="65"/>
      <c r="C1311" s="65" t="str">
        <f>IFERROR(VLOOKUP(B1311,منتجات!$A$3:$C$350,2,0),"")</f>
        <v/>
      </c>
      <c r="D1311" s="65" t="str">
        <f>IFERROR(VLOOKUP(B1311,منتجات!$A$3:$C$350,3,0),"")</f>
        <v/>
      </c>
      <c r="E1311" s="65"/>
      <c r="F1311" s="65" t="str">
        <f>IFERROR(INDEX(منتجات!$G$3:$G$350,MATCH(B1311,منتجات!$A$3:$A$115,0)),"")</f>
        <v/>
      </c>
      <c r="G1311" s="65" t="str">
        <f t="shared" si="22"/>
        <v/>
      </c>
      <c r="H1311" s="70"/>
    </row>
    <row r="1312" spans="1:8" x14ac:dyDescent="0.35">
      <c r="A1312" s="62"/>
      <c r="B1312" s="63"/>
      <c r="C1312" s="63" t="str">
        <f>IFERROR(VLOOKUP(B1312,منتجات!$A$3:$C$350,2,0),"")</f>
        <v/>
      </c>
      <c r="D1312" s="63" t="str">
        <f>IFERROR(VLOOKUP(B1312,منتجات!$A$3:$C$350,3,0),"")</f>
        <v/>
      </c>
      <c r="E1312" s="63"/>
      <c r="F1312" s="63" t="str">
        <f>IFERROR(INDEX(منتجات!$G$3:$G$350,MATCH(B1312,منتجات!$A$3:$A$115,0)),"")</f>
        <v/>
      </c>
      <c r="G1312" s="63" t="str">
        <f t="shared" si="22"/>
        <v/>
      </c>
      <c r="H1312" s="69"/>
    </row>
    <row r="1313" spans="1:8" x14ac:dyDescent="0.35">
      <c r="A1313" s="64"/>
      <c r="B1313" s="65"/>
      <c r="C1313" s="65" t="str">
        <f>IFERROR(VLOOKUP(B1313,منتجات!$A$3:$C$350,2,0),"")</f>
        <v/>
      </c>
      <c r="D1313" s="65" t="str">
        <f>IFERROR(VLOOKUP(B1313,منتجات!$A$3:$C$350,3,0),"")</f>
        <v/>
      </c>
      <c r="E1313" s="65"/>
      <c r="F1313" s="65" t="str">
        <f>IFERROR(INDEX(منتجات!$G$3:$G$350,MATCH(B1313,منتجات!$A$3:$A$115,0)),"")</f>
        <v/>
      </c>
      <c r="G1313" s="65" t="str">
        <f t="shared" si="22"/>
        <v/>
      </c>
      <c r="H1313" s="70"/>
    </row>
    <row r="1314" spans="1:8" x14ac:dyDescent="0.35">
      <c r="A1314" s="62"/>
      <c r="B1314" s="63"/>
      <c r="C1314" s="63" t="str">
        <f>IFERROR(VLOOKUP(B1314,منتجات!$A$3:$C$350,2,0),"")</f>
        <v/>
      </c>
      <c r="D1314" s="63" t="str">
        <f>IFERROR(VLOOKUP(B1314,منتجات!$A$3:$C$350,3,0),"")</f>
        <v/>
      </c>
      <c r="E1314" s="63"/>
      <c r="F1314" s="63" t="str">
        <f>IFERROR(INDEX(منتجات!$G$3:$G$350,MATCH(B1314,منتجات!$A$3:$A$115,0)),"")</f>
        <v/>
      </c>
      <c r="G1314" s="63" t="str">
        <f t="shared" si="22"/>
        <v/>
      </c>
      <c r="H1314" s="69"/>
    </row>
    <row r="1315" spans="1:8" x14ac:dyDescent="0.35">
      <c r="A1315" s="64"/>
      <c r="B1315" s="65"/>
      <c r="C1315" s="65" t="str">
        <f>IFERROR(VLOOKUP(B1315,منتجات!$A$3:$C$350,2,0),"")</f>
        <v/>
      </c>
      <c r="D1315" s="65" t="str">
        <f>IFERROR(VLOOKUP(B1315,منتجات!$A$3:$C$350,3,0),"")</f>
        <v/>
      </c>
      <c r="E1315" s="65"/>
      <c r="F1315" s="65" t="str">
        <f>IFERROR(INDEX(منتجات!$G$3:$G$350,MATCH(B1315,منتجات!$A$3:$A$115,0)),"")</f>
        <v/>
      </c>
      <c r="G1315" s="65" t="str">
        <f t="shared" si="22"/>
        <v/>
      </c>
      <c r="H1315" s="70"/>
    </row>
    <row r="1316" spans="1:8" x14ac:dyDescent="0.35">
      <c r="A1316" s="62"/>
      <c r="B1316" s="63"/>
      <c r="C1316" s="63" t="str">
        <f>IFERROR(VLOOKUP(B1316,منتجات!$A$3:$C$350,2,0),"")</f>
        <v/>
      </c>
      <c r="D1316" s="63" t="str">
        <f>IFERROR(VLOOKUP(B1316,منتجات!$A$3:$C$350,3,0),"")</f>
        <v/>
      </c>
      <c r="E1316" s="63"/>
      <c r="F1316" s="63" t="str">
        <f>IFERROR(INDEX(منتجات!$G$3:$G$350,MATCH(B1316,منتجات!$A$3:$A$115,0)),"")</f>
        <v/>
      </c>
      <c r="G1316" s="63" t="str">
        <f t="shared" si="22"/>
        <v/>
      </c>
      <c r="H1316" s="69"/>
    </row>
    <row r="1317" spans="1:8" x14ac:dyDescent="0.35">
      <c r="A1317" s="64"/>
      <c r="B1317" s="65"/>
      <c r="C1317" s="65" t="str">
        <f>IFERROR(VLOOKUP(B1317,منتجات!$A$3:$C$350,2,0),"")</f>
        <v/>
      </c>
      <c r="D1317" s="65" t="str">
        <f>IFERROR(VLOOKUP(B1317,منتجات!$A$3:$C$350,3,0),"")</f>
        <v/>
      </c>
      <c r="E1317" s="65"/>
      <c r="F1317" s="65" t="str">
        <f>IFERROR(INDEX(منتجات!$G$3:$G$350,MATCH(B1317,منتجات!$A$3:$A$115,0)),"")</f>
        <v/>
      </c>
      <c r="G1317" s="65" t="str">
        <f t="shared" si="22"/>
        <v/>
      </c>
      <c r="H1317" s="70"/>
    </row>
    <row r="1318" spans="1:8" x14ac:dyDescent="0.35">
      <c r="A1318" s="62"/>
      <c r="B1318" s="63"/>
      <c r="C1318" s="63" t="str">
        <f>IFERROR(VLOOKUP(B1318,منتجات!$A$3:$C$350,2,0),"")</f>
        <v/>
      </c>
      <c r="D1318" s="63" t="str">
        <f>IFERROR(VLOOKUP(B1318,منتجات!$A$3:$C$350,3,0),"")</f>
        <v/>
      </c>
      <c r="E1318" s="63"/>
      <c r="F1318" s="63" t="str">
        <f>IFERROR(INDEX(منتجات!$G$3:$G$350,MATCH(B1318,منتجات!$A$3:$A$115,0)),"")</f>
        <v/>
      </c>
      <c r="G1318" s="63" t="str">
        <f t="shared" si="22"/>
        <v/>
      </c>
      <c r="H1318" s="69"/>
    </row>
    <row r="1319" spans="1:8" x14ac:dyDescent="0.35">
      <c r="A1319" s="64"/>
      <c r="B1319" s="65"/>
      <c r="C1319" s="65" t="str">
        <f>IFERROR(VLOOKUP(B1319,منتجات!$A$3:$C$350,2,0),"")</f>
        <v/>
      </c>
      <c r="D1319" s="65" t="str">
        <f>IFERROR(VLOOKUP(B1319,منتجات!$A$3:$C$350,3,0),"")</f>
        <v/>
      </c>
      <c r="E1319" s="65"/>
      <c r="F1319" s="65" t="str">
        <f>IFERROR(INDEX(منتجات!$G$3:$G$350,MATCH(B1319,منتجات!$A$3:$A$115,0)),"")</f>
        <v/>
      </c>
      <c r="G1319" s="65" t="str">
        <f t="shared" si="22"/>
        <v/>
      </c>
      <c r="H1319" s="70"/>
    </row>
    <row r="1320" spans="1:8" x14ac:dyDescent="0.35">
      <c r="A1320" s="62"/>
      <c r="B1320" s="63"/>
      <c r="C1320" s="63" t="str">
        <f>IFERROR(VLOOKUP(B1320,منتجات!$A$3:$C$350,2,0),"")</f>
        <v/>
      </c>
      <c r="D1320" s="63" t="str">
        <f>IFERROR(VLOOKUP(B1320,منتجات!$A$3:$C$350,3,0),"")</f>
        <v/>
      </c>
      <c r="E1320" s="63"/>
      <c r="F1320" s="63" t="str">
        <f>IFERROR(INDEX(منتجات!$G$3:$G$350,MATCH(B1320,منتجات!$A$3:$A$115,0)),"")</f>
        <v/>
      </c>
      <c r="G1320" s="63" t="str">
        <f t="shared" si="22"/>
        <v/>
      </c>
      <c r="H1320" s="69"/>
    </row>
    <row r="1321" spans="1:8" x14ac:dyDescent="0.35">
      <c r="A1321" s="64"/>
      <c r="B1321" s="65"/>
      <c r="C1321" s="65" t="str">
        <f>IFERROR(VLOOKUP(B1321,منتجات!$A$3:$C$350,2,0),"")</f>
        <v/>
      </c>
      <c r="D1321" s="65" t="str">
        <f>IFERROR(VLOOKUP(B1321,منتجات!$A$3:$C$350,3,0),"")</f>
        <v/>
      </c>
      <c r="E1321" s="65"/>
      <c r="F1321" s="65" t="str">
        <f>IFERROR(INDEX(منتجات!$G$3:$G$350,MATCH(B1321,منتجات!$A$3:$A$115,0)),"")</f>
        <v/>
      </c>
      <c r="G1321" s="65" t="str">
        <f t="shared" si="22"/>
        <v/>
      </c>
      <c r="H1321" s="70"/>
    </row>
    <row r="1322" spans="1:8" x14ac:dyDescent="0.35">
      <c r="A1322" s="62"/>
      <c r="B1322" s="63"/>
      <c r="C1322" s="63" t="str">
        <f>IFERROR(VLOOKUP(B1322,منتجات!$A$3:$C$350,2,0),"")</f>
        <v/>
      </c>
      <c r="D1322" s="63" t="str">
        <f>IFERROR(VLOOKUP(B1322,منتجات!$A$3:$C$350,3,0),"")</f>
        <v/>
      </c>
      <c r="E1322" s="63"/>
      <c r="F1322" s="63" t="str">
        <f>IFERROR(INDEX(منتجات!$G$3:$G$350,MATCH(B1322,منتجات!$A$3:$A$115,0)),"")</f>
        <v/>
      </c>
      <c r="G1322" s="63" t="str">
        <f t="shared" si="22"/>
        <v/>
      </c>
      <c r="H1322" s="69"/>
    </row>
    <row r="1323" spans="1:8" x14ac:dyDescent="0.35">
      <c r="A1323" s="64"/>
      <c r="B1323" s="65"/>
      <c r="C1323" s="65" t="str">
        <f>IFERROR(VLOOKUP(B1323,منتجات!$A$3:$C$350,2,0),"")</f>
        <v/>
      </c>
      <c r="D1323" s="65" t="str">
        <f>IFERROR(VLOOKUP(B1323,منتجات!$A$3:$C$350,3,0),"")</f>
        <v/>
      </c>
      <c r="E1323" s="65"/>
      <c r="F1323" s="65" t="str">
        <f>IFERROR(INDEX(منتجات!$G$3:$G$350,MATCH(B1323,منتجات!$A$3:$A$115,0)),"")</f>
        <v/>
      </c>
      <c r="G1323" s="65" t="str">
        <f t="shared" si="22"/>
        <v/>
      </c>
      <c r="H1323" s="70"/>
    </row>
    <row r="1324" spans="1:8" x14ac:dyDescent="0.35">
      <c r="A1324" s="62"/>
      <c r="B1324" s="63"/>
      <c r="C1324" s="63" t="str">
        <f>IFERROR(VLOOKUP(B1324,منتجات!$A$3:$C$350,2,0),"")</f>
        <v/>
      </c>
      <c r="D1324" s="63" t="str">
        <f>IFERROR(VLOOKUP(B1324,منتجات!$A$3:$C$350,3,0),"")</f>
        <v/>
      </c>
      <c r="E1324" s="63"/>
      <c r="F1324" s="63" t="str">
        <f>IFERROR(INDEX(منتجات!$G$3:$G$350,MATCH(B1324,منتجات!$A$3:$A$115,0)),"")</f>
        <v/>
      </c>
      <c r="G1324" s="63" t="str">
        <f t="shared" si="22"/>
        <v/>
      </c>
      <c r="H1324" s="69"/>
    </row>
    <row r="1325" spans="1:8" x14ac:dyDescent="0.35">
      <c r="A1325" s="64"/>
      <c r="B1325" s="65"/>
      <c r="C1325" s="65" t="str">
        <f>IFERROR(VLOOKUP(B1325,منتجات!$A$3:$C$350,2,0),"")</f>
        <v/>
      </c>
      <c r="D1325" s="65" t="str">
        <f>IFERROR(VLOOKUP(B1325,منتجات!$A$3:$C$350,3,0),"")</f>
        <v/>
      </c>
      <c r="E1325" s="65"/>
      <c r="F1325" s="65" t="str">
        <f>IFERROR(INDEX(منتجات!$G$3:$G$350,MATCH(B1325,منتجات!$A$3:$A$115,0)),"")</f>
        <v/>
      </c>
      <c r="G1325" s="65" t="str">
        <f t="shared" si="22"/>
        <v/>
      </c>
      <c r="H1325" s="70"/>
    </row>
    <row r="1326" spans="1:8" x14ac:dyDescent="0.35">
      <c r="A1326" s="62"/>
      <c r="B1326" s="63"/>
      <c r="C1326" s="63" t="str">
        <f>IFERROR(VLOOKUP(B1326,منتجات!$A$3:$C$350,2,0),"")</f>
        <v/>
      </c>
      <c r="D1326" s="63" t="str">
        <f>IFERROR(VLOOKUP(B1326,منتجات!$A$3:$C$350,3,0),"")</f>
        <v/>
      </c>
      <c r="E1326" s="63"/>
      <c r="F1326" s="63" t="str">
        <f>IFERROR(INDEX(منتجات!$G$3:$G$350,MATCH(B1326,منتجات!$A$3:$A$115,0)),"")</f>
        <v/>
      </c>
      <c r="G1326" s="63" t="str">
        <f t="shared" si="22"/>
        <v/>
      </c>
      <c r="H1326" s="69"/>
    </row>
    <row r="1327" spans="1:8" x14ac:dyDescent="0.35">
      <c r="A1327" s="64"/>
      <c r="B1327" s="65"/>
      <c r="C1327" s="65" t="str">
        <f>IFERROR(VLOOKUP(B1327,منتجات!$A$3:$C$350,2,0),"")</f>
        <v/>
      </c>
      <c r="D1327" s="65" t="str">
        <f>IFERROR(VLOOKUP(B1327,منتجات!$A$3:$C$350,3,0),"")</f>
        <v/>
      </c>
      <c r="E1327" s="65"/>
      <c r="F1327" s="65" t="str">
        <f>IFERROR(INDEX(منتجات!$G$3:$G$350,MATCH(B1327,منتجات!$A$3:$A$115,0)),"")</f>
        <v/>
      </c>
      <c r="G1327" s="65" t="str">
        <f t="shared" si="22"/>
        <v/>
      </c>
      <c r="H1327" s="70"/>
    </row>
    <row r="1328" spans="1:8" x14ac:dyDescent="0.35">
      <c r="A1328" s="62"/>
      <c r="B1328" s="63"/>
      <c r="C1328" s="63" t="str">
        <f>IFERROR(VLOOKUP(B1328,منتجات!$A$3:$C$350,2,0),"")</f>
        <v/>
      </c>
      <c r="D1328" s="63" t="str">
        <f>IFERROR(VLOOKUP(B1328,منتجات!$A$3:$C$350,3,0),"")</f>
        <v/>
      </c>
      <c r="E1328" s="63"/>
      <c r="F1328" s="63" t="str">
        <f>IFERROR(INDEX(منتجات!$G$3:$G$350,MATCH(B1328,منتجات!$A$3:$A$115,0)),"")</f>
        <v/>
      </c>
      <c r="G1328" s="63" t="str">
        <f t="shared" si="22"/>
        <v/>
      </c>
      <c r="H1328" s="69"/>
    </row>
    <row r="1329" spans="1:8" x14ac:dyDescent="0.35">
      <c r="A1329" s="64"/>
      <c r="B1329" s="65"/>
      <c r="C1329" s="65" t="str">
        <f>IFERROR(VLOOKUP(B1329,منتجات!$A$3:$C$350,2,0),"")</f>
        <v/>
      </c>
      <c r="D1329" s="65" t="str">
        <f>IFERROR(VLOOKUP(B1329,منتجات!$A$3:$C$350,3,0),"")</f>
        <v/>
      </c>
      <c r="E1329" s="65"/>
      <c r="F1329" s="65" t="str">
        <f>IFERROR(INDEX(منتجات!$G$3:$G$350,MATCH(B1329,منتجات!$A$3:$A$115,0)),"")</f>
        <v/>
      </c>
      <c r="G1329" s="65" t="str">
        <f t="shared" si="22"/>
        <v/>
      </c>
      <c r="H1329" s="70"/>
    </row>
    <row r="1330" spans="1:8" x14ac:dyDescent="0.35">
      <c r="A1330" s="62"/>
      <c r="B1330" s="63"/>
      <c r="C1330" s="63" t="str">
        <f>IFERROR(VLOOKUP(B1330,منتجات!$A$3:$C$350,2,0),"")</f>
        <v/>
      </c>
      <c r="D1330" s="63" t="str">
        <f>IFERROR(VLOOKUP(B1330,منتجات!$A$3:$C$350,3,0),"")</f>
        <v/>
      </c>
      <c r="E1330" s="63"/>
      <c r="F1330" s="63" t="str">
        <f>IFERROR(INDEX(منتجات!$G$3:$G$350,MATCH(B1330,منتجات!$A$3:$A$115,0)),"")</f>
        <v/>
      </c>
      <c r="G1330" s="63" t="str">
        <f t="shared" si="22"/>
        <v/>
      </c>
      <c r="H1330" s="69"/>
    </row>
    <row r="1331" spans="1:8" x14ac:dyDescent="0.35">
      <c r="A1331" s="64"/>
      <c r="B1331" s="65"/>
      <c r="C1331" s="65" t="str">
        <f>IFERROR(VLOOKUP(B1331,منتجات!$A$3:$C$350,2,0),"")</f>
        <v/>
      </c>
      <c r="D1331" s="65" t="str">
        <f>IFERROR(VLOOKUP(B1331,منتجات!$A$3:$C$350,3,0),"")</f>
        <v/>
      </c>
      <c r="E1331" s="65"/>
      <c r="F1331" s="65" t="str">
        <f>IFERROR(INDEX(منتجات!$G$3:$G$350,MATCH(B1331,منتجات!$A$3:$A$115,0)),"")</f>
        <v/>
      </c>
      <c r="G1331" s="65" t="str">
        <f t="shared" si="22"/>
        <v/>
      </c>
      <c r="H1331" s="70"/>
    </row>
    <row r="1332" spans="1:8" x14ac:dyDescent="0.35">
      <c r="A1332" s="62"/>
      <c r="B1332" s="63"/>
      <c r="C1332" s="63" t="str">
        <f>IFERROR(VLOOKUP(B1332,منتجات!$A$3:$C$350,2,0),"")</f>
        <v/>
      </c>
      <c r="D1332" s="63" t="str">
        <f>IFERROR(VLOOKUP(B1332,منتجات!$A$3:$C$350,3,0),"")</f>
        <v/>
      </c>
      <c r="E1332" s="63"/>
      <c r="F1332" s="63" t="str">
        <f>IFERROR(INDEX(منتجات!$G$3:$G$350,MATCH(B1332,منتجات!$A$3:$A$115,0)),"")</f>
        <v/>
      </c>
      <c r="G1332" s="63" t="str">
        <f t="shared" si="22"/>
        <v/>
      </c>
      <c r="H1332" s="69"/>
    </row>
    <row r="1333" spans="1:8" x14ac:dyDescent="0.35">
      <c r="A1333" s="64"/>
      <c r="B1333" s="65"/>
      <c r="C1333" s="65" t="str">
        <f>IFERROR(VLOOKUP(B1333,منتجات!$A$3:$C$350,2,0),"")</f>
        <v/>
      </c>
      <c r="D1333" s="65" t="str">
        <f>IFERROR(VLOOKUP(B1333,منتجات!$A$3:$C$350,3,0),"")</f>
        <v/>
      </c>
      <c r="E1333" s="65"/>
      <c r="F1333" s="65" t="str">
        <f>IFERROR(INDEX(منتجات!$G$3:$G$350,MATCH(B1333,منتجات!$A$3:$A$115,0)),"")</f>
        <v/>
      </c>
      <c r="G1333" s="65" t="str">
        <f t="shared" si="22"/>
        <v/>
      </c>
      <c r="H1333" s="70"/>
    </row>
    <row r="1334" spans="1:8" x14ac:dyDescent="0.35">
      <c r="A1334" s="62"/>
      <c r="B1334" s="63"/>
      <c r="C1334" s="63" t="str">
        <f>IFERROR(VLOOKUP(B1334,منتجات!$A$3:$C$350,2,0),"")</f>
        <v/>
      </c>
      <c r="D1334" s="63" t="str">
        <f>IFERROR(VLOOKUP(B1334,منتجات!$A$3:$C$350,3,0),"")</f>
        <v/>
      </c>
      <c r="E1334" s="63"/>
      <c r="F1334" s="63" t="str">
        <f>IFERROR(INDEX(منتجات!$G$3:$G$350,MATCH(B1334,منتجات!$A$3:$A$115,0)),"")</f>
        <v/>
      </c>
      <c r="G1334" s="63" t="str">
        <f t="shared" si="22"/>
        <v/>
      </c>
      <c r="H1334" s="69"/>
    </row>
    <row r="1335" spans="1:8" x14ac:dyDescent="0.35">
      <c r="A1335" s="64"/>
      <c r="B1335" s="65"/>
      <c r="C1335" s="65" t="str">
        <f>IFERROR(VLOOKUP(B1335,منتجات!$A$3:$C$350,2,0),"")</f>
        <v/>
      </c>
      <c r="D1335" s="65" t="str">
        <f>IFERROR(VLOOKUP(B1335,منتجات!$A$3:$C$350,3,0),"")</f>
        <v/>
      </c>
      <c r="E1335" s="65"/>
      <c r="F1335" s="65" t="str">
        <f>IFERROR(INDEX(منتجات!$G$3:$G$350,MATCH(B1335,منتجات!$A$3:$A$115,0)),"")</f>
        <v/>
      </c>
      <c r="G1335" s="65" t="str">
        <f t="shared" si="22"/>
        <v/>
      </c>
      <c r="H1335" s="70"/>
    </row>
    <row r="1336" spans="1:8" x14ac:dyDescent="0.35">
      <c r="A1336" s="62"/>
      <c r="B1336" s="63"/>
      <c r="C1336" s="63" t="str">
        <f>IFERROR(VLOOKUP(B1336,منتجات!$A$3:$C$350,2,0),"")</f>
        <v/>
      </c>
      <c r="D1336" s="63" t="str">
        <f>IFERROR(VLOOKUP(B1336,منتجات!$A$3:$C$350,3,0),"")</f>
        <v/>
      </c>
      <c r="E1336" s="63"/>
      <c r="F1336" s="63" t="str">
        <f>IFERROR(INDEX(منتجات!$G$3:$G$350,MATCH(B1336,منتجات!$A$3:$A$115,0)),"")</f>
        <v/>
      </c>
      <c r="G1336" s="63" t="str">
        <f t="shared" si="22"/>
        <v/>
      </c>
      <c r="H1336" s="69"/>
    </row>
    <row r="1337" spans="1:8" x14ac:dyDescent="0.35">
      <c r="A1337" s="64"/>
      <c r="B1337" s="65"/>
      <c r="C1337" s="65" t="str">
        <f>IFERROR(VLOOKUP(B1337,منتجات!$A$3:$C$350,2,0),"")</f>
        <v/>
      </c>
      <c r="D1337" s="65" t="str">
        <f>IFERROR(VLOOKUP(B1337,منتجات!$A$3:$C$350,3,0),"")</f>
        <v/>
      </c>
      <c r="E1337" s="65"/>
      <c r="F1337" s="65" t="str">
        <f>IFERROR(INDEX(منتجات!$G$3:$G$350,MATCH(B1337,منتجات!$A$3:$A$115,0)),"")</f>
        <v/>
      </c>
      <c r="G1337" s="65" t="str">
        <f t="shared" si="22"/>
        <v/>
      </c>
      <c r="H1337" s="70"/>
    </row>
    <row r="1338" spans="1:8" x14ac:dyDescent="0.35">
      <c r="A1338" s="62"/>
      <c r="B1338" s="63"/>
      <c r="C1338" s="63" t="str">
        <f>IFERROR(VLOOKUP(B1338,منتجات!$A$3:$C$350,2,0),"")</f>
        <v/>
      </c>
      <c r="D1338" s="63" t="str">
        <f>IFERROR(VLOOKUP(B1338,منتجات!$A$3:$C$350,3,0),"")</f>
        <v/>
      </c>
      <c r="E1338" s="63"/>
      <c r="F1338" s="63" t="str">
        <f>IFERROR(INDEX(منتجات!$G$3:$G$350,MATCH(B1338,منتجات!$A$3:$A$115,0)),"")</f>
        <v/>
      </c>
      <c r="G1338" s="63" t="str">
        <f t="shared" si="22"/>
        <v/>
      </c>
      <c r="H1338" s="69"/>
    </row>
    <row r="1339" spans="1:8" x14ac:dyDescent="0.35">
      <c r="A1339" s="64"/>
      <c r="B1339" s="65"/>
      <c r="C1339" s="65" t="str">
        <f>IFERROR(VLOOKUP(B1339,منتجات!$A$3:$C$350,2,0),"")</f>
        <v/>
      </c>
      <c r="D1339" s="65" t="str">
        <f>IFERROR(VLOOKUP(B1339,منتجات!$A$3:$C$350,3,0),"")</f>
        <v/>
      </c>
      <c r="E1339" s="65"/>
      <c r="F1339" s="65" t="str">
        <f>IFERROR(INDEX(منتجات!$G$3:$G$350,MATCH(B1339,منتجات!$A$3:$A$115,0)),"")</f>
        <v/>
      </c>
      <c r="G1339" s="65" t="str">
        <f t="shared" si="22"/>
        <v/>
      </c>
      <c r="H1339" s="70"/>
    </row>
    <row r="1340" spans="1:8" x14ac:dyDescent="0.35">
      <c r="A1340" s="62"/>
      <c r="B1340" s="63"/>
      <c r="C1340" s="63" t="str">
        <f>IFERROR(VLOOKUP(B1340,منتجات!$A$3:$C$350,2,0),"")</f>
        <v/>
      </c>
      <c r="D1340" s="63" t="str">
        <f>IFERROR(VLOOKUP(B1340,منتجات!$A$3:$C$350,3,0),"")</f>
        <v/>
      </c>
      <c r="E1340" s="63"/>
      <c r="F1340" s="63" t="str">
        <f>IFERROR(INDEX(منتجات!$G$3:$G$350,MATCH(B1340,منتجات!$A$3:$A$115,0)),"")</f>
        <v/>
      </c>
      <c r="G1340" s="63" t="str">
        <f t="shared" si="22"/>
        <v/>
      </c>
      <c r="H1340" s="69"/>
    </row>
    <row r="1341" spans="1:8" x14ac:dyDescent="0.35">
      <c r="A1341" s="64"/>
      <c r="B1341" s="65"/>
      <c r="C1341" s="65" t="str">
        <f>IFERROR(VLOOKUP(B1341,منتجات!$A$3:$C$350,2,0),"")</f>
        <v/>
      </c>
      <c r="D1341" s="65" t="str">
        <f>IFERROR(VLOOKUP(B1341,منتجات!$A$3:$C$350,3,0),"")</f>
        <v/>
      </c>
      <c r="E1341" s="65"/>
      <c r="F1341" s="65" t="str">
        <f>IFERROR(INDEX(منتجات!$G$3:$G$350,MATCH(B1341,منتجات!$A$3:$A$115,0)),"")</f>
        <v/>
      </c>
      <c r="G1341" s="65" t="str">
        <f t="shared" si="22"/>
        <v/>
      </c>
      <c r="H1341" s="70"/>
    </row>
    <row r="1342" spans="1:8" x14ac:dyDescent="0.35">
      <c r="A1342" s="62"/>
      <c r="B1342" s="63"/>
      <c r="C1342" s="63" t="str">
        <f>IFERROR(VLOOKUP(B1342,منتجات!$A$3:$C$350,2,0),"")</f>
        <v/>
      </c>
      <c r="D1342" s="63" t="str">
        <f>IFERROR(VLOOKUP(B1342,منتجات!$A$3:$C$350,3,0),"")</f>
        <v/>
      </c>
      <c r="E1342" s="63"/>
      <c r="F1342" s="63" t="str">
        <f>IFERROR(INDEX(منتجات!$G$3:$G$350,MATCH(B1342,منتجات!$A$3:$A$115,0)),"")</f>
        <v/>
      </c>
      <c r="G1342" s="63" t="str">
        <f t="shared" si="22"/>
        <v/>
      </c>
      <c r="H1342" s="69"/>
    </row>
    <row r="1343" spans="1:8" x14ac:dyDescent="0.35">
      <c r="A1343" s="64"/>
      <c r="B1343" s="65"/>
      <c r="C1343" s="65" t="str">
        <f>IFERROR(VLOOKUP(B1343,منتجات!$A$3:$C$350,2,0),"")</f>
        <v/>
      </c>
      <c r="D1343" s="65" t="str">
        <f>IFERROR(VLOOKUP(B1343,منتجات!$A$3:$C$350,3,0),"")</f>
        <v/>
      </c>
      <c r="E1343" s="65"/>
      <c r="F1343" s="65" t="str">
        <f>IFERROR(INDEX(منتجات!$G$3:$G$350,MATCH(B1343,منتجات!$A$3:$A$115,0)),"")</f>
        <v/>
      </c>
      <c r="G1343" s="65" t="str">
        <f t="shared" si="22"/>
        <v/>
      </c>
      <c r="H1343" s="70"/>
    </row>
    <row r="1344" spans="1:8" x14ac:dyDescent="0.35">
      <c r="A1344" s="62"/>
      <c r="B1344" s="63"/>
      <c r="C1344" s="63" t="str">
        <f>IFERROR(VLOOKUP(B1344,منتجات!$A$3:$C$350,2,0),"")</f>
        <v/>
      </c>
      <c r="D1344" s="63" t="str">
        <f>IFERROR(VLOOKUP(B1344,منتجات!$A$3:$C$350,3,0),"")</f>
        <v/>
      </c>
      <c r="E1344" s="63"/>
      <c r="F1344" s="63" t="str">
        <f>IFERROR(INDEX(منتجات!$G$3:$G$350,MATCH(B1344,منتجات!$A$3:$A$115,0)),"")</f>
        <v/>
      </c>
      <c r="G1344" s="63" t="str">
        <f t="shared" si="22"/>
        <v/>
      </c>
      <c r="H1344" s="69"/>
    </row>
    <row r="1345" spans="1:8" x14ac:dyDescent="0.35">
      <c r="A1345" s="64"/>
      <c r="B1345" s="65"/>
      <c r="C1345" s="65" t="str">
        <f>IFERROR(VLOOKUP(B1345,منتجات!$A$3:$C$350,2,0),"")</f>
        <v/>
      </c>
      <c r="D1345" s="65" t="str">
        <f>IFERROR(VLOOKUP(B1345,منتجات!$A$3:$C$350,3,0),"")</f>
        <v/>
      </c>
      <c r="E1345" s="65"/>
      <c r="F1345" s="65" t="str">
        <f>IFERROR(INDEX(منتجات!$G$3:$G$350,MATCH(B1345,منتجات!$A$3:$A$115,0)),"")</f>
        <v/>
      </c>
      <c r="G1345" s="65" t="str">
        <f t="shared" si="22"/>
        <v/>
      </c>
      <c r="H1345" s="70"/>
    </row>
    <row r="1346" spans="1:8" x14ac:dyDescent="0.35">
      <c r="A1346" s="62"/>
      <c r="B1346" s="63"/>
      <c r="C1346" s="63" t="str">
        <f>IFERROR(VLOOKUP(B1346,منتجات!$A$3:$C$350,2,0),"")</f>
        <v/>
      </c>
      <c r="D1346" s="63" t="str">
        <f>IFERROR(VLOOKUP(B1346,منتجات!$A$3:$C$350,3,0),"")</f>
        <v/>
      </c>
      <c r="E1346" s="63"/>
      <c r="F1346" s="63" t="str">
        <f>IFERROR(INDEX(منتجات!$G$3:$G$350,MATCH(B1346,منتجات!$A$3:$A$115,0)),"")</f>
        <v/>
      </c>
      <c r="G1346" s="63" t="str">
        <f t="shared" si="22"/>
        <v/>
      </c>
      <c r="H1346" s="69"/>
    </row>
    <row r="1347" spans="1:8" x14ac:dyDescent="0.35">
      <c r="A1347" s="64"/>
      <c r="B1347" s="65"/>
      <c r="C1347" s="65" t="str">
        <f>IFERROR(VLOOKUP(B1347,منتجات!$A$3:$C$350,2,0),"")</f>
        <v/>
      </c>
      <c r="D1347" s="65" t="str">
        <f>IFERROR(VLOOKUP(B1347,منتجات!$A$3:$C$350,3,0),"")</f>
        <v/>
      </c>
      <c r="E1347" s="65"/>
      <c r="F1347" s="65" t="str">
        <f>IFERROR(INDEX(منتجات!$G$3:$G$350,MATCH(B1347,منتجات!$A$3:$A$115,0)),"")</f>
        <v/>
      </c>
      <c r="G1347" s="65" t="str">
        <f t="shared" si="22"/>
        <v/>
      </c>
      <c r="H1347" s="70"/>
    </row>
    <row r="1348" spans="1:8" x14ac:dyDescent="0.35">
      <c r="A1348" s="62"/>
      <c r="B1348" s="63"/>
      <c r="C1348" s="63" t="str">
        <f>IFERROR(VLOOKUP(B1348,منتجات!$A$3:$C$350,2,0),"")</f>
        <v/>
      </c>
      <c r="D1348" s="63" t="str">
        <f>IFERROR(VLOOKUP(B1348,منتجات!$A$3:$C$350,3,0),"")</f>
        <v/>
      </c>
      <c r="E1348" s="63"/>
      <c r="F1348" s="63" t="str">
        <f>IFERROR(INDEX(منتجات!$G$3:$G$350,MATCH(B1348,منتجات!$A$3:$A$115,0)),"")</f>
        <v/>
      </c>
      <c r="G1348" s="63" t="str">
        <f t="shared" si="22"/>
        <v/>
      </c>
      <c r="H1348" s="69"/>
    </row>
    <row r="1349" spans="1:8" x14ac:dyDescent="0.35">
      <c r="A1349" s="64"/>
      <c r="B1349" s="65"/>
      <c r="C1349" s="65" t="str">
        <f>IFERROR(VLOOKUP(B1349,منتجات!$A$3:$C$350,2,0),"")</f>
        <v/>
      </c>
      <c r="D1349" s="65" t="str">
        <f>IFERROR(VLOOKUP(B1349,منتجات!$A$3:$C$350,3,0),"")</f>
        <v/>
      </c>
      <c r="E1349" s="65"/>
      <c r="F1349" s="65" t="str">
        <f>IFERROR(INDEX(منتجات!$G$3:$G$350,MATCH(B1349,منتجات!$A$3:$A$115,0)),"")</f>
        <v/>
      </c>
      <c r="G1349" s="65" t="str">
        <f t="shared" si="22"/>
        <v/>
      </c>
      <c r="H1349" s="70"/>
    </row>
    <row r="1350" spans="1:8" x14ac:dyDescent="0.35">
      <c r="A1350" s="62"/>
      <c r="B1350" s="63"/>
      <c r="C1350" s="63" t="str">
        <f>IFERROR(VLOOKUP(B1350,منتجات!$A$3:$C$350,2,0),"")</f>
        <v/>
      </c>
      <c r="D1350" s="63" t="str">
        <f>IFERROR(VLOOKUP(B1350,منتجات!$A$3:$C$350,3,0),"")</f>
        <v/>
      </c>
      <c r="E1350" s="63"/>
      <c r="F1350" s="63" t="str">
        <f>IFERROR(INDEX(منتجات!$G$3:$G$350,MATCH(B1350,منتجات!$A$3:$A$115,0)),"")</f>
        <v/>
      </c>
      <c r="G1350" s="63" t="str">
        <f t="shared" ref="G1350:G1413" si="23">IFERROR(E1350*F1350*D1350,"")</f>
        <v/>
      </c>
      <c r="H1350" s="69"/>
    </row>
    <row r="1351" spans="1:8" x14ac:dyDescent="0.35">
      <c r="A1351" s="64"/>
      <c r="B1351" s="65"/>
      <c r="C1351" s="65" t="str">
        <f>IFERROR(VLOOKUP(B1351,منتجات!$A$3:$C$350,2,0),"")</f>
        <v/>
      </c>
      <c r="D1351" s="65" t="str">
        <f>IFERROR(VLOOKUP(B1351,منتجات!$A$3:$C$350,3,0),"")</f>
        <v/>
      </c>
      <c r="E1351" s="65"/>
      <c r="F1351" s="65" t="str">
        <f>IFERROR(INDEX(منتجات!$G$3:$G$350,MATCH(B1351,منتجات!$A$3:$A$115,0)),"")</f>
        <v/>
      </c>
      <c r="G1351" s="65" t="str">
        <f t="shared" si="23"/>
        <v/>
      </c>
      <c r="H1351" s="70"/>
    </row>
    <row r="1352" spans="1:8" x14ac:dyDescent="0.35">
      <c r="A1352" s="62"/>
      <c r="B1352" s="63"/>
      <c r="C1352" s="63" t="str">
        <f>IFERROR(VLOOKUP(B1352,منتجات!$A$3:$C$350,2,0),"")</f>
        <v/>
      </c>
      <c r="D1352" s="63" t="str">
        <f>IFERROR(VLOOKUP(B1352,منتجات!$A$3:$C$350,3,0),"")</f>
        <v/>
      </c>
      <c r="E1352" s="63"/>
      <c r="F1352" s="63" t="str">
        <f>IFERROR(INDEX(منتجات!$G$3:$G$350,MATCH(B1352,منتجات!$A$3:$A$115,0)),"")</f>
        <v/>
      </c>
      <c r="G1352" s="63" t="str">
        <f t="shared" si="23"/>
        <v/>
      </c>
      <c r="H1352" s="69"/>
    </row>
    <row r="1353" spans="1:8" x14ac:dyDescent="0.35">
      <c r="A1353" s="64"/>
      <c r="B1353" s="65"/>
      <c r="C1353" s="65" t="str">
        <f>IFERROR(VLOOKUP(B1353,منتجات!$A$3:$C$350,2,0),"")</f>
        <v/>
      </c>
      <c r="D1353" s="65" t="str">
        <f>IFERROR(VLOOKUP(B1353,منتجات!$A$3:$C$350,3,0),"")</f>
        <v/>
      </c>
      <c r="E1353" s="65"/>
      <c r="F1353" s="65" t="str">
        <f>IFERROR(INDEX(منتجات!$G$3:$G$350,MATCH(B1353,منتجات!$A$3:$A$115,0)),"")</f>
        <v/>
      </c>
      <c r="G1353" s="65" t="str">
        <f t="shared" si="23"/>
        <v/>
      </c>
      <c r="H1353" s="70"/>
    </row>
    <row r="1354" spans="1:8" x14ac:dyDescent="0.35">
      <c r="A1354" s="62"/>
      <c r="B1354" s="63"/>
      <c r="C1354" s="63" t="str">
        <f>IFERROR(VLOOKUP(B1354,منتجات!$A$3:$C$350,2,0),"")</f>
        <v/>
      </c>
      <c r="D1354" s="63" t="str">
        <f>IFERROR(VLOOKUP(B1354,منتجات!$A$3:$C$350,3,0),"")</f>
        <v/>
      </c>
      <c r="E1354" s="63"/>
      <c r="F1354" s="63" t="str">
        <f>IFERROR(INDEX(منتجات!$G$3:$G$350,MATCH(B1354,منتجات!$A$3:$A$115,0)),"")</f>
        <v/>
      </c>
      <c r="G1354" s="63" t="str">
        <f t="shared" si="23"/>
        <v/>
      </c>
      <c r="H1354" s="69"/>
    </row>
    <row r="1355" spans="1:8" x14ac:dyDescent="0.35">
      <c r="A1355" s="64"/>
      <c r="B1355" s="65"/>
      <c r="C1355" s="65" t="str">
        <f>IFERROR(VLOOKUP(B1355,منتجات!$A$3:$C$350,2,0),"")</f>
        <v/>
      </c>
      <c r="D1355" s="65" t="str">
        <f>IFERROR(VLOOKUP(B1355,منتجات!$A$3:$C$350,3,0),"")</f>
        <v/>
      </c>
      <c r="E1355" s="65"/>
      <c r="F1355" s="65" t="str">
        <f>IFERROR(INDEX(منتجات!$G$3:$G$350,MATCH(B1355,منتجات!$A$3:$A$115,0)),"")</f>
        <v/>
      </c>
      <c r="G1355" s="65" t="str">
        <f t="shared" si="23"/>
        <v/>
      </c>
      <c r="H1355" s="70"/>
    </row>
    <row r="1356" spans="1:8" x14ac:dyDescent="0.35">
      <c r="A1356" s="62"/>
      <c r="B1356" s="63"/>
      <c r="C1356" s="63" t="str">
        <f>IFERROR(VLOOKUP(B1356,منتجات!$A$3:$C$350,2,0),"")</f>
        <v/>
      </c>
      <c r="D1356" s="63" t="str">
        <f>IFERROR(VLOOKUP(B1356,منتجات!$A$3:$C$350,3,0),"")</f>
        <v/>
      </c>
      <c r="E1356" s="63"/>
      <c r="F1356" s="63" t="str">
        <f>IFERROR(INDEX(منتجات!$G$3:$G$350,MATCH(B1356,منتجات!$A$3:$A$115,0)),"")</f>
        <v/>
      </c>
      <c r="G1356" s="63" t="str">
        <f t="shared" si="23"/>
        <v/>
      </c>
      <c r="H1356" s="69"/>
    </row>
    <row r="1357" spans="1:8" x14ac:dyDescent="0.35">
      <c r="A1357" s="64"/>
      <c r="B1357" s="65"/>
      <c r="C1357" s="65" t="str">
        <f>IFERROR(VLOOKUP(B1357,منتجات!$A$3:$C$350,2,0),"")</f>
        <v/>
      </c>
      <c r="D1357" s="65" t="str">
        <f>IFERROR(VLOOKUP(B1357,منتجات!$A$3:$C$350,3,0),"")</f>
        <v/>
      </c>
      <c r="E1357" s="65"/>
      <c r="F1357" s="65" t="str">
        <f>IFERROR(INDEX(منتجات!$G$3:$G$350,MATCH(B1357,منتجات!$A$3:$A$115,0)),"")</f>
        <v/>
      </c>
      <c r="G1357" s="65" t="str">
        <f t="shared" si="23"/>
        <v/>
      </c>
      <c r="H1357" s="70"/>
    </row>
    <row r="1358" spans="1:8" x14ac:dyDescent="0.35">
      <c r="A1358" s="62"/>
      <c r="B1358" s="63"/>
      <c r="C1358" s="63" t="str">
        <f>IFERROR(VLOOKUP(B1358,منتجات!$A$3:$C$350,2,0),"")</f>
        <v/>
      </c>
      <c r="D1358" s="63" t="str">
        <f>IFERROR(VLOOKUP(B1358,منتجات!$A$3:$C$350,3,0),"")</f>
        <v/>
      </c>
      <c r="E1358" s="63"/>
      <c r="F1358" s="63" t="str">
        <f>IFERROR(INDEX(منتجات!$G$3:$G$350,MATCH(B1358,منتجات!$A$3:$A$115,0)),"")</f>
        <v/>
      </c>
      <c r="G1358" s="63" t="str">
        <f t="shared" si="23"/>
        <v/>
      </c>
      <c r="H1358" s="69"/>
    </row>
    <row r="1359" spans="1:8" x14ac:dyDescent="0.35">
      <c r="A1359" s="64"/>
      <c r="B1359" s="65"/>
      <c r="C1359" s="65" t="str">
        <f>IFERROR(VLOOKUP(B1359,منتجات!$A$3:$C$350,2,0),"")</f>
        <v/>
      </c>
      <c r="D1359" s="65" t="str">
        <f>IFERROR(VLOOKUP(B1359,منتجات!$A$3:$C$350,3,0),"")</f>
        <v/>
      </c>
      <c r="E1359" s="65"/>
      <c r="F1359" s="65" t="str">
        <f>IFERROR(INDEX(منتجات!$G$3:$G$350,MATCH(B1359,منتجات!$A$3:$A$115,0)),"")</f>
        <v/>
      </c>
      <c r="G1359" s="65" t="str">
        <f t="shared" si="23"/>
        <v/>
      </c>
      <c r="H1359" s="70"/>
    </row>
    <row r="1360" spans="1:8" x14ac:dyDescent="0.35">
      <c r="A1360" s="62"/>
      <c r="B1360" s="63"/>
      <c r="C1360" s="63" t="str">
        <f>IFERROR(VLOOKUP(B1360,منتجات!$A$3:$C$350,2,0),"")</f>
        <v/>
      </c>
      <c r="D1360" s="63" t="str">
        <f>IFERROR(VLOOKUP(B1360,منتجات!$A$3:$C$350,3,0),"")</f>
        <v/>
      </c>
      <c r="E1360" s="63"/>
      <c r="F1360" s="63" t="str">
        <f>IFERROR(INDEX(منتجات!$G$3:$G$350,MATCH(B1360,منتجات!$A$3:$A$115,0)),"")</f>
        <v/>
      </c>
      <c r="G1360" s="63" t="str">
        <f t="shared" si="23"/>
        <v/>
      </c>
      <c r="H1360" s="69"/>
    </row>
    <row r="1361" spans="1:8" x14ac:dyDescent="0.35">
      <c r="A1361" s="64"/>
      <c r="B1361" s="65"/>
      <c r="C1361" s="65" t="str">
        <f>IFERROR(VLOOKUP(B1361,منتجات!$A$3:$C$350,2,0),"")</f>
        <v/>
      </c>
      <c r="D1361" s="65" t="str">
        <f>IFERROR(VLOOKUP(B1361,منتجات!$A$3:$C$350,3,0),"")</f>
        <v/>
      </c>
      <c r="E1361" s="65"/>
      <c r="F1361" s="65" t="str">
        <f>IFERROR(INDEX(منتجات!$G$3:$G$350,MATCH(B1361,منتجات!$A$3:$A$115,0)),"")</f>
        <v/>
      </c>
      <c r="G1361" s="65" t="str">
        <f t="shared" si="23"/>
        <v/>
      </c>
      <c r="H1361" s="70"/>
    </row>
    <row r="1362" spans="1:8" x14ac:dyDescent="0.35">
      <c r="A1362" s="62"/>
      <c r="B1362" s="63"/>
      <c r="C1362" s="63" t="str">
        <f>IFERROR(VLOOKUP(B1362,منتجات!$A$3:$C$350,2,0),"")</f>
        <v/>
      </c>
      <c r="D1362" s="63" t="str">
        <f>IFERROR(VLOOKUP(B1362,منتجات!$A$3:$C$350,3,0),"")</f>
        <v/>
      </c>
      <c r="E1362" s="63"/>
      <c r="F1362" s="63" t="str">
        <f>IFERROR(INDEX(منتجات!$G$3:$G$350,MATCH(B1362,منتجات!$A$3:$A$115,0)),"")</f>
        <v/>
      </c>
      <c r="G1362" s="63" t="str">
        <f t="shared" si="23"/>
        <v/>
      </c>
      <c r="H1362" s="69"/>
    </row>
    <row r="1363" spans="1:8" x14ac:dyDescent="0.35">
      <c r="A1363" s="64"/>
      <c r="B1363" s="65"/>
      <c r="C1363" s="65" t="str">
        <f>IFERROR(VLOOKUP(B1363,منتجات!$A$3:$C$350,2,0),"")</f>
        <v/>
      </c>
      <c r="D1363" s="65" t="str">
        <f>IFERROR(VLOOKUP(B1363,منتجات!$A$3:$C$350,3,0),"")</f>
        <v/>
      </c>
      <c r="E1363" s="65"/>
      <c r="F1363" s="65" t="str">
        <f>IFERROR(INDEX(منتجات!$G$3:$G$350,MATCH(B1363,منتجات!$A$3:$A$115,0)),"")</f>
        <v/>
      </c>
      <c r="G1363" s="65" t="str">
        <f t="shared" si="23"/>
        <v/>
      </c>
      <c r="H1363" s="70"/>
    </row>
    <row r="1364" spans="1:8" x14ac:dyDescent="0.35">
      <c r="A1364" s="62"/>
      <c r="B1364" s="63"/>
      <c r="C1364" s="63" t="str">
        <f>IFERROR(VLOOKUP(B1364,منتجات!$A$3:$C$350,2,0),"")</f>
        <v/>
      </c>
      <c r="D1364" s="63" t="str">
        <f>IFERROR(VLOOKUP(B1364,منتجات!$A$3:$C$350,3,0),"")</f>
        <v/>
      </c>
      <c r="E1364" s="63"/>
      <c r="F1364" s="63" t="str">
        <f>IFERROR(INDEX(منتجات!$G$3:$G$350,MATCH(B1364,منتجات!$A$3:$A$115,0)),"")</f>
        <v/>
      </c>
      <c r="G1364" s="63" t="str">
        <f t="shared" si="23"/>
        <v/>
      </c>
      <c r="H1364" s="69"/>
    </row>
    <row r="1365" spans="1:8" x14ac:dyDescent="0.35">
      <c r="A1365" s="64"/>
      <c r="B1365" s="65"/>
      <c r="C1365" s="65" t="str">
        <f>IFERROR(VLOOKUP(B1365,منتجات!$A$3:$C$350,2,0),"")</f>
        <v/>
      </c>
      <c r="D1365" s="65" t="str">
        <f>IFERROR(VLOOKUP(B1365,منتجات!$A$3:$C$350,3,0),"")</f>
        <v/>
      </c>
      <c r="E1365" s="65"/>
      <c r="F1365" s="65" t="str">
        <f>IFERROR(INDEX(منتجات!$G$3:$G$350,MATCH(B1365,منتجات!$A$3:$A$115,0)),"")</f>
        <v/>
      </c>
      <c r="G1365" s="65" t="str">
        <f t="shared" si="23"/>
        <v/>
      </c>
      <c r="H1365" s="70"/>
    </row>
    <row r="1366" spans="1:8" x14ac:dyDescent="0.35">
      <c r="A1366" s="62"/>
      <c r="B1366" s="63"/>
      <c r="C1366" s="63" t="str">
        <f>IFERROR(VLOOKUP(B1366,منتجات!$A$3:$C$350,2,0),"")</f>
        <v/>
      </c>
      <c r="D1366" s="63" t="str">
        <f>IFERROR(VLOOKUP(B1366,منتجات!$A$3:$C$350,3,0),"")</f>
        <v/>
      </c>
      <c r="E1366" s="63"/>
      <c r="F1366" s="63" t="str">
        <f>IFERROR(INDEX(منتجات!$G$3:$G$350,MATCH(B1366,منتجات!$A$3:$A$115,0)),"")</f>
        <v/>
      </c>
      <c r="G1366" s="63" t="str">
        <f t="shared" si="23"/>
        <v/>
      </c>
      <c r="H1366" s="69"/>
    </row>
    <row r="1367" spans="1:8" x14ac:dyDescent="0.35">
      <c r="A1367" s="64"/>
      <c r="B1367" s="65"/>
      <c r="C1367" s="65" t="str">
        <f>IFERROR(VLOOKUP(B1367,منتجات!$A$3:$C$350,2,0),"")</f>
        <v/>
      </c>
      <c r="D1367" s="65" t="str">
        <f>IFERROR(VLOOKUP(B1367,منتجات!$A$3:$C$350,3,0),"")</f>
        <v/>
      </c>
      <c r="E1367" s="65"/>
      <c r="F1367" s="65" t="str">
        <f>IFERROR(INDEX(منتجات!$G$3:$G$350,MATCH(B1367,منتجات!$A$3:$A$115,0)),"")</f>
        <v/>
      </c>
      <c r="G1367" s="65" t="str">
        <f t="shared" si="23"/>
        <v/>
      </c>
      <c r="H1367" s="70"/>
    </row>
    <row r="1368" spans="1:8" x14ac:dyDescent="0.35">
      <c r="A1368" s="62"/>
      <c r="B1368" s="63"/>
      <c r="C1368" s="63" t="str">
        <f>IFERROR(VLOOKUP(B1368,منتجات!$A$3:$C$350,2,0),"")</f>
        <v/>
      </c>
      <c r="D1368" s="63" t="str">
        <f>IFERROR(VLOOKUP(B1368,منتجات!$A$3:$C$350,3,0),"")</f>
        <v/>
      </c>
      <c r="E1368" s="63"/>
      <c r="F1368" s="63" t="str">
        <f>IFERROR(INDEX(منتجات!$G$3:$G$350,MATCH(B1368,منتجات!$A$3:$A$115,0)),"")</f>
        <v/>
      </c>
      <c r="G1368" s="63" t="str">
        <f t="shared" si="23"/>
        <v/>
      </c>
      <c r="H1368" s="69"/>
    </row>
    <row r="1369" spans="1:8" x14ac:dyDescent="0.35">
      <c r="A1369" s="64"/>
      <c r="B1369" s="65"/>
      <c r="C1369" s="65" t="str">
        <f>IFERROR(VLOOKUP(B1369,منتجات!$A$3:$C$350,2,0),"")</f>
        <v/>
      </c>
      <c r="D1369" s="65" t="str">
        <f>IFERROR(VLOOKUP(B1369,منتجات!$A$3:$C$350,3,0),"")</f>
        <v/>
      </c>
      <c r="E1369" s="65"/>
      <c r="F1369" s="65" t="str">
        <f>IFERROR(INDEX(منتجات!$G$3:$G$350,MATCH(B1369,منتجات!$A$3:$A$115,0)),"")</f>
        <v/>
      </c>
      <c r="G1369" s="65" t="str">
        <f t="shared" si="23"/>
        <v/>
      </c>
      <c r="H1369" s="70"/>
    </row>
    <row r="1370" spans="1:8" x14ac:dyDescent="0.35">
      <c r="A1370" s="62"/>
      <c r="B1370" s="63"/>
      <c r="C1370" s="63" t="str">
        <f>IFERROR(VLOOKUP(B1370,منتجات!$A$3:$C$350,2,0),"")</f>
        <v/>
      </c>
      <c r="D1370" s="63" t="str">
        <f>IFERROR(VLOOKUP(B1370,منتجات!$A$3:$C$350,3,0),"")</f>
        <v/>
      </c>
      <c r="E1370" s="63"/>
      <c r="F1370" s="63" t="str">
        <f>IFERROR(INDEX(منتجات!$G$3:$G$350,MATCH(B1370,منتجات!$A$3:$A$115,0)),"")</f>
        <v/>
      </c>
      <c r="G1370" s="63" t="str">
        <f t="shared" si="23"/>
        <v/>
      </c>
      <c r="H1370" s="69"/>
    </row>
    <row r="1371" spans="1:8" x14ac:dyDescent="0.35">
      <c r="A1371" s="64"/>
      <c r="B1371" s="65"/>
      <c r="C1371" s="65" t="str">
        <f>IFERROR(VLOOKUP(B1371,منتجات!$A$3:$C$350,2,0),"")</f>
        <v/>
      </c>
      <c r="D1371" s="65" t="str">
        <f>IFERROR(VLOOKUP(B1371,منتجات!$A$3:$C$350,3,0),"")</f>
        <v/>
      </c>
      <c r="E1371" s="65"/>
      <c r="F1371" s="65" t="str">
        <f>IFERROR(INDEX(منتجات!$G$3:$G$350,MATCH(B1371,منتجات!$A$3:$A$115,0)),"")</f>
        <v/>
      </c>
      <c r="G1371" s="65" t="str">
        <f t="shared" si="23"/>
        <v/>
      </c>
      <c r="H1371" s="70"/>
    </row>
    <row r="1372" spans="1:8" x14ac:dyDescent="0.35">
      <c r="A1372" s="62"/>
      <c r="B1372" s="63"/>
      <c r="C1372" s="63" t="str">
        <f>IFERROR(VLOOKUP(B1372,منتجات!$A$3:$C$350,2,0),"")</f>
        <v/>
      </c>
      <c r="D1372" s="63" t="str">
        <f>IFERROR(VLOOKUP(B1372,منتجات!$A$3:$C$350,3,0),"")</f>
        <v/>
      </c>
      <c r="E1372" s="63"/>
      <c r="F1372" s="63" t="str">
        <f>IFERROR(INDEX(منتجات!$G$3:$G$350,MATCH(B1372,منتجات!$A$3:$A$115,0)),"")</f>
        <v/>
      </c>
      <c r="G1372" s="63" t="str">
        <f t="shared" si="23"/>
        <v/>
      </c>
      <c r="H1372" s="69"/>
    </row>
    <row r="1373" spans="1:8" x14ac:dyDescent="0.35">
      <c r="A1373" s="64"/>
      <c r="B1373" s="65"/>
      <c r="C1373" s="65" t="str">
        <f>IFERROR(VLOOKUP(B1373,منتجات!$A$3:$C$350,2,0),"")</f>
        <v/>
      </c>
      <c r="D1373" s="65" t="str">
        <f>IFERROR(VLOOKUP(B1373,منتجات!$A$3:$C$350,3,0),"")</f>
        <v/>
      </c>
      <c r="E1373" s="65"/>
      <c r="F1373" s="65" t="str">
        <f>IFERROR(INDEX(منتجات!$G$3:$G$350,MATCH(B1373,منتجات!$A$3:$A$115,0)),"")</f>
        <v/>
      </c>
      <c r="G1373" s="65" t="str">
        <f t="shared" si="23"/>
        <v/>
      </c>
      <c r="H1373" s="70"/>
    </row>
    <row r="1374" spans="1:8" x14ac:dyDescent="0.35">
      <c r="A1374" s="62"/>
      <c r="B1374" s="63"/>
      <c r="C1374" s="63" t="str">
        <f>IFERROR(VLOOKUP(B1374,منتجات!$A$3:$C$350,2,0),"")</f>
        <v/>
      </c>
      <c r="D1374" s="63" t="str">
        <f>IFERROR(VLOOKUP(B1374,منتجات!$A$3:$C$350,3,0),"")</f>
        <v/>
      </c>
      <c r="E1374" s="63"/>
      <c r="F1374" s="63" t="str">
        <f>IFERROR(INDEX(منتجات!$G$3:$G$350,MATCH(B1374,منتجات!$A$3:$A$115,0)),"")</f>
        <v/>
      </c>
      <c r="G1374" s="63" t="str">
        <f t="shared" si="23"/>
        <v/>
      </c>
      <c r="H1374" s="69"/>
    </row>
    <row r="1375" spans="1:8" x14ac:dyDescent="0.35">
      <c r="A1375" s="64"/>
      <c r="B1375" s="65"/>
      <c r="C1375" s="65" t="str">
        <f>IFERROR(VLOOKUP(B1375,منتجات!$A$3:$C$350,2,0),"")</f>
        <v/>
      </c>
      <c r="D1375" s="65" t="str">
        <f>IFERROR(VLOOKUP(B1375,منتجات!$A$3:$C$350,3,0),"")</f>
        <v/>
      </c>
      <c r="E1375" s="65"/>
      <c r="F1375" s="65" t="str">
        <f>IFERROR(INDEX(منتجات!$G$3:$G$350,MATCH(B1375,منتجات!$A$3:$A$115,0)),"")</f>
        <v/>
      </c>
      <c r="G1375" s="65" t="str">
        <f t="shared" si="23"/>
        <v/>
      </c>
      <c r="H1375" s="70"/>
    </row>
    <row r="1376" spans="1:8" x14ac:dyDescent="0.35">
      <c r="A1376" s="62"/>
      <c r="B1376" s="63"/>
      <c r="C1376" s="63" t="str">
        <f>IFERROR(VLOOKUP(B1376,منتجات!$A$3:$C$350,2,0),"")</f>
        <v/>
      </c>
      <c r="D1376" s="63" t="str">
        <f>IFERROR(VLOOKUP(B1376,منتجات!$A$3:$C$350,3,0),"")</f>
        <v/>
      </c>
      <c r="E1376" s="63"/>
      <c r="F1376" s="63" t="str">
        <f>IFERROR(INDEX(منتجات!$G$3:$G$350,MATCH(B1376,منتجات!$A$3:$A$115,0)),"")</f>
        <v/>
      </c>
      <c r="G1376" s="63" t="str">
        <f t="shared" si="23"/>
        <v/>
      </c>
      <c r="H1376" s="69"/>
    </row>
    <row r="1377" spans="1:8" x14ac:dyDescent="0.35">
      <c r="A1377" s="64"/>
      <c r="B1377" s="65"/>
      <c r="C1377" s="65" t="str">
        <f>IFERROR(VLOOKUP(B1377,منتجات!$A$3:$C$350,2,0),"")</f>
        <v/>
      </c>
      <c r="D1377" s="65" t="str">
        <f>IFERROR(VLOOKUP(B1377,منتجات!$A$3:$C$350,3,0),"")</f>
        <v/>
      </c>
      <c r="E1377" s="65"/>
      <c r="F1377" s="65" t="str">
        <f>IFERROR(INDEX(منتجات!$G$3:$G$350,MATCH(B1377,منتجات!$A$3:$A$115,0)),"")</f>
        <v/>
      </c>
      <c r="G1377" s="65" t="str">
        <f t="shared" si="23"/>
        <v/>
      </c>
      <c r="H1377" s="70"/>
    </row>
    <row r="1378" spans="1:8" x14ac:dyDescent="0.35">
      <c r="A1378" s="62"/>
      <c r="B1378" s="63"/>
      <c r="C1378" s="63" t="str">
        <f>IFERROR(VLOOKUP(B1378,منتجات!$A$3:$C$350,2,0),"")</f>
        <v/>
      </c>
      <c r="D1378" s="63" t="str">
        <f>IFERROR(VLOOKUP(B1378,منتجات!$A$3:$C$350,3,0),"")</f>
        <v/>
      </c>
      <c r="E1378" s="63"/>
      <c r="F1378" s="63" t="str">
        <f>IFERROR(INDEX(منتجات!$G$3:$G$350,MATCH(B1378,منتجات!$A$3:$A$115,0)),"")</f>
        <v/>
      </c>
      <c r="G1378" s="63" t="str">
        <f t="shared" si="23"/>
        <v/>
      </c>
      <c r="H1378" s="69"/>
    </row>
    <row r="1379" spans="1:8" x14ac:dyDescent="0.35">
      <c r="A1379" s="64"/>
      <c r="B1379" s="65"/>
      <c r="C1379" s="65" t="str">
        <f>IFERROR(VLOOKUP(B1379,منتجات!$A$3:$C$350,2,0),"")</f>
        <v/>
      </c>
      <c r="D1379" s="65" t="str">
        <f>IFERROR(VLOOKUP(B1379,منتجات!$A$3:$C$350,3,0),"")</f>
        <v/>
      </c>
      <c r="E1379" s="65"/>
      <c r="F1379" s="65" t="str">
        <f>IFERROR(INDEX(منتجات!$G$3:$G$350,MATCH(B1379,منتجات!$A$3:$A$115,0)),"")</f>
        <v/>
      </c>
      <c r="G1379" s="65" t="str">
        <f t="shared" si="23"/>
        <v/>
      </c>
      <c r="H1379" s="70"/>
    </row>
    <row r="1380" spans="1:8" x14ac:dyDescent="0.35">
      <c r="A1380" s="62"/>
      <c r="B1380" s="63"/>
      <c r="C1380" s="63" t="str">
        <f>IFERROR(VLOOKUP(B1380,منتجات!$A$3:$C$350,2,0),"")</f>
        <v/>
      </c>
      <c r="D1380" s="63" t="str">
        <f>IFERROR(VLOOKUP(B1380,منتجات!$A$3:$C$350,3,0),"")</f>
        <v/>
      </c>
      <c r="E1380" s="63"/>
      <c r="F1380" s="63" t="str">
        <f>IFERROR(INDEX(منتجات!$G$3:$G$350,MATCH(B1380,منتجات!$A$3:$A$115,0)),"")</f>
        <v/>
      </c>
      <c r="G1380" s="63" t="str">
        <f t="shared" si="23"/>
        <v/>
      </c>
      <c r="H1380" s="69"/>
    </row>
    <row r="1381" spans="1:8" x14ac:dyDescent="0.35">
      <c r="A1381" s="64"/>
      <c r="B1381" s="65"/>
      <c r="C1381" s="65" t="str">
        <f>IFERROR(VLOOKUP(B1381,منتجات!$A$3:$C$350,2,0),"")</f>
        <v/>
      </c>
      <c r="D1381" s="65" t="str">
        <f>IFERROR(VLOOKUP(B1381,منتجات!$A$3:$C$350,3,0),"")</f>
        <v/>
      </c>
      <c r="E1381" s="65"/>
      <c r="F1381" s="65" t="str">
        <f>IFERROR(INDEX(منتجات!$G$3:$G$350,MATCH(B1381,منتجات!$A$3:$A$115,0)),"")</f>
        <v/>
      </c>
      <c r="G1381" s="65" t="str">
        <f t="shared" si="23"/>
        <v/>
      </c>
      <c r="H1381" s="70"/>
    </row>
    <row r="1382" spans="1:8" x14ac:dyDescent="0.35">
      <c r="A1382" s="62"/>
      <c r="B1382" s="63"/>
      <c r="C1382" s="63" t="str">
        <f>IFERROR(VLOOKUP(B1382,منتجات!$A$3:$C$350,2,0),"")</f>
        <v/>
      </c>
      <c r="D1382" s="63" t="str">
        <f>IFERROR(VLOOKUP(B1382,منتجات!$A$3:$C$350,3,0),"")</f>
        <v/>
      </c>
      <c r="E1382" s="63"/>
      <c r="F1382" s="63" t="str">
        <f>IFERROR(INDEX(منتجات!$G$3:$G$350,MATCH(B1382,منتجات!$A$3:$A$115,0)),"")</f>
        <v/>
      </c>
      <c r="G1382" s="63" t="str">
        <f t="shared" si="23"/>
        <v/>
      </c>
      <c r="H1382" s="69"/>
    </row>
    <row r="1383" spans="1:8" x14ac:dyDescent="0.35">
      <c r="A1383" s="64"/>
      <c r="B1383" s="65"/>
      <c r="C1383" s="65" t="str">
        <f>IFERROR(VLOOKUP(B1383,منتجات!$A$3:$C$350,2,0),"")</f>
        <v/>
      </c>
      <c r="D1383" s="65" t="str">
        <f>IFERROR(VLOOKUP(B1383,منتجات!$A$3:$C$350,3,0),"")</f>
        <v/>
      </c>
      <c r="E1383" s="65"/>
      <c r="F1383" s="65" t="str">
        <f>IFERROR(INDEX(منتجات!$G$3:$G$350,MATCH(B1383,منتجات!$A$3:$A$115,0)),"")</f>
        <v/>
      </c>
      <c r="G1383" s="65" t="str">
        <f t="shared" si="23"/>
        <v/>
      </c>
      <c r="H1383" s="70"/>
    </row>
    <row r="1384" spans="1:8" x14ac:dyDescent="0.35">
      <c r="A1384" s="62"/>
      <c r="B1384" s="63"/>
      <c r="C1384" s="63" t="str">
        <f>IFERROR(VLOOKUP(B1384,منتجات!$A$3:$C$350,2,0),"")</f>
        <v/>
      </c>
      <c r="D1384" s="63" t="str">
        <f>IFERROR(VLOOKUP(B1384,منتجات!$A$3:$C$350,3,0),"")</f>
        <v/>
      </c>
      <c r="E1384" s="63"/>
      <c r="F1384" s="63" t="str">
        <f>IFERROR(INDEX(منتجات!$G$3:$G$350,MATCH(B1384,منتجات!$A$3:$A$115,0)),"")</f>
        <v/>
      </c>
      <c r="G1384" s="63" t="str">
        <f t="shared" si="23"/>
        <v/>
      </c>
      <c r="H1384" s="69"/>
    </row>
    <row r="1385" spans="1:8" x14ac:dyDescent="0.35">
      <c r="A1385" s="64"/>
      <c r="B1385" s="65"/>
      <c r="C1385" s="65" t="str">
        <f>IFERROR(VLOOKUP(B1385,منتجات!$A$3:$C$350,2,0),"")</f>
        <v/>
      </c>
      <c r="D1385" s="65" t="str">
        <f>IFERROR(VLOOKUP(B1385,منتجات!$A$3:$C$350,3,0),"")</f>
        <v/>
      </c>
      <c r="E1385" s="65"/>
      <c r="F1385" s="65" t="str">
        <f>IFERROR(INDEX(منتجات!$G$3:$G$350,MATCH(B1385,منتجات!$A$3:$A$115,0)),"")</f>
        <v/>
      </c>
      <c r="G1385" s="65" t="str">
        <f t="shared" si="23"/>
        <v/>
      </c>
      <c r="H1385" s="70"/>
    </row>
    <row r="1386" spans="1:8" x14ac:dyDescent="0.35">
      <c r="A1386" s="62"/>
      <c r="B1386" s="63"/>
      <c r="C1386" s="63" t="str">
        <f>IFERROR(VLOOKUP(B1386,منتجات!$A$3:$C$350,2,0),"")</f>
        <v/>
      </c>
      <c r="D1386" s="63" t="str">
        <f>IFERROR(VLOOKUP(B1386,منتجات!$A$3:$C$350,3,0),"")</f>
        <v/>
      </c>
      <c r="E1386" s="63"/>
      <c r="F1386" s="63" t="str">
        <f>IFERROR(INDEX(منتجات!$G$3:$G$350,MATCH(B1386,منتجات!$A$3:$A$115,0)),"")</f>
        <v/>
      </c>
      <c r="G1386" s="63" t="str">
        <f t="shared" si="23"/>
        <v/>
      </c>
      <c r="H1386" s="69"/>
    </row>
    <row r="1387" spans="1:8" x14ac:dyDescent="0.35">
      <c r="A1387" s="64"/>
      <c r="B1387" s="65"/>
      <c r="C1387" s="65" t="str">
        <f>IFERROR(VLOOKUP(B1387,منتجات!$A$3:$C$350,2,0),"")</f>
        <v/>
      </c>
      <c r="D1387" s="65" t="str">
        <f>IFERROR(VLOOKUP(B1387,منتجات!$A$3:$C$350,3,0),"")</f>
        <v/>
      </c>
      <c r="E1387" s="65"/>
      <c r="F1387" s="65" t="str">
        <f>IFERROR(INDEX(منتجات!$G$3:$G$350,MATCH(B1387,منتجات!$A$3:$A$115,0)),"")</f>
        <v/>
      </c>
      <c r="G1387" s="65" t="str">
        <f t="shared" si="23"/>
        <v/>
      </c>
      <c r="H1387" s="70"/>
    </row>
    <row r="1388" spans="1:8" x14ac:dyDescent="0.35">
      <c r="A1388" s="62"/>
      <c r="B1388" s="63"/>
      <c r="C1388" s="63" t="str">
        <f>IFERROR(VLOOKUP(B1388,منتجات!$A$3:$C$350,2,0),"")</f>
        <v/>
      </c>
      <c r="D1388" s="63" t="str">
        <f>IFERROR(VLOOKUP(B1388,منتجات!$A$3:$C$350,3,0),"")</f>
        <v/>
      </c>
      <c r="E1388" s="63"/>
      <c r="F1388" s="63" t="str">
        <f>IFERROR(INDEX(منتجات!$G$3:$G$350,MATCH(B1388,منتجات!$A$3:$A$115,0)),"")</f>
        <v/>
      </c>
      <c r="G1388" s="63" t="str">
        <f t="shared" si="23"/>
        <v/>
      </c>
      <c r="H1388" s="69"/>
    </row>
    <row r="1389" spans="1:8" x14ac:dyDescent="0.35">
      <c r="A1389" s="64"/>
      <c r="B1389" s="65"/>
      <c r="C1389" s="65" t="str">
        <f>IFERROR(VLOOKUP(B1389,منتجات!$A$3:$C$350,2,0),"")</f>
        <v/>
      </c>
      <c r="D1389" s="65" t="str">
        <f>IFERROR(VLOOKUP(B1389,منتجات!$A$3:$C$350,3,0),"")</f>
        <v/>
      </c>
      <c r="E1389" s="65"/>
      <c r="F1389" s="65" t="str">
        <f>IFERROR(INDEX(منتجات!$G$3:$G$350,MATCH(B1389,منتجات!$A$3:$A$115,0)),"")</f>
        <v/>
      </c>
      <c r="G1389" s="65" t="str">
        <f t="shared" si="23"/>
        <v/>
      </c>
      <c r="H1389" s="70"/>
    </row>
    <row r="1390" spans="1:8" x14ac:dyDescent="0.35">
      <c r="A1390" s="62"/>
      <c r="B1390" s="63"/>
      <c r="C1390" s="63" t="str">
        <f>IFERROR(VLOOKUP(B1390,منتجات!$A$3:$C$350,2,0),"")</f>
        <v/>
      </c>
      <c r="D1390" s="63" t="str">
        <f>IFERROR(VLOOKUP(B1390,منتجات!$A$3:$C$350,3,0),"")</f>
        <v/>
      </c>
      <c r="E1390" s="63"/>
      <c r="F1390" s="63" t="str">
        <f>IFERROR(INDEX(منتجات!$G$3:$G$350,MATCH(B1390,منتجات!$A$3:$A$115,0)),"")</f>
        <v/>
      </c>
      <c r="G1390" s="63" t="str">
        <f t="shared" si="23"/>
        <v/>
      </c>
      <c r="H1390" s="69"/>
    </row>
    <row r="1391" spans="1:8" x14ac:dyDescent="0.35">
      <c r="A1391" s="64"/>
      <c r="B1391" s="65"/>
      <c r="C1391" s="65" t="str">
        <f>IFERROR(VLOOKUP(B1391,منتجات!$A$3:$C$350,2,0),"")</f>
        <v/>
      </c>
      <c r="D1391" s="65" t="str">
        <f>IFERROR(VLOOKUP(B1391,منتجات!$A$3:$C$350,3,0),"")</f>
        <v/>
      </c>
      <c r="E1391" s="65"/>
      <c r="F1391" s="65" t="str">
        <f>IFERROR(INDEX(منتجات!$G$3:$G$350,MATCH(B1391,منتجات!$A$3:$A$115,0)),"")</f>
        <v/>
      </c>
      <c r="G1391" s="65" t="str">
        <f t="shared" si="23"/>
        <v/>
      </c>
      <c r="H1391" s="70"/>
    </row>
    <row r="1392" spans="1:8" x14ac:dyDescent="0.35">
      <c r="A1392" s="62"/>
      <c r="B1392" s="63"/>
      <c r="C1392" s="63" t="str">
        <f>IFERROR(VLOOKUP(B1392,منتجات!$A$3:$C$350,2,0),"")</f>
        <v/>
      </c>
      <c r="D1392" s="63" t="str">
        <f>IFERROR(VLOOKUP(B1392,منتجات!$A$3:$C$350,3,0),"")</f>
        <v/>
      </c>
      <c r="E1392" s="63"/>
      <c r="F1392" s="63" t="str">
        <f>IFERROR(INDEX(منتجات!$G$3:$G$350,MATCH(B1392,منتجات!$A$3:$A$115,0)),"")</f>
        <v/>
      </c>
      <c r="G1392" s="63" t="str">
        <f t="shared" si="23"/>
        <v/>
      </c>
      <c r="H1392" s="69"/>
    </row>
    <row r="1393" spans="1:8" x14ac:dyDescent="0.35">
      <c r="A1393" s="64"/>
      <c r="B1393" s="65"/>
      <c r="C1393" s="65" t="str">
        <f>IFERROR(VLOOKUP(B1393,منتجات!$A$3:$C$350,2,0),"")</f>
        <v/>
      </c>
      <c r="D1393" s="65" t="str">
        <f>IFERROR(VLOOKUP(B1393,منتجات!$A$3:$C$350,3,0),"")</f>
        <v/>
      </c>
      <c r="E1393" s="65"/>
      <c r="F1393" s="65" t="str">
        <f>IFERROR(INDEX(منتجات!$G$3:$G$350,MATCH(B1393,منتجات!$A$3:$A$115,0)),"")</f>
        <v/>
      </c>
      <c r="G1393" s="65" t="str">
        <f t="shared" si="23"/>
        <v/>
      </c>
      <c r="H1393" s="70"/>
    </row>
    <row r="1394" spans="1:8" x14ac:dyDescent="0.35">
      <c r="A1394" s="62"/>
      <c r="B1394" s="63"/>
      <c r="C1394" s="63" t="str">
        <f>IFERROR(VLOOKUP(B1394,منتجات!$A$3:$C$350,2,0),"")</f>
        <v/>
      </c>
      <c r="D1394" s="63" t="str">
        <f>IFERROR(VLOOKUP(B1394,منتجات!$A$3:$C$350,3,0),"")</f>
        <v/>
      </c>
      <c r="E1394" s="63"/>
      <c r="F1394" s="63" t="str">
        <f>IFERROR(INDEX(منتجات!$G$3:$G$350,MATCH(B1394,منتجات!$A$3:$A$115,0)),"")</f>
        <v/>
      </c>
      <c r="G1394" s="63" t="str">
        <f t="shared" si="23"/>
        <v/>
      </c>
      <c r="H1394" s="69"/>
    </row>
    <row r="1395" spans="1:8" x14ac:dyDescent="0.35">
      <c r="A1395" s="64"/>
      <c r="B1395" s="65"/>
      <c r="C1395" s="65" t="str">
        <f>IFERROR(VLOOKUP(B1395,منتجات!$A$3:$C$350,2,0),"")</f>
        <v/>
      </c>
      <c r="D1395" s="65" t="str">
        <f>IFERROR(VLOOKUP(B1395,منتجات!$A$3:$C$350,3,0),"")</f>
        <v/>
      </c>
      <c r="E1395" s="65"/>
      <c r="F1395" s="65" t="str">
        <f>IFERROR(INDEX(منتجات!$G$3:$G$350,MATCH(B1395,منتجات!$A$3:$A$115,0)),"")</f>
        <v/>
      </c>
      <c r="G1395" s="65" t="str">
        <f t="shared" si="23"/>
        <v/>
      </c>
      <c r="H1395" s="70"/>
    </row>
    <row r="1396" spans="1:8" x14ac:dyDescent="0.35">
      <c r="A1396" s="62"/>
      <c r="B1396" s="63"/>
      <c r="C1396" s="63" t="str">
        <f>IFERROR(VLOOKUP(B1396,منتجات!$A$3:$C$350,2,0),"")</f>
        <v/>
      </c>
      <c r="D1396" s="63" t="str">
        <f>IFERROR(VLOOKUP(B1396,منتجات!$A$3:$C$350,3,0),"")</f>
        <v/>
      </c>
      <c r="E1396" s="63"/>
      <c r="F1396" s="63" t="str">
        <f>IFERROR(INDEX(منتجات!$G$3:$G$350,MATCH(B1396,منتجات!$A$3:$A$115,0)),"")</f>
        <v/>
      </c>
      <c r="G1396" s="63" t="str">
        <f t="shared" si="23"/>
        <v/>
      </c>
      <c r="H1396" s="69"/>
    </row>
    <row r="1397" spans="1:8" x14ac:dyDescent="0.35">
      <c r="A1397" s="64"/>
      <c r="B1397" s="65"/>
      <c r="C1397" s="65" t="str">
        <f>IFERROR(VLOOKUP(B1397,منتجات!$A$3:$C$350,2,0),"")</f>
        <v/>
      </c>
      <c r="D1397" s="65" t="str">
        <f>IFERROR(VLOOKUP(B1397,منتجات!$A$3:$C$350,3,0),"")</f>
        <v/>
      </c>
      <c r="E1397" s="65"/>
      <c r="F1397" s="65" t="str">
        <f>IFERROR(INDEX(منتجات!$G$3:$G$350,MATCH(B1397,منتجات!$A$3:$A$115,0)),"")</f>
        <v/>
      </c>
      <c r="G1397" s="65" t="str">
        <f t="shared" si="23"/>
        <v/>
      </c>
      <c r="H1397" s="70"/>
    </row>
    <row r="1398" spans="1:8" x14ac:dyDescent="0.35">
      <c r="A1398" s="62"/>
      <c r="B1398" s="63"/>
      <c r="C1398" s="63" t="str">
        <f>IFERROR(VLOOKUP(B1398,منتجات!$A$3:$C$350,2,0),"")</f>
        <v/>
      </c>
      <c r="D1398" s="63" t="str">
        <f>IFERROR(VLOOKUP(B1398,منتجات!$A$3:$C$350,3,0),"")</f>
        <v/>
      </c>
      <c r="E1398" s="63"/>
      <c r="F1398" s="63" t="str">
        <f>IFERROR(INDEX(منتجات!$G$3:$G$350,MATCH(B1398,منتجات!$A$3:$A$115,0)),"")</f>
        <v/>
      </c>
      <c r="G1398" s="63" t="str">
        <f t="shared" si="23"/>
        <v/>
      </c>
      <c r="H1398" s="69"/>
    </row>
    <row r="1399" spans="1:8" x14ac:dyDescent="0.35">
      <c r="A1399" s="64"/>
      <c r="B1399" s="65"/>
      <c r="C1399" s="65" t="str">
        <f>IFERROR(VLOOKUP(B1399,منتجات!$A$3:$C$350,2,0),"")</f>
        <v/>
      </c>
      <c r="D1399" s="65" t="str">
        <f>IFERROR(VLOOKUP(B1399,منتجات!$A$3:$C$350,3,0),"")</f>
        <v/>
      </c>
      <c r="E1399" s="65"/>
      <c r="F1399" s="65" t="str">
        <f>IFERROR(INDEX(منتجات!$G$3:$G$350,MATCH(B1399,منتجات!$A$3:$A$115,0)),"")</f>
        <v/>
      </c>
      <c r="G1399" s="65" t="str">
        <f t="shared" si="23"/>
        <v/>
      </c>
      <c r="H1399" s="70"/>
    </row>
    <row r="1400" spans="1:8" x14ac:dyDescent="0.35">
      <c r="A1400" s="62"/>
      <c r="B1400" s="63"/>
      <c r="C1400" s="63" t="str">
        <f>IFERROR(VLOOKUP(B1400,منتجات!$A$3:$C$350,2,0),"")</f>
        <v/>
      </c>
      <c r="D1400" s="63" t="str">
        <f>IFERROR(VLOOKUP(B1400,منتجات!$A$3:$C$350,3,0),"")</f>
        <v/>
      </c>
      <c r="E1400" s="63"/>
      <c r="F1400" s="63" t="str">
        <f>IFERROR(INDEX(منتجات!$G$3:$G$350,MATCH(B1400,منتجات!$A$3:$A$115,0)),"")</f>
        <v/>
      </c>
      <c r="G1400" s="63" t="str">
        <f t="shared" si="23"/>
        <v/>
      </c>
      <c r="H1400" s="69"/>
    </row>
    <row r="1401" spans="1:8" x14ac:dyDescent="0.35">
      <c r="A1401" s="64"/>
      <c r="B1401" s="65"/>
      <c r="C1401" s="65" t="str">
        <f>IFERROR(VLOOKUP(B1401,منتجات!$A$3:$C$350,2,0),"")</f>
        <v/>
      </c>
      <c r="D1401" s="65" t="str">
        <f>IFERROR(VLOOKUP(B1401,منتجات!$A$3:$C$350,3,0),"")</f>
        <v/>
      </c>
      <c r="E1401" s="65"/>
      <c r="F1401" s="65" t="str">
        <f>IFERROR(INDEX(منتجات!$G$3:$G$350,MATCH(B1401,منتجات!$A$3:$A$115,0)),"")</f>
        <v/>
      </c>
      <c r="G1401" s="65" t="str">
        <f t="shared" si="23"/>
        <v/>
      </c>
      <c r="H1401" s="70"/>
    </row>
    <row r="1402" spans="1:8" x14ac:dyDescent="0.35">
      <c r="A1402" s="62"/>
      <c r="B1402" s="63"/>
      <c r="C1402" s="63" t="str">
        <f>IFERROR(VLOOKUP(B1402,منتجات!$A$3:$C$350,2,0),"")</f>
        <v/>
      </c>
      <c r="D1402" s="63" t="str">
        <f>IFERROR(VLOOKUP(B1402,منتجات!$A$3:$C$350,3,0),"")</f>
        <v/>
      </c>
      <c r="E1402" s="63"/>
      <c r="F1402" s="63" t="str">
        <f>IFERROR(INDEX(منتجات!$G$3:$G$350,MATCH(B1402,منتجات!$A$3:$A$115,0)),"")</f>
        <v/>
      </c>
      <c r="G1402" s="63" t="str">
        <f t="shared" si="23"/>
        <v/>
      </c>
      <c r="H1402" s="69"/>
    </row>
    <row r="1403" spans="1:8" x14ac:dyDescent="0.35">
      <c r="A1403" s="64"/>
      <c r="B1403" s="65"/>
      <c r="C1403" s="65" t="str">
        <f>IFERROR(VLOOKUP(B1403,منتجات!$A$3:$C$350,2,0),"")</f>
        <v/>
      </c>
      <c r="D1403" s="65" t="str">
        <f>IFERROR(VLOOKUP(B1403,منتجات!$A$3:$C$350,3,0),"")</f>
        <v/>
      </c>
      <c r="E1403" s="65"/>
      <c r="F1403" s="65" t="str">
        <f>IFERROR(INDEX(منتجات!$G$3:$G$350,MATCH(B1403,منتجات!$A$3:$A$115,0)),"")</f>
        <v/>
      </c>
      <c r="G1403" s="65" t="str">
        <f t="shared" si="23"/>
        <v/>
      </c>
      <c r="H1403" s="70"/>
    </row>
    <row r="1404" spans="1:8" x14ac:dyDescent="0.35">
      <c r="A1404" s="62"/>
      <c r="B1404" s="63"/>
      <c r="C1404" s="63" t="str">
        <f>IFERROR(VLOOKUP(B1404,منتجات!$A$3:$C$350,2,0),"")</f>
        <v/>
      </c>
      <c r="D1404" s="63" t="str">
        <f>IFERROR(VLOOKUP(B1404,منتجات!$A$3:$C$350,3,0),"")</f>
        <v/>
      </c>
      <c r="E1404" s="63"/>
      <c r="F1404" s="63" t="str">
        <f>IFERROR(INDEX(منتجات!$G$3:$G$350,MATCH(B1404,منتجات!$A$3:$A$115,0)),"")</f>
        <v/>
      </c>
      <c r="G1404" s="63" t="str">
        <f t="shared" si="23"/>
        <v/>
      </c>
      <c r="H1404" s="69"/>
    </row>
    <row r="1405" spans="1:8" x14ac:dyDescent="0.35">
      <c r="A1405" s="64"/>
      <c r="B1405" s="65"/>
      <c r="C1405" s="65" t="str">
        <f>IFERROR(VLOOKUP(B1405,منتجات!$A$3:$C$350,2,0),"")</f>
        <v/>
      </c>
      <c r="D1405" s="65" t="str">
        <f>IFERROR(VLOOKUP(B1405,منتجات!$A$3:$C$350,3,0),"")</f>
        <v/>
      </c>
      <c r="E1405" s="65"/>
      <c r="F1405" s="65" t="str">
        <f>IFERROR(INDEX(منتجات!$G$3:$G$350,MATCH(B1405,منتجات!$A$3:$A$115,0)),"")</f>
        <v/>
      </c>
      <c r="G1405" s="65" t="str">
        <f t="shared" si="23"/>
        <v/>
      </c>
      <c r="H1405" s="70"/>
    </row>
    <row r="1406" spans="1:8" x14ac:dyDescent="0.35">
      <c r="A1406" s="62"/>
      <c r="B1406" s="63"/>
      <c r="C1406" s="63" t="str">
        <f>IFERROR(VLOOKUP(B1406,منتجات!$A$3:$C$350,2,0),"")</f>
        <v/>
      </c>
      <c r="D1406" s="63" t="str">
        <f>IFERROR(VLOOKUP(B1406,منتجات!$A$3:$C$350,3,0),"")</f>
        <v/>
      </c>
      <c r="E1406" s="63"/>
      <c r="F1406" s="63" t="str">
        <f>IFERROR(INDEX(منتجات!$G$3:$G$350,MATCH(B1406,منتجات!$A$3:$A$115,0)),"")</f>
        <v/>
      </c>
      <c r="G1406" s="63" t="str">
        <f t="shared" si="23"/>
        <v/>
      </c>
      <c r="H1406" s="69"/>
    </row>
    <row r="1407" spans="1:8" x14ac:dyDescent="0.35">
      <c r="A1407" s="64"/>
      <c r="B1407" s="65"/>
      <c r="C1407" s="65" t="str">
        <f>IFERROR(VLOOKUP(B1407,منتجات!$A$3:$C$350,2,0),"")</f>
        <v/>
      </c>
      <c r="D1407" s="65" t="str">
        <f>IFERROR(VLOOKUP(B1407,منتجات!$A$3:$C$350,3,0),"")</f>
        <v/>
      </c>
      <c r="E1407" s="65"/>
      <c r="F1407" s="65" t="str">
        <f>IFERROR(INDEX(منتجات!$G$3:$G$350,MATCH(B1407,منتجات!$A$3:$A$115,0)),"")</f>
        <v/>
      </c>
      <c r="G1407" s="65" t="str">
        <f t="shared" si="23"/>
        <v/>
      </c>
      <c r="H1407" s="70"/>
    </row>
    <row r="1408" spans="1:8" x14ac:dyDescent="0.35">
      <c r="A1408" s="62"/>
      <c r="B1408" s="63"/>
      <c r="C1408" s="63" t="str">
        <f>IFERROR(VLOOKUP(B1408,منتجات!$A$3:$C$350,2,0),"")</f>
        <v/>
      </c>
      <c r="D1408" s="63" t="str">
        <f>IFERROR(VLOOKUP(B1408,منتجات!$A$3:$C$350,3,0),"")</f>
        <v/>
      </c>
      <c r="E1408" s="63"/>
      <c r="F1408" s="63" t="str">
        <f>IFERROR(INDEX(منتجات!$G$3:$G$350,MATCH(B1408,منتجات!$A$3:$A$115,0)),"")</f>
        <v/>
      </c>
      <c r="G1408" s="63" t="str">
        <f t="shared" si="23"/>
        <v/>
      </c>
      <c r="H1408" s="69"/>
    </row>
    <row r="1409" spans="1:8" x14ac:dyDescent="0.35">
      <c r="A1409" s="64"/>
      <c r="B1409" s="65"/>
      <c r="C1409" s="65" t="str">
        <f>IFERROR(VLOOKUP(B1409,منتجات!$A$3:$C$350,2,0),"")</f>
        <v/>
      </c>
      <c r="D1409" s="65" t="str">
        <f>IFERROR(VLOOKUP(B1409,منتجات!$A$3:$C$350,3,0),"")</f>
        <v/>
      </c>
      <c r="E1409" s="65"/>
      <c r="F1409" s="65" t="str">
        <f>IFERROR(INDEX(منتجات!$G$3:$G$350,MATCH(B1409,منتجات!$A$3:$A$115,0)),"")</f>
        <v/>
      </c>
      <c r="G1409" s="65" t="str">
        <f t="shared" si="23"/>
        <v/>
      </c>
      <c r="H1409" s="70"/>
    </row>
    <row r="1410" spans="1:8" x14ac:dyDescent="0.35">
      <c r="A1410" s="62"/>
      <c r="B1410" s="63"/>
      <c r="C1410" s="63" t="str">
        <f>IFERROR(VLOOKUP(B1410,منتجات!$A$3:$C$350,2,0),"")</f>
        <v/>
      </c>
      <c r="D1410" s="63" t="str">
        <f>IFERROR(VLOOKUP(B1410,منتجات!$A$3:$C$350,3,0),"")</f>
        <v/>
      </c>
      <c r="E1410" s="63"/>
      <c r="F1410" s="63" t="str">
        <f>IFERROR(INDEX(منتجات!$G$3:$G$350,MATCH(B1410,منتجات!$A$3:$A$115,0)),"")</f>
        <v/>
      </c>
      <c r="G1410" s="63" t="str">
        <f t="shared" si="23"/>
        <v/>
      </c>
      <c r="H1410" s="69"/>
    </row>
    <row r="1411" spans="1:8" x14ac:dyDescent="0.35">
      <c r="A1411" s="64"/>
      <c r="B1411" s="65"/>
      <c r="C1411" s="65" t="str">
        <f>IFERROR(VLOOKUP(B1411,منتجات!$A$3:$C$350,2,0),"")</f>
        <v/>
      </c>
      <c r="D1411" s="65" t="str">
        <f>IFERROR(VLOOKUP(B1411,منتجات!$A$3:$C$350,3,0),"")</f>
        <v/>
      </c>
      <c r="E1411" s="65"/>
      <c r="F1411" s="65" t="str">
        <f>IFERROR(INDEX(منتجات!$G$3:$G$350,MATCH(B1411,منتجات!$A$3:$A$115,0)),"")</f>
        <v/>
      </c>
      <c r="G1411" s="65" t="str">
        <f t="shared" si="23"/>
        <v/>
      </c>
      <c r="H1411" s="70"/>
    </row>
    <row r="1412" spans="1:8" x14ac:dyDescent="0.35">
      <c r="A1412" s="62"/>
      <c r="B1412" s="63"/>
      <c r="C1412" s="63" t="str">
        <f>IFERROR(VLOOKUP(B1412,منتجات!$A$3:$C$350,2,0),"")</f>
        <v/>
      </c>
      <c r="D1412" s="63" t="str">
        <f>IFERROR(VLOOKUP(B1412,منتجات!$A$3:$C$350,3,0),"")</f>
        <v/>
      </c>
      <c r="E1412" s="63"/>
      <c r="F1412" s="63" t="str">
        <f>IFERROR(INDEX(منتجات!$G$3:$G$350,MATCH(B1412,منتجات!$A$3:$A$115,0)),"")</f>
        <v/>
      </c>
      <c r="G1412" s="63" t="str">
        <f t="shared" si="23"/>
        <v/>
      </c>
      <c r="H1412" s="69"/>
    </row>
    <row r="1413" spans="1:8" x14ac:dyDescent="0.35">
      <c r="A1413" s="64"/>
      <c r="B1413" s="65"/>
      <c r="C1413" s="65" t="str">
        <f>IFERROR(VLOOKUP(B1413,منتجات!$A$3:$C$350,2,0),"")</f>
        <v/>
      </c>
      <c r="D1413" s="65" t="str">
        <f>IFERROR(VLOOKUP(B1413,منتجات!$A$3:$C$350,3,0),"")</f>
        <v/>
      </c>
      <c r="E1413" s="65"/>
      <c r="F1413" s="65" t="str">
        <f>IFERROR(INDEX(منتجات!$G$3:$G$350,MATCH(B1413,منتجات!$A$3:$A$115,0)),"")</f>
        <v/>
      </c>
      <c r="G1413" s="65" t="str">
        <f t="shared" si="23"/>
        <v/>
      </c>
      <c r="H1413" s="70"/>
    </row>
    <row r="1414" spans="1:8" x14ac:dyDescent="0.35">
      <c r="A1414" s="62"/>
      <c r="B1414" s="63"/>
      <c r="C1414" s="63" t="str">
        <f>IFERROR(VLOOKUP(B1414,منتجات!$A$3:$C$350,2,0),"")</f>
        <v/>
      </c>
      <c r="D1414" s="63" t="str">
        <f>IFERROR(VLOOKUP(B1414,منتجات!$A$3:$C$350,3,0),"")</f>
        <v/>
      </c>
      <c r="E1414" s="63"/>
      <c r="F1414" s="63" t="str">
        <f>IFERROR(INDEX(منتجات!$G$3:$G$350,MATCH(B1414,منتجات!$A$3:$A$115,0)),"")</f>
        <v/>
      </c>
      <c r="G1414" s="63" t="str">
        <f t="shared" ref="G1414:G1477" si="24">IFERROR(E1414*F1414*D1414,"")</f>
        <v/>
      </c>
      <c r="H1414" s="69"/>
    </row>
    <row r="1415" spans="1:8" x14ac:dyDescent="0.35">
      <c r="A1415" s="64"/>
      <c r="B1415" s="65"/>
      <c r="C1415" s="65" t="str">
        <f>IFERROR(VLOOKUP(B1415,منتجات!$A$3:$C$350,2,0),"")</f>
        <v/>
      </c>
      <c r="D1415" s="65" t="str">
        <f>IFERROR(VLOOKUP(B1415,منتجات!$A$3:$C$350,3,0),"")</f>
        <v/>
      </c>
      <c r="E1415" s="65"/>
      <c r="F1415" s="65" t="str">
        <f>IFERROR(INDEX(منتجات!$G$3:$G$350,MATCH(B1415,منتجات!$A$3:$A$115,0)),"")</f>
        <v/>
      </c>
      <c r="G1415" s="65" t="str">
        <f t="shared" si="24"/>
        <v/>
      </c>
      <c r="H1415" s="70"/>
    </row>
    <row r="1416" spans="1:8" x14ac:dyDescent="0.35">
      <c r="A1416" s="62"/>
      <c r="B1416" s="63"/>
      <c r="C1416" s="63" t="str">
        <f>IFERROR(VLOOKUP(B1416,منتجات!$A$3:$C$350,2,0),"")</f>
        <v/>
      </c>
      <c r="D1416" s="63" t="str">
        <f>IFERROR(VLOOKUP(B1416,منتجات!$A$3:$C$350,3,0),"")</f>
        <v/>
      </c>
      <c r="E1416" s="63"/>
      <c r="F1416" s="63" t="str">
        <f>IFERROR(INDEX(منتجات!$G$3:$G$350,MATCH(B1416,منتجات!$A$3:$A$115,0)),"")</f>
        <v/>
      </c>
      <c r="G1416" s="63" t="str">
        <f t="shared" si="24"/>
        <v/>
      </c>
      <c r="H1416" s="69"/>
    </row>
    <row r="1417" spans="1:8" x14ac:dyDescent="0.35">
      <c r="A1417" s="64"/>
      <c r="B1417" s="65"/>
      <c r="C1417" s="65" t="str">
        <f>IFERROR(VLOOKUP(B1417,منتجات!$A$3:$C$350,2,0),"")</f>
        <v/>
      </c>
      <c r="D1417" s="65" t="str">
        <f>IFERROR(VLOOKUP(B1417,منتجات!$A$3:$C$350,3,0),"")</f>
        <v/>
      </c>
      <c r="E1417" s="65"/>
      <c r="F1417" s="65" t="str">
        <f>IFERROR(INDEX(منتجات!$G$3:$G$350,MATCH(B1417,منتجات!$A$3:$A$115,0)),"")</f>
        <v/>
      </c>
      <c r="G1417" s="65" t="str">
        <f t="shared" si="24"/>
        <v/>
      </c>
      <c r="H1417" s="70"/>
    </row>
    <row r="1418" spans="1:8" x14ac:dyDescent="0.35">
      <c r="A1418" s="62"/>
      <c r="B1418" s="63"/>
      <c r="C1418" s="63" t="str">
        <f>IFERROR(VLOOKUP(B1418,منتجات!$A$3:$C$350,2,0),"")</f>
        <v/>
      </c>
      <c r="D1418" s="63" t="str">
        <f>IFERROR(VLOOKUP(B1418,منتجات!$A$3:$C$350,3,0),"")</f>
        <v/>
      </c>
      <c r="E1418" s="63"/>
      <c r="F1418" s="63" t="str">
        <f>IFERROR(INDEX(منتجات!$G$3:$G$350,MATCH(B1418,منتجات!$A$3:$A$115,0)),"")</f>
        <v/>
      </c>
      <c r="G1418" s="63" t="str">
        <f t="shared" si="24"/>
        <v/>
      </c>
      <c r="H1418" s="69"/>
    </row>
    <row r="1419" spans="1:8" x14ac:dyDescent="0.35">
      <c r="A1419" s="64"/>
      <c r="B1419" s="65"/>
      <c r="C1419" s="65" t="str">
        <f>IFERROR(VLOOKUP(B1419,منتجات!$A$3:$C$350,2,0),"")</f>
        <v/>
      </c>
      <c r="D1419" s="65" t="str">
        <f>IFERROR(VLOOKUP(B1419,منتجات!$A$3:$C$350,3,0),"")</f>
        <v/>
      </c>
      <c r="E1419" s="65"/>
      <c r="F1419" s="65" t="str">
        <f>IFERROR(INDEX(منتجات!$G$3:$G$350,MATCH(B1419,منتجات!$A$3:$A$115,0)),"")</f>
        <v/>
      </c>
      <c r="G1419" s="65" t="str">
        <f t="shared" si="24"/>
        <v/>
      </c>
      <c r="H1419" s="70"/>
    </row>
    <row r="1420" spans="1:8" x14ac:dyDescent="0.35">
      <c r="A1420" s="62"/>
      <c r="B1420" s="63"/>
      <c r="C1420" s="63" t="str">
        <f>IFERROR(VLOOKUP(B1420,منتجات!$A$3:$C$350,2,0),"")</f>
        <v/>
      </c>
      <c r="D1420" s="63" t="str">
        <f>IFERROR(VLOOKUP(B1420,منتجات!$A$3:$C$350,3,0),"")</f>
        <v/>
      </c>
      <c r="E1420" s="63"/>
      <c r="F1420" s="63" t="str">
        <f>IFERROR(INDEX(منتجات!$G$3:$G$350,MATCH(B1420,منتجات!$A$3:$A$115,0)),"")</f>
        <v/>
      </c>
      <c r="G1420" s="63" t="str">
        <f t="shared" si="24"/>
        <v/>
      </c>
      <c r="H1420" s="69"/>
    </row>
    <row r="1421" spans="1:8" x14ac:dyDescent="0.35">
      <c r="A1421" s="64"/>
      <c r="B1421" s="65"/>
      <c r="C1421" s="65" t="str">
        <f>IFERROR(VLOOKUP(B1421,منتجات!$A$3:$C$350,2,0),"")</f>
        <v/>
      </c>
      <c r="D1421" s="65" t="str">
        <f>IFERROR(VLOOKUP(B1421,منتجات!$A$3:$C$350,3,0),"")</f>
        <v/>
      </c>
      <c r="E1421" s="65"/>
      <c r="F1421" s="65" t="str">
        <f>IFERROR(INDEX(منتجات!$G$3:$G$350,MATCH(B1421,منتجات!$A$3:$A$115,0)),"")</f>
        <v/>
      </c>
      <c r="G1421" s="65" t="str">
        <f t="shared" si="24"/>
        <v/>
      </c>
      <c r="H1421" s="70"/>
    </row>
    <row r="1422" spans="1:8" x14ac:dyDescent="0.35">
      <c r="A1422" s="62"/>
      <c r="B1422" s="63"/>
      <c r="C1422" s="63" t="str">
        <f>IFERROR(VLOOKUP(B1422,منتجات!$A$3:$C$350,2,0),"")</f>
        <v/>
      </c>
      <c r="D1422" s="63" t="str">
        <f>IFERROR(VLOOKUP(B1422,منتجات!$A$3:$C$350,3,0),"")</f>
        <v/>
      </c>
      <c r="E1422" s="63"/>
      <c r="F1422" s="63" t="str">
        <f>IFERROR(INDEX(منتجات!$G$3:$G$350,MATCH(B1422,منتجات!$A$3:$A$115,0)),"")</f>
        <v/>
      </c>
      <c r="G1422" s="63" t="str">
        <f t="shared" si="24"/>
        <v/>
      </c>
      <c r="H1422" s="69"/>
    </row>
    <row r="1423" spans="1:8" x14ac:dyDescent="0.35">
      <c r="A1423" s="64"/>
      <c r="B1423" s="65"/>
      <c r="C1423" s="65" t="str">
        <f>IFERROR(VLOOKUP(B1423,منتجات!$A$3:$C$350,2,0),"")</f>
        <v/>
      </c>
      <c r="D1423" s="65" t="str">
        <f>IFERROR(VLOOKUP(B1423,منتجات!$A$3:$C$350,3,0),"")</f>
        <v/>
      </c>
      <c r="E1423" s="65"/>
      <c r="F1423" s="65" t="str">
        <f>IFERROR(INDEX(منتجات!$G$3:$G$350,MATCH(B1423,منتجات!$A$3:$A$115,0)),"")</f>
        <v/>
      </c>
      <c r="G1423" s="65" t="str">
        <f t="shared" si="24"/>
        <v/>
      </c>
      <c r="H1423" s="70"/>
    </row>
    <row r="1424" spans="1:8" x14ac:dyDescent="0.35">
      <c r="A1424" s="62"/>
      <c r="B1424" s="63"/>
      <c r="C1424" s="63" t="str">
        <f>IFERROR(VLOOKUP(B1424,منتجات!$A$3:$C$350,2,0),"")</f>
        <v/>
      </c>
      <c r="D1424" s="63" t="str">
        <f>IFERROR(VLOOKUP(B1424,منتجات!$A$3:$C$350,3,0),"")</f>
        <v/>
      </c>
      <c r="E1424" s="63"/>
      <c r="F1424" s="63" t="str">
        <f>IFERROR(INDEX(منتجات!$G$3:$G$350,MATCH(B1424,منتجات!$A$3:$A$115,0)),"")</f>
        <v/>
      </c>
      <c r="G1424" s="63" t="str">
        <f t="shared" si="24"/>
        <v/>
      </c>
      <c r="H1424" s="69"/>
    </row>
    <row r="1425" spans="1:8" x14ac:dyDescent="0.35">
      <c r="A1425" s="64"/>
      <c r="B1425" s="65"/>
      <c r="C1425" s="65" t="str">
        <f>IFERROR(VLOOKUP(B1425,منتجات!$A$3:$C$350,2,0),"")</f>
        <v/>
      </c>
      <c r="D1425" s="65" t="str">
        <f>IFERROR(VLOOKUP(B1425,منتجات!$A$3:$C$350,3,0),"")</f>
        <v/>
      </c>
      <c r="E1425" s="65"/>
      <c r="F1425" s="65" t="str">
        <f>IFERROR(INDEX(منتجات!$G$3:$G$350,MATCH(B1425,منتجات!$A$3:$A$115,0)),"")</f>
        <v/>
      </c>
      <c r="G1425" s="65" t="str">
        <f t="shared" si="24"/>
        <v/>
      </c>
      <c r="H1425" s="70"/>
    </row>
    <row r="1426" spans="1:8" x14ac:dyDescent="0.35">
      <c r="A1426" s="62"/>
      <c r="B1426" s="63"/>
      <c r="C1426" s="63" t="str">
        <f>IFERROR(VLOOKUP(B1426,منتجات!$A$3:$C$350,2,0),"")</f>
        <v/>
      </c>
      <c r="D1426" s="63" t="str">
        <f>IFERROR(VLOOKUP(B1426,منتجات!$A$3:$C$350,3,0),"")</f>
        <v/>
      </c>
      <c r="E1426" s="63"/>
      <c r="F1426" s="63" t="str">
        <f>IFERROR(INDEX(منتجات!$G$3:$G$350,MATCH(B1426,منتجات!$A$3:$A$115,0)),"")</f>
        <v/>
      </c>
      <c r="G1426" s="63" t="str">
        <f t="shared" si="24"/>
        <v/>
      </c>
      <c r="H1426" s="69"/>
    </row>
    <row r="1427" spans="1:8" x14ac:dyDescent="0.35">
      <c r="A1427" s="64"/>
      <c r="B1427" s="65"/>
      <c r="C1427" s="65" t="str">
        <f>IFERROR(VLOOKUP(B1427,منتجات!$A$3:$C$350,2,0),"")</f>
        <v/>
      </c>
      <c r="D1427" s="65" t="str">
        <f>IFERROR(VLOOKUP(B1427,منتجات!$A$3:$C$350,3,0),"")</f>
        <v/>
      </c>
      <c r="E1427" s="65"/>
      <c r="F1427" s="65" t="str">
        <f>IFERROR(INDEX(منتجات!$G$3:$G$350,MATCH(B1427,منتجات!$A$3:$A$115,0)),"")</f>
        <v/>
      </c>
      <c r="G1427" s="65" t="str">
        <f t="shared" si="24"/>
        <v/>
      </c>
      <c r="H1427" s="70"/>
    </row>
    <row r="1428" spans="1:8" x14ac:dyDescent="0.35">
      <c r="A1428" s="62"/>
      <c r="B1428" s="63"/>
      <c r="C1428" s="63" t="str">
        <f>IFERROR(VLOOKUP(B1428,منتجات!$A$3:$C$350,2,0),"")</f>
        <v/>
      </c>
      <c r="D1428" s="63" t="str">
        <f>IFERROR(VLOOKUP(B1428,منتجات!$A$3:$C$350,3,0),"")</f>
        <v/>
      </c>
      <c r="E1428" s="63"/>
      <c r="F1428" s="63" t="str">
        <f>IFERROR(INDEX(منتجات!$G$3:$G$350,MATCH(B1428,منتجات!$A$3:$A$115,0)),"")</f>
        <v/>
      </c>
      <c r="G1428" s="63" t="str">
        <f t="shared" si="24"/>
        <v/>
      </c>
      <c r="H1428" s="69"/>
    </row>
    <row r="1429" spans="1:8" x14ac:dyDescent="0.35">
      <c r="A1429" s="64"/>
      <c r="B1429" s="65"/>
      <c r="C1429" s="65" t="str">
        <f>IFERROR(VLOOKUP(B1429,منتجات!$A$3:$C$350,2,0),"")</f>
        <v/>
      </c>
      <c r="D1429" s="65" t="str">
        <f>IFERROR(VLOOKUP(B1429,منتجات!$A$3:$C$350,3,0),"")</f>
        <v/>
      </c>
      <c r="E1429" s="65"/>
      <c r="F1429" s="65" t="str">
        <f>IFERROR(INDEX(منتجات!$G$3:$G$350,MATCH(B1429,منتجات!$A$3:$A$115,0)),"")</f>
        <v/>
      </c>
      <c r="G1429" s="65" t="str">
        <f t="shared" si="24"/>
        <v/>
      </c>
      <c r="H1429" s="70"/>
    </row>
    <row r="1430" spans="1:8" x14ac:dyDescent="0.35">
      <c r="A1430" s="62"/>
      <c r="B1430" s="63"/>
      <c r="C1430" s="63" t="str">
        <f>IFERROR(VLOOKUP(B1430,منتجات!$A$3:$C$350,2,0),"")</f>
        <v/>
      </c>
      <c r="D1430" s="63" t="str">
        <f>IFERROR(VLOOKUP(B1430,منتجات!$A$3:$C$350,3,0),"")</f>
        <v/>
      </c>
      <c r="E1430" s="63"/>
      <c r="F1430" s="63" t="str">
        <f>IFERROR(INDEX(منتجات!$G$3:$G$350,MATCH(B1430,منتجات!$A$3:$A$115,0)),"")</f>
        <v/>
      </c>
      <c r="G1430" s="63" t="str">
        <f t="shared" si="24"/>
        <v/>
      </c>
      <c r="H1430" s="69"/>
    </row>
    <row r="1431" spans="1:8" x14ac:dyDescent="0.35">
      <c r="A1431" s="64"/>
      <c r="B1431" s="65"/>
      <c r="C1431" s="65" t="str">
        <f>IFERROR(VLOOKUP(B1431,منتجات!$A$3:$C$350,2,0),"")</f>
        <v/>
      </c>
      <c r="D1431" s="65" t="str">
        <f>IFERROR(VLOOKUP(B1431,منتجات!$A$3:$C$350,3,0),"")</f>
        <v/>
      </c>
      <c r="E1431" s="65"/>
      <c r="F1431" s="65" t="str">
        <f>IFERROR(INDEX(منتجات!$G$3:$G$350,MATCH(B1431,منتجات!$A$3:$A$115,0)),"")</f>
        <v/>
      </c>
      <c r="G1431" s="65" t="str">
        <f t="shared" si="24"/>
        <v/>
      </c>
      <c r="H1431" s="70"/>
    </row>
    <row r="1432" spans="1:8" x14ac:dyDescent="0.35">
      <c r="A1432" s="62"/>
      <c r="B1432" s="63"/>
      <c r="C1432" s="63" t="str">
        <f>IFERROR(VLOOKUP(B1432,منتجات!$A$3:$C$350,2,0),"")</f>
        <v/>
      </c>
      <c r="D1432" s="63" t="str">
        <f>IFERROR(VLOOKUP(B1432,منتجات!$A$3:$C$350,3,0),"")</f>
        <v/>
      </c>
      <c r="E1432" s="63"/>
      <c r="F1432" s="63" t="str">
        <f>IFERROR(INDEX(منتجات!$G$3:$G$350,MATCH(B1432,منتجات!$A$3:$A$115,0)),"")</f>
        <v/>
      </c>
      <c r="G1432" s="63" t="str">
        <f t="shared" si="24"/>
        <v/>
      </c>
      <c r="H1432" s="69"/>
    </row>
    <row r="1433" spans="1:8" x14ac:dyDescent="0.35">
      <c r="A1433" s="64"/>
      <c r="B1433" s="65"/>
      <c r="C1433" s="65" t="str">
        <f>IFERROR(VLOOKUP(B1433,منتجات!$A$3:$C$350,2,0),"")</f>
        <v/>
      </c>
      <c r="D1433" s="65" t="str">
        <f>IFERROR(VLOOKUP(B1433,منتجات!$A$3:$C$350,3,0),"")</f>
        <v/>
      </c>
      <c r="E1433" s="65"/>
      <c r="F1433" s="65" t="str">
        <f>IFERROR(INDEX(منتجات!$G$3:$G$350,MATCH(B1433,منتجات!$A$3:$A$115,0)),"")</f>
        <v/>
      </c>
      <c r="G1433" s="65" t="str">
        <f t="shared" si="24"/>
        <v/>
      </c>
      <c r="H1433" s="70"/>
    </row>
    <row r="1434" spans="1:8" x14ac:dyDescent="0.35">
      <c r="A1434" s="62"/>
      <c r="B1434" s="63"/>
      <c r="C1434" s="63" t="str">
        <f>IFERROR(VLOOKUP(B1434,منتجات!$A$3:$C$350,2,0),"")</f>
        <v/>
      </c>
      <c r="D1434" s="63" t="str">
        <f>IFERROR(VLOOKUP(B1434,منتجات!$A$3:$C$350,3,0),"")</f>
        <v/>
      </c>
      <c r="E1434" s="63"/>
      <c r="F1434" s="63" t="str">
        <f>IFERROR(INDEX(منتجات!$G$3:$G$350,MATCH(B1434,منتجات!$A$3:$A$115,0)),"")</f>
        <v/>
      </c>
      <c r="G1434" s="63" t="str">
        <f t="shared" si="24"/>
        <v/>
      </c>
      <c r="H1434" s="69"/>
    </row>
    <row r="1435" spans="1:8" x14ac:dyDescent="0.35">
      <c r="A1435" s="64"/>
      <c r="B1435" s="65"/>
      <c r="C1435" s="65" t="str">
        <f>IFERROR(VLOOKUP(B1435,منتجات!$A$3:$C$350,2,0),"")</f>
        <v/>
      </c>
      <c r="D1435" s="65" t="str">
        <f>IFERROR(VLOOKUP(B1435,منتجات!$A$3:$C$350,3,0),"")</f>
        <v/>
      </c>
      <c r="E1435" s="65"/>
      <c r="F1435" s="65" t="str">
        <f>IFERROR(INDEX(منتجات!$G$3:$G$350,MATCH(B1435,منتجات!$A$3:$A$115,0)),"")</f>
        <v/>
      </c>
      <c r="G1435" s="65" t="str">
        <f t="shared" si="24"/>
        <v/>
      </c>
      <c r="H1435" s="70"/>
    </row>
    <row r="1436" spans="1:8" x14ac:dyDescent="0.35">
      <c r="A1436" s="62"/>
      <c r="B1436" s="63"/>
      <c r="C1436" s="63" t="str">
        <f>IFERROR(VLOOKUP(B1436,منتجات!$A$3:$C$350,2,0),"")</f>
        <v/>
      </c>
      <c r="D1436" s="63" t="str">
        <f>IFERROR(VLOOKUP(B1436,منتجات!$A$3:$C$350,3,0),"")</f>
        <v/>
      </c>
      <c r="E1436" s="63"/>
      <c r="F1436" s="63" t="str">
        <f>IFERROR(INDEX(منتجات!$G$3:$G$350,MATCH(B1436,منتجات!$A$3:$A$115,0)),"")</f>
        <v/>
      </c>
      <c r="G1436" s="63" t="str">
        <f t="shared" si="24"/>
        <v/>
      </c>
      <c r="H1436" s="69"/>
    </row>
    <row r="1437" spans="1:8" x14ac:dyDescent="0.35">
      <c r="A1437" s="64"/>
      <c r="B1437" s="65"/>
      <c r="C1437" s="65" t="str">
        <f>IFERROR(VLOOKUP(B1437,منتجات!$A$3:$C$350,2,0),"")</f>
        <v/>
      </c>
      <c r="D1437" s="65" t="str">
        <f>IFERROR(VLOOKUP(B1437,منتجات!$A$3:$C$350,3,0),"")</f>
        <v/>
      </c>
      <c r="E1437" s="65"/>
      <c r="F1437" s="65" t="str">
        <f>IFERROR(INDEX(منتجات!$G$3:$G$350,MATCH(B1437,منتجات!$A$3:$A$115,0)),"")</f>
        <v/>
      </c>
      <c r="G1437" s="65" t="str">
        <f t="shared" si="24"/>
        <v/>
      </c>
      <c r="H1437" s="70"/>
    </row>
    <row r="1438" spans="1:8" x14ac:dyDescent="0.35">
      <c r="A1438" s="62"/>
      <c r="B1438" s="63"/>
      <c r="C1438" s="63" t="str">
        <f>IFERROR(VLOOKUP(B1438,منتجات!$A$3:$C$350,2,0),"")</f>
        <v/>
      </c>
      <c r="D1438" s="63" t="str">
        <f>IFERROR(VLOOKUP(B1438,منتجات!$A$3:$C$350,3,0),"")</f>
        <v/>
      </c>
      <c r="E1438" s="63"/>
      <c r="F1438" s="63" t="str">
        <f>IFERROR(INDEX(منتجات!$G$3:$G$350,MATCH(B1438,منتجات!$A$3:$A$115,0)),"")</f>
        <v/>
      </c>
      <c r="G1438" s="63" t="str">
        <f t="shared" si="24"/>
        <v/>
      </c>
      <c r="H1438" s="69"/>
    </row>
    <row r="1439" spans="1:8" x14ac:dyDescent="0.35">
      <c r="A1439" s="64"/>
      <c r="B1439" s="65"/>
      <c r="C1439" s="65" t="str">
        <f>IFERROR(VLOOKUP(B1439,منتجات!$A$3:$C$350,2,0),"")</f>
        <v/>
      </c>
      <c r="D1439" s="65" t="str">
        <f>IFERROR(VLOOKUP(B1439,منتجات!$A$3:$C$350,3,0),"")</f>
        <v/>
      </c>
      <c r="E1439" s="65"/>
      <c r="F1439" s="65" t="str">
        <f>IFERROR(INDEX(منتجات!$G$3:$G$350,MATCH(B1439,منتجات!$A$3:$A$115,0)),"")</f>
        <v/>
      </c>
      <c r="G1439" s="65" t="str">
        <f t="shared" si="24"/>
        <v/>
      </c>
      <c r="H1439" s="70"/>
    </row>
    <row r="1440" spans="1:8" x14ac:dyDescent="0.35">
      <c r="A1440" s="62"/>
      <c r="B1440" s="63"/>
      <c r="C1440" s="63" t="str">
        <f>IFERROR(VLOOKUP(B1440,منتجات!$A$3:$C$350,2,0),"")</f>
        <v/>
      </c>
      <c r="D1440" s="63" t="str">
        <f>IFERROR(VLOOKUP(B1440,منتجات!$A$3:$C$350,3,0),"")</f>
        <v/>
      </c>
      <c r="E1440" s="63"/>
      <c r="F1440" s="63" t="str">
        <f>IFERROR(INDEX(منتجات!$G$3:$G$350,MATCH(B1440,منتجات!$A$3:$A$115,0)),"")</f>
        <v/>
      </c>
      <c r="G1440" s="63" t="str">
        <f t="shared" si="24"/>
        <v/>
      </c>
      <c r="H1440" s="69"/>
    </row>
    <row r="1441" spans="1:8" x14ac:dyDescent="0.35">
      <c r="A1441" s="64"/>
      <c r="B1441" s="65"/>
      <c r="C1441" s="65" t="str">
        <f>IFERROR(VLOOKUP(B1441,منتجات!$A$3:$C$350,2,0),"")</f>
        <v/>
      </c>
      <c r="D1441" s="65" t="str">
        <f>IFERROR(VLOOKUP(B1441,منتجات!$A$3:$C$350,3,0),"")</f>
        <v/>
      </c>
      <c r="E1441" s="65"/>
      <c r="F1441" s="65" t="str">
        <f>IFERROR(INDEX(منتجات!$G$3:$G$350,MATCH(B1441,منتجات!$A$3:$A$115,0)),"")</f>
        <v/>
      </c>
      <c r="G1441" s="65" t="str">
        <f t="shared" si="24"/>
        <v/>
      </c>
      <c r="H1441" s="70"/>
    </row>
    <row r="1442" spans="1:8" x14ac:dyDescent="0.35">
      <c r="A1442" s="62"/>
      <c r="B1442" s="63"/>
      <c r="C1442" s="63" t="str">
        <f>IFERROR(VLOOKUP(B1442,منتجات!$A$3:$C$350,2,0),"")</f>
        <v/>
      </c>
      <c r="D1442" s="63" t="str">
        <f>IFERROR(VLOOKUP(B1442,منتجات!$A$3:$C$350,3,0),"")</f>
        <v/>
      </c>
      <c r="E1442" s="63"/>
      <c r="F1442" s="63" t="str">
        <f>IFERROR(INDEX(منتجات!$G$3:$G$350,MATCH(B1442,منتجات!$A$3:$A$115,0)),"")</f>
        <v/>
      </c>
      <c r="G1442" s="63" t="str">
        <f t="shared" si="24"/>
        <v/>
      </c>
      <c r="H1442" s="69"/>
    </row>
    <row r="1443" spans="1:8" x14ac:dyDescent="0.35">
      <c r="A1443" s="64"/>
      <c r="B1443" s="65"/>
      <c r="C1443" s="65" t="str">
        <f>IFERROR(VLOOKUP(B1443,منتجات!$A$3:$C$350,2,0),"")</f>
        <v/>
      </c>
      <c r="D1443" s="65" t="str">
        <f>IFERROR(VLOOKUP(B1443,منتجات!$A$3:$C$350,3,0),"")</f>
        <v/>
      </c>
      <c r="E1443" s="65"/>
      <c r="F1443" s="65" t="str">
        <f>IFERROR(INDEX(منتجات!$G$3:$G$350,MATCH(B1443,منتجات!$A$3:$A$115,0)),"")</f>
        <v/>
      </c>
      <c r="G1443" s="65" t="str">
        <f t="shared" si="24"/>
        <v/>
      </c>
      <c r="H1443" s="70"/>
    </row>
    <row r="1444" spans="1:8" x14ac:dyDescent="0.35">
      <c r="A1444" s="62"/>
      <c r="B1444" s="63"/>
      <c r="C1444" s="63" t="str">
        <f>IFERROR(VLOOKUP(B1444,منتجات!$A$3:$C$350,2,0),"")</f>
        <v/>
      </c>
      <c r="D1444" s="63" t="str">
        <f>IFERROR(VLOOKUP(B1444,منتجات!$A$3:$C$350,3,0),"")</f>
        <v/>
      </c>
      <c r="E1444" s="63"/>
      <c r="F1444" s="63" t="str">
        <f>IFERROR(INDEX(منتجات!$G$3:$G$350,MATCH(B1444,منتجات!$A$3:$A$115,0)),"")</f>
        <v/>
      </c>
      <c r="G1444" s="63" t="str">
        <f t="shared" si="24"/>
        <v/>
      </c>
      <c r="H1444" s="69"/>
    </row>
    <row r="1445" spans="1:8" x14ac:dyDescent="0.35">
      <c r="A1445" s="64"/>
      <c r="B1445" s="65"/>
      <c r="C1445" s="65" t="str">
        <f>IFERROR(VLOOKUP(B1445,منتجات!$A$3:$C$350,2,0),"")</f>
        <v/>
      </c>
      <c r="D1445" s="65" t="str">
        <f>IFERROR(VLOOKUP(B1445,منتجات!$A$3:$C$350,3,0),"")</f>
        <v/>
      </c>
      <c r="E1445" s="65"/>
      <c r="F1445" s="65" t="str">
        <f>IFERROR(INDEX(منتجات!$G$3:$G$350,MATCH(B1445,منتجات!$A$3:$A$115,0)),"")</f>
        <v/>
      </c>
      <c r="G1445" s="65" t="str">
        <f t="shared" si="24"/>
        <v/>
      </c>
      <c r="H1445" s="70"/>
    </row>
    <row r="1446" spans="1:8" x14ac:dyDescent="0.35">
      <c r="A1446" s="62"/>
      <c r="B1446" s="63"/>
      <c r="C1446" s="63" t="str">
        <f>IFERROR(VLOOKUP(B1446,منتجات!$A$3:$C$350,2,0),"")</f>
        <v/>
      </c>
      <c r="D1446" s="63" t="str">
        <f>IFERROR(VLOOKUP(B1446,منتجات!$A$3:$C$350,3,0),"")</f>
        <v/>
      </c>
      <c r="E1446" s="63"/>
      <c r="F1446" s="63" t="str">
        <f>IFERROR(INDEX(منتجات!$G$3:$G$350,MATCH(B1446,منتجات!$A$3:$A$115,0)),"")</f>
        <v/>
      </c>
      <c r="G1446" s="63" t="str">
        <f t="shared" si="24"/>
        <v/>
      </c>
      <c r="H1446" s="69"/>
    </row>
    <row r="1447" spans="1:8" x14ac:dyDescent="0.35">
      <c r="A1447" s="64"/>
      <c r="B1447" s="65"/>
      <c r="C1447" s="65" t="str">
        <f>IFERROR(VLOOKUP(B1447,منتجات!$A$3:$C$350,2,0),"")</f>
        <v/>
      </c>
      <c r="D1447" s="65" t="str">
        <f>IFERROR(VLOOKUP(B1447,منتجات!$A$3:$C$350,3,0),"")</f>
        <v/>
      </c>
      <c r="E1447" s="65"/>
      <c r="F1447" s="65" t="str">
        <f>IFERROR(INDEX(منتجات!$G$3:$G$350,MATCH(B1447,منتجات!$A$3:$A$115,0)),"")</f>
        <v/>
      </c>
      <c r="G1447" s="65" t="str">
        <f t="shared" si="24"/>
        <v/>
      </c>
      <c r="H1447" s="70"/>
    </row>
    <row r="1448" spans="1:8" x14ac:dyDescent="0.35">
      <c r="A1448" s="62"/>
      <c r="B1448" s="63"/>
      <c r="C1448" s="63" t="str">
        <f>IFERROR(VLOOKUP(B1448,منتجات!$A$3:$C$350,2,0),"")</f>
        <v/>
      </c>
      <c r="D1448" s="63" t="str">
        <f>IFERROR(VLOOKUP(B1448,منتجات!$A$3:$C$350,3,0),"")</f>
        <v/>
      </c>
      <c r="E1448" s="63"/>
      <c r="F1448" s="63" t="str">
        <f>IFERROR(INDEX(منتجات!$G$3:$G$350,MATCH(B1448,منتجات!$A$3:$A$115,0)),"")</f>
        <v/>
      </c>
      <c r="G1448" s="63" t="str">
        <f t="shared" si="24"/>
        <v/>
      </c>
      <c r="H1448" s="69"/>
    </row>
    <row r="1449" spans="1:8" x14ac:dyDescent="0.35">
      <c r="A1449" s="64"/>
      <c r="B1449" s="65"/>
      <c r="C1449" s="65" t="str">
        <f>IFERROR(VLOOKUP(B1449,منتجات!$A$3:$C$350,2,0),"")</f>
        <v/>
      </c>
      <c r="D1449" s="65" t="str">
        <f>IFERROR(VLOOKUP(B1449,منتجات!$A$3:$C$350,3,0),"")</f>
        <v/>
      </c>
      <c r="E1449" s="65"/>
      <c r="F1449" s="65" t="str">
        <f>IFERROR(INDEX(منتجات!$G$3:$G$350,MATCH(B1449,منتجات!$A$3:$A$115,0)),"")</f>
        <v/>
      </c>
      <c r="G1449" s="65" t="str">
        <f t="shared" si="24"/>
        <v/>
      </c>
      <c r="H1449" s="70"/>
    </row>
    <row r="1450" spans="1:8" x14ac:dyDescent="0.35">
      <c r="A1450" s="62"/>
      <c r="B1450" s="63"/>
      <c r="C1450" s="63" t="str">
        <f>IFERROR(VLOOKUP(B1450,منتجات!$A$3:$C$350,2,0),"")</f>
        <v/>
      </c>
      <c r="D1450" s="63" t="str">
        <f>IFERROR(VLOOKUP(B1450,منتجات!$A$3:$C$350,3,0),"")</f>
        <v/>
      </c>
      <c r="E1450" s="63"/>
      <c r="F1450" s="63" t="str">
        <f>IFERROR(INDEX(منتجات!$G$3:$G$350,MATCH(B1450,منتجات!$A$3:$A$115,0)),"")</f>
        <v/>
      </c>
      <c r="G1450" s="63" t="str">
        <f t="shared" si="24"/>
        <v/>
      </c>
      <c r="H1450" s="69"/>
    </row>
    <row r="1451" spans="1:8" x14ac:dyDescent="0.35">
      <c r="A1451" s="64"/>
      <c r="B1451" s="65"/>
      <c r="C1451" s="65" t="str">
        <f>IFERROR(VLOOKUP(B1451,منتجات!$A$3:$C$350,2,0),"")</f>
        <v/>
      </c>
      <c r="D1451" s="65" t="str">
        <f>IFERROR(VLOOKUP(B1451,منتجات!$A$3:$C$350,3,0),"")</f>
        <v/>
      </c>
      <c r="E1451" s="65"/>
      <c r="F1451" s="65" t="str">
        <f>IFERROR(INDEX(منتجات!$G$3:$G$350,MATCH(B1451,منتجات!$A$3:$A$115,0)),"")</f>
        <v/>
      </c>
      <c r="G1451" s="65" t="str">
        <f t="shared" si="24"/>
        <v/>
      </c>
      <c r="H1451" s="70"/>
    </row>
    <row r="1452" spans="1:8" x14ac:dyDescent="0.35">
      <c r="A1452" s="62"/>
      <c r="B1452" s="63"/>
      <c r="C1452" s="63" t="str">
        <f>IFERROR(VLOOKUP(B1452,منتجات!$A$3:$C$350,2,0),"")</f>
        <v/>
      </c>
      <c r="D1452" s="63" t="str">
        <f>IFERROR(VLOOKUP(B1452,منتجات!$A$3:$C$350,3,0),"")</f>
        <v/>
      </c>
      <c r="E1452" s="63"/>
      <c r="F1452" s="63" t="str">
        <f>IFERROR(INDEX(منتجات!$G$3:$G$350,MATCH(B1452,منتجات!$A$3:$A$115,0)),"")</f>
        <v/>
      </c>
      <c r="G1452" s="63" t="str">
        <f t="shared" si="24"/>
        <v/>
      </c>
      <c r="H1452" s="69"/>
    </row>
    <row r="1453" spans="1:8" x14ac:dyDescent="0.35">
      <c r="A1453" s="64"/>
      <c r="B1453" s="65"/>
      <c r="C1453" s="65" t="str">
        <f>IFERROR(VLOOKUP(B1453,منتجات!$A$3:$C$350,2,0),"")</f>
        <v/>
      </c>
      <c r="D1453" s="65" t="str">
        <f>IFERROR(VLOOKUP(B1453,منتجات!$A$3:$C$350,3,0),"")</f>
        <v/>
      </c>
      <c r="E1453" s="65"/>
      <c r="F1453" s="65" t="str">
        <f>IFERROR(INDEX(منتجات!$G$3:$G$350,MATCH(B1453,منتجات!$A$3:$A$115,0)),"")</f>
        <v/>
      </c>
      <c r="G1453" s="65" t="str">
        <f t="shared" si="24"/>
        <v/>
      </c>
      <c r="H1453" s="70"/>
    </row>
    <row r="1454" spans="1:8" x14ac:dyDescent="0.35">
      <c r="A1454" s="62"/>
      <c r="B1454" s="63"/>
      <c r="C1454" s="63" t="str">
        <f>IFERROR(VLOOKUP(B1454,منتجات!$A$3:$C$350,2,0),"")</f>
        <v/>
      </c>
      <c r="D1454" s="63" t="str">
        <f>IFERROR(VLOOKUP(B1454,منتجات!$A$3:$C$350,3,0),"")</f>
        <v/>
      </c>
      <c r="E1454" s="63"/>
      <c r="F1454" s="63" t="str">
        <f>IFERROR(INDEX(منتجات!$G$3:$G$350,MATCH(B1454,منتجات!$A$3:$A$115,0)),"")</f>
        <v/>
      </c>
      <c r="G1454" s="63" t="str">
        <f t="shared" si="24"/>
        <v/>
      </c>
      <c r="H1454" s="69"/>
    </row>
    <row r="1455" spans="1:8" x14ac:dyDescent="0.35">
      <c r="A1455" s="64"/>
      <c r="B1455" s="65"/>
      <c r="C1455" s="65" t="str">
        <f>IFERROR(VLOOKUP(B1455,منتجات!$A$3:$C$350,2,0),"")</f>
        <v/>
      </c>
      <c r="D1455" s="65" t="str">
        <f>IFERROR(VLOOKUP(B1455,منتجات!$A$3:$C$350,3,0),"")</f>
        <v/>
      </c>
      <c r="E1455" s="65"/>
      <c r="F1455" s="65" t="str">
        <f>IFERROR(INDEX(منتجات!$G$3:$G$350,MATCH(B1455,منتجات!$A$3:$A$115,0)),"")</f>
        <v/>
      </c>
      <c r="G1455" s="65" t="str">
        <f t="shared" si="24"/>
        <v/>
      </c>
      <c r="H1455" s="70"/>
    </row>
    <row r="1456" spans="1:8" x14ac:dyDescent="0.35">
      <c r="A1456" s="62"/>
      <c r="B1456" s="63"/>
      <c r="C1456" s="63" t="str">
        <f>IFERROR(VLOOKUP(B1456,منتجات!$A$3:$C$350,2,0),"")</f>
        <v/>
      </c>
      <c r="D1456" s="63" t="str">
        <f>IFERROR(VLOOKUP(B1456,منتجات!$A$3:$C$350,3,0),"")</f>
        <v/>
      </c>
      <c r="E1456" s="63"/>
      <c r="F1456" s="63" t="str">
        <f>IFERROR(INDEX(منتجات!$G$3:$G$350,MATCH(B1456,منتجات!$A$3:$A$115,0)),"")</f>
        <v/>
      </c>
      <c r="G1456" s="63" t="str">
        <f t="shared" si="24"/>
        <v/>
      </c>
      <c r="H1456" s="69"/>
    </row>
    <row r="1457" spans="1:8" x14ac:dyDescent="0.35">
      <c r="A1457" s="64"/>
      <c r="B1457" s="65"/>
      <c r="C1457" s="65" t="str">
        <f>IFERROR(VLOOKUP(B1457,منتجات!$A$3:$C$350,2,0),"")</f>
        <v/>
      </c>
      <c r="D1457" s="65" t="str">
        <f>IFERROR(VLOOKUP(B1457,منتجات!$A$3:$C$350,3,0),"")</f>
        <v/>
      </c>
      <c r="E1457" s="65"/>
      <c r="F1457" s="65" t="str">
        <f>IFERROR(INDEX(منتجات!$G$3:$G$350,MATCH(B1457,منتجات!$A$3:$A$115,0)),"")</f>
        <v/>
      </c>
      <c r="G1457" s="65" t="str">
        <f t="shared" si="24"/>
        <v/>
      </c>
      <c r="H1457" s="70"/>
    </row>
    <row r="1458" spans="1:8" x14ac:dyDescent="0.35">
      <c r="A1458" s="62"/>
      <c r="B1458" s="63"/>
      <c r="C1458" s="63" t="str">
        <f>IFERROR(VLOOKUP(B1458,منتجات!$A$3:$C$350,2,0),"")</f>
        <v/>
      </c>
      <c r="D1458" s="63" t="str">
        <f>IFERROR(VLOOKUP(B1458,منتجات!$A$3:$C$350,3,0),"")</f>
        <v/>
      </c>
      <c r="E1458" s="63"/>
      <c r="F1458" s="63" t="str">
        <f>IFERROR(INDEX(منتجات!$G$3:$G$350,MATCH(B1458,منتجات!$A$3:$A$115,0)),"")</f>
        <v/>
      </c>
      <c r="G1458" s="63" t="str">
        <f t="shared" si="24"/>
        <v/>
      </c>
      <c r="H1458" s="69"/>
    </row>
    <row r="1459" spans="1:8" x14ac:dyDescent="0.35">
      <c r="A1459" s="64"/>
      <c r="B1459" s="65"/>
      <c r="C1459" s="65" t="str">
        <f>IFERROR(VLOOKUP(B1459,منتجات!$A$3:$C$350,2,0),"")</f>
        <v/>
      </c>
      <c r="D1459" s="65" t="str">
        <f>IFERROR(VLOOKUP(B1459,منتجات!$A$3:$C$350,3,0),"")</f>
        <v/>
      </c>
      <c r="E1459" s="65"/>
      <c r="F1459" s="65" t="str">
        <f>IFERROR(INDEX(منتجات!$G$3:$G$350,MATCH(B1459,منتجات!$A$3:$A$115,0)),"")</f>
        <v/>
      </c>
      <c r="G1459" s="65" t="str">
        <f t="shared" si="24"/>
        <v/>
      </c>
      <c r="H1459" s="70"/>
    </row>
    <row r="1460" spans="1:8" x14ac:dyDescent="0.35">
      <c r="A1460" s="62"/>
      <c r="B1460" s="63"/>
      <c r="C1460" s="63" t="str">
        <f>IFERROR(VLOOKUP(B1460,منتجات!$A$3:$C$350,2,0),"")</f>
        <v/>
      </c>
      <c r="D1460" s="63" t="str">
        <f>IFERROR(VLOOKUP(B1460,منتجات!$A$3:$C$350,3,0),"")</f>
        <v/>
      </c>
      <c r="E1460" s="63"/>
      <c r="F1460" s="63" t="str">
        <f>IFERROR(INDEX(منتجات!$G$3:$G$350,MATCH(B1460,منتجات!$A$3:$A$115,0)),"")</f>
        <v/>
      </c>
      <c r="G1460" s="63" t="str">
        <f t="shared" si="24"/>
        <v/>
      </c>
      <c r="H1460" s="69"/>
    </row>
    <row r="1461" spans="1:8" x14ac:dyDescent="0.35">
      <c r="A1461" s="64"/>
      <c r="B1461" s="65"/>
      <c r="C1461" s="65" t="str">
        <f>IFERROR(VLOOKUP(B1461,منتجات!$A$3:$C$350,2,0),"")</f>
        <v/>
      </c>
      <c r="D1461" s="65" t="str">
        <f>IFERROR(VLOOKUP(B1461,منتجات!$A$3:$C$350,3,0),"")</f>
        <v/>
      </c>
      <c r="E1461" s="65"/>
      <c r="F1461" s="65" t="str">
        <f>IFERROR(INDEX(منتجات!$G$3:$G$350,MATCH(B1461,منتجات!$A$3:$A$115,0)),"")</f>
        <v/>
      </c>
      <c r="G1461" s="65" t="str">
        <f t="shared" si="24"/>
        <v/>
      </c>
      <c r="H1461" s="70"/>
    </row>
    <row r="1462" spans="1:8" x14ac:dyDescent="0.35">
      <c r="A1462" s="62"/>
      <c r="B1462" s="63"/>
      <c r="C1462" s="63" t="str">
        <f>IFERROR(VLOOKUP(B1462,منتجات!$A$3:$C$350,2,0),"")</f>
        <v/>
      </c>
      <c r="D1462" s="63" t="str">
        <f>IFERROR(VLOOKUP(B1462,منتجات!$A$3:$C$350,3,0),"")</f>
        <v/>
      </c>
      <c r="E1462" s="63"/>
      <c r="F1462" s="63" t="str">
        <f>IFERROR(INDEX(منتجات!$G$3:$G$350,MATCH(B1462,منتجات!$A$3:$A$115,0)),"")</f>
        <v/>
      </c>
      <c r="G1462" s="63" t="str">
        <f t="shared" si="24"/>
        <v/>
      </c>
      <c r="H1462" s="69"/>
    </row>
    <row r="1463" spans="1:8" x14ac:dyDescent="0.35">
      <c r="A1463" s="64"/>
      <c r="B1463" s="65"/>
      <c r="C1463" s="65" t="str">
        <f>IFERROR(VLOOKUP(B1463,منتجات!$A$3:$C$350,2,0),"")</f>
        <v/>
      </c>
      <c r="D1463" s="65" t="str">
        <f>IFERROR(VLOOKUP(B1463,منتجات!$A$3:$C$350,3,0),"")</f>
        <v/>
      </c>
      <c r="E1463" s="65"/>
      <c r="F1463" s="65" t="str">
        <f>IFERROR(INDEX(منتجات!$G$3:$G$350,MATCH(B1463,منتجات!$A$3:$A$115,0)),"")</f>
        <v/>
      </c>
      <c r="G1463" s="65" t="str">
        <f t="shared" si="24"/>
        <v/>
      </c>
      <c r="H1463" s="70"/>
    </row>
    <row r="1464" spans="1:8" x14ac:dyDescent="0.35">
      <c r="A1464" s="62"/>
      <c r="B1464" s="63"/>
      <c r="C1464" s="63" t="str">
        <f>IFERROR(VLOOKUP(B1464,منتجات!$A$3:$C$350,2,0),"")</f>
        <v/>
      </c>
      <c r="D1464" s="63" t="str">
        <f>IFERROR(VLOOKUP(B1464,منتجات!$A$3:$C$350,3,0),"")</f>
        <v/>
      </c>
      <c r="E1464" s="63"/>
      <c r="F1464" s="63" t="str">
        <f>IFERROR(INDEX(منتجات!$G$3:$G$350,MATCH(B1464,منتجات!$A$3:$A$115,0)),"")</f>
        <v/>
      </c>
      <c r="G1464" s="63" t="str">
        <f t="shared" si="24"/>
        <v/>
      </c>
      <c r="H1464" s="69"/>
    </row>
    <row r="1465" spans="1:8" x14ac:dyDescent="0.35">
      <c r="A1465" s="64"/>
      <c r="B1465" s="65"/>
      <c r="C1465" s="65" t="str">
        <f>IFERROR(VLOOKUP(B1465,منتجات!$A$3:$C$350,2,0),"")</f>
        <v/>
      </c>
      <c r="D1465" s="65" t="str">
        <f>IFERROR(VLOOKUP(B1465,منتجات!$A$3:$C$350,3,0),"")</f>
        <v/>
      </c>
      <c r="E1465" s="65"/>
      <c r="F1465" s="65" t="str">
        <f>IFERROR(INDEX(منتجات!$G$3:$G$350,MATCH(B1465,منتجات!$A$3:$A$115,0)),"")</f>
        <v/>
      </c>
      <c r="G1465" s="65" t="str">
        <f t="shared" si="24"/>
        <v/>
      </c>
      <c r="H1465" s="70"/>
    </row>
    <row r="1466" spans="1:8" x14ac:dyDescent="0.35">
      <c r="A1466" s="62"/>
      <c r="B1466" s="63"/>
      <c r="C1466" s="63" t="str">
        <f>IFERROR(VLOOKUP(B1466,منتجات!$A$3:$C$350,2,0),"")</f>
        <v/>
      </c>
      <c r="D1466" s="63" t="str">
        <f>IFERROR(VLOOKUP(B1466,منتجات!$A$3:$C$350,3,0),"")</f>
        <v/>
      </c>
      <c r="E1466" s="63"/>
      <c r="F1466" s="63" t="str">
        <f>IFERROR(INDEX(منتجات!$G$3:$G$350,MATCH(B1466,منتجات!$A$3:$A$115,0)),"")</f>
        <v/>
      </c>
      <c r="G1466" s="63" t="str">
        <f t="shared" si="24"/>
        <v/>
      </c>
      <c r="H1466" s="69"/>
    </row>
    <row r="1467" spans="1:8" x14ac:dyDescent="0.35">
      <c r="A1467" s="64"/>
      <c r="B1467" s="65"/>
      <c r="C1467" s="65" t="str">
        <f>IFERROR(VLOOKUP(B1467,منتجات!$A$3:$C$350,2,0),"")</f>
        <v/>
      </c>
      <c r="D1467" s="65" t="str">
        <f>IFERROR(VLOOKUP(B1467,منتجات!$A$3:$C$350,3,0),"")</f>
        <v/>
      </c>
      <c r="E1467" s="65"/>
      <c r="F1467" s="65" t="str">
        <f>IFERROR(INDEX(منتجات!$G$3:$G$350,MATCH(B1467,منتجات!$A$3:$A$115,0)),"")</f>
        <v/>
      </c>
      <c r="G1467" s="65" t="str">
        <f t="shared" si="24"/>
        <v/>
      </c>
      <c r="H1467" s="70"/>
    </row>
    <row r="1468" spans="1:8" x14ac:dyDescent="0.35">
      <c r="A1468" s="62"/>
      <c r="B1468" s="63"/>
      <c r="C1468" s="63" t="str">
        <f>IFERROR(VLOOKUP(B1468,منتجات!$A$3:$C$350,2,0),"")</f>
        <v/>
      </c>
      <c r="D1468" s="63" t="str">
        <f>IFERROR(VLOOKUP(B1468,منتجات!$A$3:$C$350,3,0),"")</f>
        <v/>
      </c>
      <c r="E1468" s="63"/>
      <c r="F1468" s="63" t="str">
        <f>IFERROR(INDEX(منتجات!$G$3:$G$350,MATCH(B1468,منتجات!$A$3:$A$115,0)),"")</f>
        <v/>
      </c>
      <c r="G1468" s="63" t="str">
        <f t="shared" si="24"/>
        <v/>
      </c>
      <c r="H1468" s="69"/>
    </row>
    <row r="1469" spans="1:8" x14ac:dyDescent="0.35">
      <c r="A1469" s="64"/>
      <c r="B1469" s="65"/>
      <c r="C1469" s="65" t="str">
        <f>IFERROR(VLOOKUP(B1469,منتجات!$A$3:$C$350,2,0),"")</f>
        <v/>
      </c>
      <c r="D1469" s="65" t="str">
        <f>IFERROR(VLOOKUP(B1469,منتجات!$A$3:$C$350,3,0),"")</f>
        <v/>
      </c>
      <c r="E1469" s="65"/>
      <c r="F1469" s="65" t="str">
        <f>IFERROR(INDEX(منتجات!$G$3:$G$350,MATCH(B1469,منتجات!$A$3:$A$115,0)),"")</f>
        <v/>
      </c>
      <c r="G1469" s="65" t="str">
        <f t="shared" si="24"/>
        <v/>
      </c>
      <c r="H1469" s="70"/>
    </row>
    <row r="1470" spans="1:8" x14ac:dyDescent="0.35">
      <c r="A1470" s="62"/>
      <c r="B1470" s="63"/>
      <c r="C1470" s="63" t="str">
        <f>IFERROR(VLOOKUP(B1470,منتجات!$A$3:$C$350,2,0),"")</f>
        <v/>
      </c>
      <c r="D1470" s="63" t="str">
        <f>IFERROR(VLOOKUP(B1470,منتجات!$A$3:$C$350,3,0),"")</f>
        <v/>
      </c>
      <c r="E1470" s="63"/>
      <c r="F1470" s="63" t="str">
        <f>IFERROR(INDEX(منتجات!$G$3:$G$350,MATCH(B1470,منتجات!$A$3:$A$115,0)),"")</f>
        <v/>
      </c>
      <c r="G1470" s="63" t="str">
        <f t="shared" si="24"/>
        <v/>
      </c>
      <c r="H1470" s="69"/>
    </row>
    <row r="1471" spans="1:8" x14ac:dyDescent="0.35">
      <c r="A1471" s="64"/>
      <c r="B1471" s="65"/>
      <c r="C1471" s="65" t="str">
        <f>IFERROR(VLOOKUP(B1471,منتجات!$A$3:$C$350,2,0),"")</f>
        <v/>
      </c>
      <c r="D1471" s="65" t="str">
        <f>IFERROR(VLOOKUP(B1471,منتجات!$A$3:$C$350,3,0),"")</f>
        <v/>
      </c>
      <c r="E1471" s="65"/>
      <c r="F1471" s="65" t="str">
        <f>IFERROR(INDEX(منتجات!$G$3:$G$350,MATCH(B1471,منتجات!$A$3:$A$115,0)),"")</f>
        <v/>
      </c>
      <c r="G1471" s="65" t="str">
        <f t="shared" si="24"/>
        <v/>
      </c>
      <c r="H1471" s="70"/>
    </row>
    <row r="1472" spans="1:8" x14ac:dyDescent="0.35">
      <c r="A1472" s="62"/>
      <c r="B1472" s="63"/>
      <c r="C1472" s="63" t="str">
        <f>IFERROR(VLOOKUP(B1472,منتجات!$A$3:$C$350,2,0),"")</f>
        <v/>
      </c>
      <c r="D1472" s="63" t="str">
        <f>IFERROR(VLOOKUP(B1472,منتجات!$A$3:$C$350,3,0),"")</f>
        <v/>
      </c>
      <c r="E1472" s="63"/>
      <c r="F1472" s="63" t="str">
        <f>IFERROR(INDEX(منتجات!$G$3:$G$350,MATCH(B1472,منتجات!$A$3:$A$115,0)),"")</f>
        <v/>
      </c>
      <c r="G1472" s="63" t="str">
        <f t="shared" si="24"/>
        <v/>
      </c>
      <c r="H1472" s="69"/>
    </row>
    <row r="1473" spans="1:8" x14ac:dyDescent="0.35">
      <c r="A1473" s="64"/>
      <c r="B1473" s="65"/>
      <c r="C1473" s="65" t="str">
        <f>IFERROR(VLOOKUP(B1473,منتجات!$A$3:$C$350,2,0),"")</f>
        <v/>
      </c>
      <c r="D1473" s="65" t="str">
        <f>IFERROR(VLOOKUP(B1473,منتجات!$A$3:$C$350,3,0),"")</f>
        <v/>
      </c>
      <c r="E1473" s="65"/>
      <c r="F1473" s="65" t="str">
        <f>IFERROR(INDEX(منتجات!$G$3:$G$350,MATCH(B1473,منتجات!$A$3:$A$115,0)),"")</f>
        <v/>
      </c>
      <c r="G1473" s="65" t="str">
        <f t="shared" si="24"/>
        <v/>
      </c>
      <c r="H1473" s="70"/>
    </row>
    <row r="1474" spans="1:8" x14ac:dyDescent="0.35">
      <c r="A1474" s="62"/>
      <c r="B1474" s="63"/>
      <c r="C1474" s="63" t="str">
        <f>IFERROR(VLOOKUP(B1474,منتجات!$A$3:$C$350,2,0),"")</f>
        <v/>
      </c>
      <c r="D1474" s="63" t="str">
        <f>IFERROR(VLOOKUP(B1474,منتجات!$A$3:$C$350,3,0),"")</f>
        <v/>
      </c>
      <c r="E1474" s="63"/>
      <c r="F1474" s="63" t="str">
        <f>IFERROR(INDEX(منتجات!$G$3:$G$350,MATCH(B1474,منتجات!$A$3:$A$115,0)),"")</f>
        <v/>
      </c>
      <c r="G1474" s="63" t="str">
        <f t="shared" si="24"/>
        <v/>
      </c>
      <c r="H1474" s="69"/>
    </row>
    <row r="1475" spans="1:8" x14ac:dyDescent="0.35">
      <c r="A1475" s="64"/>
      <c r="B1475" s="65"/>
      <c r="C1475" s="65" t="str">
        <f>IFERROR(VLOOKUP(B1475,منتجات!$A$3:$C$350,2,0),"")</f>
        <v/>
      </c>
      <c r="D1475" s="65" t="str">
        <f>IFERROR(VLOOKUP(B1475,منتجات!$A$3:$C$350,3,0),"")</f>
        <v/>
      </c>
      <c r="E1475" s="65"/>
      <c r="F1475" s="65" t="str">
        <f>IFERROR(INDEX(منتجات!$G$3:$G$350,MATCH(B1475,منتجات!$A$3:$A$115,0)),"")</f>
        <v/>
      </c>
      <c r="G1475" s="65" t="str">
        <f t="shared" si="24"/>
        <v/>
      </c>
      <c r="H1475" s="70"/>
    </row>
    <row r="1476" spans="1:8" x14ac:dyDescent="0.35">
      <c r="A1476" s="62"/>
      <c r="B1476" s="63"/>
      <c r="C1476" s="63" t="str">
        <f>IFERROR(VLOOKUP(B1476,منتجات!$A$3:$C$350,2,0),"")</f>
        <v/>
      </c>
      <c r="D1476" s="63" t="str">
        <f>IFERROR(VLOOKUP(B1476,منتجات!$A$3:$C$350,3,0),"")</f>
        <v/>
      </c>
      <c r="E1476" s="63"/>
      <c r="F1476" s="63" t="str">
        <f>IFERROR(INDEX(منتجات!$G$3:$G$350,MATCH(B1476,منتجات!$A$3:$A$115,0)),"")</f>
        <v/>
      </c>
      <c r="G1476" s="63" t="str">
        <f t="shared" si="24"/>
        <v/>
      </c>
      <c r="H1476" s="69"/>
    </row>
    <row r="1477" spans="1:8" x14ac:dyDescent="0.35">
      <c r="A1477" s="64"/>
      <c r="B1477" s="65"/>
      <c r="C1477" s="65" t="str">
        <f>IFERROR(VLOOKUP(B1477,منتجات!$A$3:$C$350,2,0),"")</f>
        <v/>
      </c>
      <c r="D1477" s="65" t="str">
        <f>IFERROR(VLOOKUP(B1477,منتجات!$A$3:$C$350,3,0),"")</f>
        <v/>
      </c>
      <c r="E1477" s="65"/>
      <c r="F1477" s="65" t="str">
        <f>IFERROR(INDEX(منتجات!$G$3:$G$350,MATCH(B1477,منتجات!$A$3:$A$115,0)),"")</f>
        <v/>
      </c>
      <c r="G1477" s="65" t="str">
        <f t="shared" si="24"/>
        <v/>
      </c>
      <c r="H1477" s="70"/>
    </row>
    <row r="1478" spans="1:8" x14ac:dyDescent="0.35">
      <c r="A1478" s="62"/>
      <c r="B1478" s="63"/>
      <c r="C1478" s="63" t="str">
        <f>IFERROR(VLOOKUP(B1478,منتجات!$A$3:$C$350,2,0),"")</f>
        <v/>
      </c>
      <c r="D1478" s="63" t="str">
        <f>IFERROR(VLOOKUP(B1478,منتجات!$A$3:$C$350,3,0),"")</f>
        <v/>
      </c>
      <c r="E1478" s="63"/>
      <c r="F1478" s="63" t="str">
        <f>IFERROR(INDEX(منتجات!$G$3:$G$350,MATCH(B1478,منتجات!$A$3:$A$115,0)),"")</f>
        <v/>
      </c>
      <c r="G1478" s="63" t="str">
        <f t="shared" ref="G1478:G1541" si="25">IFERROR(E1478*F1478*D1478,"")</f>
        <v/>
      </c>
      <c r="H1478" s="69"/>
    </row>
    <row r="1479" spans="1:8" x14ac:dyDescent="0.35">
      <c r="A1479" s="64"/>
      <c r="B1479" s="65"/>
      <c r="C1479" s="65" t="str">
        <f>IFERROR(VLOOKUP(B1479,منتجات!$A$3:$C$350,2,0),"")</f>
        <v/>
      </c>
      <c r="D1479" s="65" t="str">
        <f>IFERROR(VLOOKUP(B1479,منتجات!$A$3:$C$350,3,0),"")</f>
        <v/>
      </c>
      <c r="E1479" s="65"/>
      <c r="F1479" s="65" t="str">
        <f>IFERROR(INDEX(منتجات!$G$3:$G$350,MATCH(B1479,منتجات!$A$3:$A$115,0)),"")</f>
        <v/>
      </c>
      <c r="G1479" s="65" t="str">
        <f t="shared" si="25"/>
        <v/>
      </c>
      <c r="H1479" s="70"/>
    </row>
    <row r="1480" spans="1:8" x14ac:dyDescent="0.35">
      <c r="A1480" s="62"/>
      <c r="B1480" s="63"/>
      <c r="C1480" s="63" t="str">
        <f>IFERROR(VLOOKUP(B1480,منتجات!$A$3:$C$350,2,0),"")</f>
        <v/>
      </c>
      <c r="D1480" s="63" t="str">
        <f>IFERROR(VLOOKUP(B1480,منتجات!$A$3:$C$350,3,0),"")</f>
        <v/>
      </c>
      <c r="E1480" s="63"/>
      <c r="F1480" s="63" t="str">
        <f>IFERROR(INDEX(منتجات!$G$3:$G$350,MATCH(B1480,منتجات!$A$3:$A$115,0)),"")</f>
        <v/>
      </c>
      <c r="G1480" s="63" t="str">
        <f t="shared" si="25"/>
        <v/>
      </c>
      <c r="H1480" s="69"/>
    </row>
    <row r="1481" spans="1:8" x14ac:dyDescent="0.35">
      <c r="A1481" s="64"/>
      <c r="B1481" s="65"/>
      <c r="C1481" s="65" t="str">
        <f>IFERROR(VLOOKUP(B1481,منتجات!$A$3:$C$350,2,0),"")</f>
        <v/>
      </c>
      <c r="D1481" s="65" t="str">
        <f>IFERROR(VLOOKUP(B1481,منتجات!$A$3:$C$350,3,0),"")</f>
        <v/>
      </c>
      <c r="E1481" s="65"/>
      <c r="F1481" s="65" t="str">
        <f>IFERROR(INDEX(منتجات!$G$3:$G$350,MATCH(B1481,منتجات!$A$3:$A$115,0)),"")</f>
        <v/>
      </c>
      <c r="G1481" s="65" t="str">
        <f t="shared" si="25"/>
        <v/>
      </c>
      <c r="H1481" s="70"/>
    </row>
    <row r="1482" spans="1:8" x14ac:dyDescent="0.35">
      <c r="A1482" s="62"/>
      <c r="B1482" s="63"/>
      <c r="C1482" s="63" t="str">
        <f>IFERROR(VLOOKUP(B1482,منتجات!$A$3:$C$350,2,0),"")</f>
        <v/>
      </c>
      <c r="D1482" s="63" t="str">
        <f>IFERROR(VLOOKUP(B1482,منتجات!$A$3:$C$350,3,0),"")</f>
        <v/>
      </c>
      <c r="E1482" s="63"/>
      <c r="F1482" s="63" t="str">
        <f>IFERROR(INDEX(منتجات!$G$3:$G$350,MATCH(B1482,منتجات!$A$3:$A$115,0)),"")</f>
        <v/>
      </c>
      <c r="G1482" s="63" t="str">
        <f t="shared" si="25"/>
        <v/>
      </c>
      <c r="H1482" s="69"/>
    </row>
    <row r="1483" spans="1:8" x14ac:dyDescent="0.35">
      <c r="A1483" s="64"/>
      <c r="B1483" s="65"/>
      <c r="C1483" s="65" t="str">
        <f>IFERROR(VLOOKUP(B1483,منتجات!$A$3:$C$350,2,0),"")</f>
        <v/>
      </c>
      <c r="D1483" s="65" t="str">
        <f>IFERROR(VLOOKUP(B1483,منتجات!$A$3:$C$350,3,0),"")</f>
        <v/>
      </c>
      <c r="E1483" s="65"/>
      <c r="F1483" s="65" t="str">
        <f>IFERROR(INDEX(منتجات!$G$3:$G$350,MATCH(B1483,منتجات!$A$3:$A$115,0)),"")</f>
        <v/>
      </c>
      <c r="G1483" s="65" t="str">
        <f t="shared" si="25"/>
        <v/>
      </c>
      <c r="H1483" s="70"/>
    </row>
    <row r="1484" spans="1:8" x14ac:dyDescent="0.35">
      <c r="A1484" s="62"/>
      <c r="B1484" s="63"/>
      <c r="C1484" s="63" t="str">
        <f>IFERROR(VLOOKUP(B1484,منتجات!$A$3:$C$350,2,0),"")</f>
        <v/>
      </c>
      <c r="D1484" s="63" t="str">
        <f>IFERROR(VLOOKUP(B1484,منتجات!$A$3:$C$350,3,0),"")</f>
        <v/>
      </c>
      <c r="E1484" s="63"/>
      <c r="F1484" s="63" t="str">
        <f>IFERROR(INDEX(منتجات!$G$3:$G$350,MATCH(B1484,منتجات!$A$3:$A$115,0)),"")</f>
        <v/>
      </c>
      <c r="G1484" s="63" t="str">
        <f t="shared" si="25"/>
        <v/>
      </c>
      <c r="H1484" s="69"/>
    </row>
    <row r="1485" spans="1:8" x14ac:dyDescent="0.35">
      <c r="A1485" s="64"/>
      <c r="B1485" s="65"/>
      <c r="C1485" s="65" t="str">
        <f>IFERROR(VLOOKUP(B1485,منتجات!$A$3:$C$350,2,0),"")</f>
        <v/>
      </c>
      <c r="D1485" s="65" t="str">
        <f>IFERROR(VLOOKUP(B1485,منتجات!$A$3:$C$350,3,0),"")</f>
        <v/>
      </c>
      <c r="E1485" s="65"/>
      <c r="F1485" s="65" t="str">
        <f>IFERROR(INDEX(منتجات!$G$3:$G$350,MATCH(B1485,منتجات!$A$3:$A$115,0)),"")</f>
        <v/>
      </c>
      <c r="G1485" s="65" t="str">
        <f t="shared" si="25"/>
        <v/>
      </c>
      <c r="H1485" s="70"/>
    </row>
    <row r="1486" spans="1:8" x14ac:dyDescent="0.35">
      <c r="A1486" s="62"/>
      <c r="B1486" s="63"/>
      <c r="C1486" s="63" t="str">
        <f>IFERROR(VLOOKUP(B1486,منتجات!$A$3:$C$350,2,0),"")</f>
        <v/>
      </c>
      <c r="D1486" s="63" t="str">
        <f>IFERROR(VLOOKUP(B1486,منتجات!$A$3:$C$350,3,0),"")</f>
        <v/>
      </c>
      <c r="E1486" s="63"/>
      <c r="F1486" s="63" t="str">
        <f>IFERROR(INDEX(منتجات!$G$3:$G$350,MATCH(B1486,منتجات!$A$3:$A$115,0)),"")</f>
        <v/>
      </c>
      <c r="G1486" s="63" t="str">
        <f t="shared" si="25"/>
        <v/>
      </c>
      <c r="H1486" s="69"/>
    </row>
    <row r="1487" spans="1:8" x14ac:dyDescent="0.35">
      <c r="A1487" s="64"/>
      <c r="B1487" s="65"/>
      <c r="C1487" s="65" t="str">
        <f>IFERROR(VLOOKUP(B1487,منتجات!$A$3:$C$350,2,0),"")</f>
        <v/>
      </c>
      <c r="D1487" s="65" t="str">
        <f>IFERROR(VLOOKUP(B1487,منتجات!$A$3:$C$350,3,0),"")</f>
        <v/>
      </c>
      <c r="E1487" s="65"/>
      <c r="F1487" s="65" t="str">
        <f>IFERROR(INDEX(منتجات!$G$3:$G$350,MATCH(B1487,منتجات!$A$3:$A$115,0)),"")</f>
        <v/>
      </c>
      <c r="G1487" s="65" t="str">
        <f t="shared" si="25"/>
        <v/>
      </c>
      <c r="H1487" s="70"/>
    </row>
    <row r="1488" spans="1:8" x14ac:dyDescent="0.35">
      <c r="A1488" s="62"/>
      <c r="B1488" s="63"/>
      <c r="C1488" s="63" t="str">
        <f>IFERROR(VLOOKUP(B1488,منتجات!$A$3:$C$350,2,0),"")</f>
        <v/>
      </c>
      <c r="D1488" s="63" t="str">
        <f>IFERROR(VLOOKUP(B1488,منتجات!$A$3:$C$350,3,0),"")</f>
        <v/>
      </c>
      <c r="E1488" s="63"/>
      <c r="F1488" s="63" t="str">
        <f>IFERROR(INDEX(منتجات!$G$3:$G$350,MATCH(B1488,منتجات!$A$3:$A$115,0)),"")</f>
        <v/>
      </c>
      <c r="G1488" s="63" t="str">
        <f t="shared" si="25"/>
        <v/>
      </c>
      <c r="H1488" s="69"/>
    </row>
    <row r="1489" spans="1:8" x14ac:dyDescent="0.35">
      <c r="A1489" s="64"/>
      <c r="B1489" s="65"/>
      <c r="C1489" s="65" t="str">
        <f>IFERROR(VLOOKUP(B1489,منتجات!$A$3:$C$350,2,0),"")</f>
        <v/>
      </c>
      <c r="D1489" s="65" t="str">
        <f>IFERROR(VLOOKUP(B1489,منتجات!$A$3:$C$350,3,0),"")</f>
        <v/>
      </c>
      <c r="E1489" s="65"/>
      <c r="F1489" s="65" t="str">
        <f>IFERROR(INDEX(منتجات!$G$3:$G$350,MATCH(B1489,منتجات!$A$3:$A$115,0)),"")</f>
        <v/>
      </c>
      <c r="G1489" s="65" t="str">
        <f t="shared" si="25"/>
        <v/>
      </c>
      <c r="H1489" s="70"/>
    </row>
    <row r="1490" spans="1:8" x14ac:dyDescent="0.35">
      <c r="A1490" s="62"/>
      <c r="B1490" s="63"/>
      <c r="C1490" s="63" t="str">
        <f>IFERROR(VLOOKUP(B1490,منتجات!$A$3:$C$350,2,0),"")</f>
        <v/>
      </c>
      <c r="D1490" s="63" t="str">
        <f>IFERROR(VLOOKUP(B1490,منتجات!$A$3:$C$350,3,0),"")</f>
        <v/>
      </c>
      <c r="E1490" s="63"/>
      <c r="F1490" s="63" t="str">
        <f>IFERROR(INDEX(منتجات!$G$3:$G$350,MATCH(B1490,منتجات!$A$3:$A$115,0)),"")</f>
        <v/>
      </c>
      <c r="G1490" s="63" t="str">
        <f t="shared" si="25"/>
        <v/>
      </c>
      <c r="H1490" s="69"/>
    </row>
    <row r="1491" spans="1:8" x14ac:dyDescent="0.35">
      <c r="A1491" s="64"/>
      <c r="B1491" s="65"/>
      <c r="C1491" s="65" t="str">
        <f>IFERROR(VLOOKUP(B1491,منتجات!$A$3:$C$350,2,0),"")</f>
        <v/>
      </c>
      <c r="D1491" s="65" t="str">
        <f>IFERROR(VLOOKUP(B1491,منتجات!$A$3:$C$350,3,0),"")</f>
        <v/>
      </c>
      <c r="E1491" s="65"/>
      <c r="F1491" s="65" t="str">
        <f>IFERROR(INDEX(منتجات!$G$3:$G$350,MATCH(B1491,منتجات!$A$3:$A$115,0)),"")</f>
        <v/>
      </c>
      <c r="G1491" s="65" t="str">
        <f t="shared" si="25"/>
        <v/>
      </c>
      <c r="H1491" s="70"/>
    </row>
    <row r="1492" spans="1:8" x14ac:dyDescent="0.35">
      <c r="A1492" s="62"/>
      <c r="B1492" s="63"/>
      <c r="C1492" s="63" t="str">
        <f>IFERROR(VLOOKUP(B1492,منتجات!$A$3:$C$350,2,0),"")</f>
        <v/>
      </c>
      <c r="D1492" s="63" t="str">
        <f>IFERROR(VLOOKUP(B1492,منتجات!$A$3:$C$350,3,0),"")</f>
        <v/>
      </c>
      <c r="E1492" s="63"/>
      <c r="F1492" s="63" t="str">
        <f>IFERROR(INDEX(منتجات!$G$3:$G$350,MATCH(B1492,منتجات!$A$3:$A$115,0)),"")</f>
        <v/>
      </c>
      <c r="G1492" s="63" t="str">
        <f t="shared" si="25"/>
        <v/>
      </c>
      <c r="H1492" s="69"/>
    </row>
    <row r="1493" spans="1:8" x14ac:dyDescent="0.35">
      <c r="A1493" s="64"/>
      <c r="B1493" s="65"/>
      <c r="C1493" s="65" t="str">
        <f>IFERROR(VLOOKUP(B1493,منتجات!$A$3:$C$350,2,0),"")</f>
        <v/>
      </c>
      <c r="D1493" s="65" t="str">
        <f>IFERROR(VLOOKUP(B1493,منتجات!$A$3:$C$350,3,0),"")</f>
        <v/>
      </c>
      <c r="E1493" s="65"/>
      <c r="F1493" s="65" t="str">
        <f>IFERROR(INDEX(منتجات!$G$3:$G$350,MATCH(B1493,منتجات!$A$3:$A$115,0)),"")</f>
        <v/>
      </c>
      <c r="G1493" s="65" t="str">
        <f t="shared" si="25"/>
        <v/>
      </c>
      <c r="H1493" s="70"/>
    </row>
    <row r="1494" spans="1:8" x14ac:dyDescent="0.35">
      <c r="A1494" s="62"/>
      <c r="B1494" s="63"/>
      <c r="C1494" s="63" t="str">
        <f>IFERROR(VLOOKUP(B1494,منتجات!$A$3:$C$350,2,0),"")</f>
        <v/>
      </c>
      <c r="D1494" s="63" t="str">
        <f>IFERROR(VLOOKUP(B1494,منتجات!$A$3:$C$350,3,0),"")</f>
        <v/>
      </c>
      <c r="E1494" s="63"/>
      <c r="F1494" s="63" t="str">
        <f>IFERROR(INDEX(منتجات!$G$3:$G$350,MATCH(B1494,منتجات!$A$3:$A$115,0)),"")</f>
        <v/>
      </c>
      <c r="G1494" s="63" t="str">
        <f t="shared" si="25"/>
        <v/>
      </c>
      <c r="H1494" s="69"/>
    </row>
    <row r="1495" spans="1:8" x14ac:dyDescent="0.35">
      <c r="A1495" s="64"/>
      <c r="B1495" s="65"/>
      <c r="C1495" s="65" t="str">
        <f>IFERROR(VLOOKUP(B1495,منتجات!$A$3:$C$350,2,0),"")</f>
        <v/>
      </c>
      <c r="D1495" s="65" t="str">
        <f>IFERROR(VLOOKUP(B1495,منتجات!$A$3:$C$350,3,0),"")</f>
        <v/>
      </c>
      <c r="E1495" s="65"/>
      <c r="F1495" s="65" t="str">
        <f>IFERROR(INDEX(منتجات!$G$3:$G$350,MATCH(B1495,منتجات!$A$3:$A$115,0)),"")</f>
        <v/>
      </c>
      <c r="G1495" s="65" t="str">
        <f t="shared" si="25"/>
        <v/>
      </c>
      <c r="H1495" s="70"/>
    </row>
    <row r="1496" spans="1:8" x14ac:dyDescent="0.35">
      <c r="A1496" s="62"/>
      <c r="B1496" s="63"/>
      <c r="C1496" s="63" t="str">
        <f>IFERROR(VLOOKUP(B1496,منتجات!$A$3:$C$350,2,0),"")</f>
        <v/>
      </c>
      <c r="D1496" s="63" t="str">
        <f>IFERROR(VLOOKUP(B1496,منتجات!$A$3:$C$350,3,0),"")</f>
        <v/>
      </c>
      <c r="E1496" s="63"/>
      <c r="F1496" s="63" t="str">
        <f>IFERROR(INDEX(منتجات!$G$3:$G$350,MATCH(B1496,منتجات!$A$3:$A$115,0)),"")</f>
        <v/>
      </c>
      <c r="G1496" s="63" t="str">
        <f t="shared" si="25"/>
        <v/>
      </c>
      <c r="H1496" s="69"/>
    </row>
    <row r="1497" spans="1:8" x14ac:dyDescent="0.35">
      <c r="A1497" s="64"/>
      <c r="B1497" s="65"/>
      <c r="C1497" s="65" t="str">
        <f>IFERROR(VLOOKUP(B1497,منتجات!$A$3:$C$350,2,0),"")</f>
        <v/>
      </c>
      <c r="D1497" s="65" t="str">
        <f>IFERROR(VLOOKUP(B1497,منتجات!$A$3:$C$350,3,0),"")</f>
        <v/>
      </c>
      <c r="E1497" s="65"/>
      <c r="F1497" s="65" t="str">
        <f>IFERROR(INDEX(منتجات!$G$3:$G$350,MATCH(B1497,منتجات!$A$3:$A$115,0)),"")</f>
        <v/>
      </c>
      <c r="G1497" s="65" t="str">
        <f t="shared" si="25"/>
        <v/>
      </c>
      <c r="H1497" s="70"/>
    </row>
    <row r="1498" spans="1:8" x14ac:dyDescent="0.35">
      <c r="A1498" s="62"/>
      <c r="B1498" s="63"/>
      <c r="C1498" s="63" t="str">
        <f>IFERROR(VLOOKUP(B1498,منتجات!$A$3:$C$350,2,0),"")</f>
        <v/>
      </c>
      <c r="D1498" s="63" t="str">
        <f>IFERROR(VLOOKUP(B1498,منتجات!$A$3:$C$350,3,0),"")</f>
        <v/>
      </c>
      <c r="E1498" s="63"/>
      <c r="F1498" s="63" t="str">
        <f>IFERROR(INDEX(منتجات!$G$3:$G$350,MATCH(B1498,منتجات!$A$3:$A$115,0)),"")</f>
        <v/>
      </c>
      <c r="G1498" s="63" t="str">
        <f t="shared" si="25"/>
        <v/>
      </c>
      <c r="H1498" s="69"/>
    </row>
    <row r="1499" spans="1:8" x14ac:dyDescent="0.35">
      <c r="A1499" s="64"/>
      <c r="B1499" s="65"/>
      <c r="C1499" s="65" t="str">
        <f>IFERROR(VLOOKUP(B1499,منتجات!$A$3:$C$350,2,0),"")</f>
        <v/>
      </c>
      <c r="D1499" s="65" t="str">
        <f>IFERROR(VLOOKUP(B1499,منتجات!$A$3:$C$350,3,0),"")</f>
        <v/>
      </c>
      <c r="E1499" s="65"/>
      <c r="F1499" s="65" t="str">
        <f>IFERROR(INDEX(منتجات!$G$3:$G$350,MATCH(B1499,منتجات!$A$3:$A$115,0)),"")</f>
        <v/>
      </c>
      <c r="G1499" s="65" t="str">
        <f t="shared" si="25"/>
        <v/>
      </c>
      <c r="H1499" s="70"/>
    </row>
    <row r="1500" spans="1:8" x14ac:dyDescent="0.35">
      <c r="A1500" s="62"/>
      <c r="B1500" s="63"/>
      <c r="C1500" s="63" t="str">
        <f>IFERROR(VLOOKUP(B1500,منتجات!$A$3:$C$350,2,0),"")</f>
        <v/>
      </c>
      <c r="D1500" s="63" t="str">
        <f>IFERROR(VLOOKUP(B1500,منتجات!$A$3:$C$350,3,0),"")</f>
        <v/>
      </c>
      <c r="E1500" s="63"/>
      <c r="F1500" s="63" t="str">
        <f>IFERROR(INDEX(منتجات!$G$3:$G$350,MATCH(B1500,منتجات!$A$3:$A$115,0)),"")</f>
        <v/>
      </c>
      <c r="G1500" s="63" t="str">
        <f t="shared" si="25"/>
        <v/>
      </c>
      <c r="H1500" s="69"/>
    </row>
    <row r="1501" spans="1:8" x14ac:dyDescent="0.35">
      <c r="A1501" s="64"/>
      <c r="B1501" s="65"/>
      <c r="C1501" s="65" t="str">
        <f>IFERROR(VLOOKUP(B1501,منتجات!$A$3:$C$350,2,0),"")</f>
        <v/>
      </c>
      <c r="D1501" s="65" t="str">
        <f>IFERROR(VLOOKUP(B1501,منتجات!$A$3:$C$350,3,0),"")</f>
        <v/>
      </c>
      <c r="E1501" s="65"/>
      <c r="F1501" s="65" t="str">
        <f>IFERROR(INDEX(منتجات!$G$3:$G$350,MATCH(B1501,منتجات!$A$3:$A$115,0)),"")</f>
        <v/>
      </c>
      <c r="G1501" s="65" t="str">
        <f t="shared" si="25"/>
        <v/>
      </c>
      <c r="H1501" s="70"/>
    </row>
    <row r="1502" spans="1:8" x14ac:dyDescent="0.35">
      <c r="A1502" s="62"/>
      <c r="B1502" s="63"/>
      <c r="C1502" s="63" t="str">
        <f>IFERROR(VLOOKUP(B1502,منتجات!$A$3:$C$350,2,0),"")</f>
        <v/>
      </c>
      <c r="D1502" s="63" t="str">
        <f>IFERROR(VLOOKUP(B1502,منتجات!$A$3:$C$350,3,0),"")</f>
        <v/>
      </c>
      <c r="E1502" s="63"/>
      <c r="F1502" s="63" t="str">
        <f>IFERROR(INDEX(منتجات!$G$3:$G$350,MATCH(B1502,منتجات!$A$3:$A$115,0)),"")</f>
        <v/>
      </c>
      <c r="G1502" s="63" t="str">
        <f t="shared" si="25"/>
        <v/>
      </c>
      <c r="H1502" s="69"/>
    </row>
    <row r="1503" spans="1:8" x14ac:dyDescent="0.35">
      <c r="A1503" s="64"/>
      <c r="B1503" s="65"/>
      <c r="C1503" s="65" t="str">
        <f>IFERROR(VLOOKUP(B1503,منتجات!$A$3:$C$350,2,0),"")</f>
        <v/>
      </c>
      <c r="D1503" s="65" t="str">
        <f>IFERROR(VLOOKUP(B1503,منتجات!$A$3:$C$350,3,0),"")</f>
        <v/>
      </c>
      <c r="E1503" s="65"/>
      <c r="F1503" s="65" t="str">
        <f>IFERROR(INDEX(منتجات!$G$3:$G$350,MATCH(B1503,منتجات!$A$3:$A$115,0)),"")</f>
        <v/>
      </c>
      <c r="G1503" s="65" t="str">
        <f t="shared" si="25"/>
        <v/>
      </c>
      <c r="H1503" s="70"/>
    </row>
    <row r="1504" spans="1:8" x14ac:dyDescent="0.35">
      <c r="A1504" s="62"/>
      <c r="B1504" s="63"/>
      <c r="C1504" s="63" t="str">
        <f>IFERROR(VLOOKUP(B1504,منتجات!$A$3:$C$350,2,0),"")</f>
        <v/>
      </c>
      <c r="D1504" s="63" t="str">
        <f>IFERROR(VLOOKUP(B1504,منتجات!$A$3:$C$350,3,0),"")</f>
        <v/>
      </c>
      <c r="E1504" s="63"/>
      <c r="F1504" s="63" t="str">
        <f>IFERROR(INDEX(منتجات!$G$3:$G$350,MATCH(B1504,منتجات!$A$3:$A$115,0)),"")</f>
        <v/>
      </c>
      <c r="G1504" s="63" t="str">
        <f t="shared" si="25"/>
        <v/>
      </c>
      <c r="H1504" s="69"/>
    </row>
    <row r="1505" spans="1:8" x14ac:dyDescent="0.35">
      <c r="A1505" s="64"/>
      <c r="B1505" s="65"/>
      <c r="C1505" s="65" t="str">
        <f>IFERROR(VLOOKUP(B1505,منتجات!$A$3:$C$350,2,0),"")</f>
        <v/>
      </c>
      <c r="D1505" s="65" t="str">
        <f>IFERROR(VLOOKUP(B1505,منتجات!$A$3:$C$350,3,0),"")</f>
        <v/>
      </c>
      <c r="E1505" s="65"/>
      <c r="F1505" s="65" t="str">
        <f>IFERROR(INDEX(منتجات!$G$3:$G$350,MATCH(B1505,منتجات!$A$3:$A$115,0)),"")</f>
        <v/>
      </c>
      <c r="G1505" s="65" t="str">
        <f t="shared" si="25"/>
        <v/>
      </c>
      <c r="H1505" s="70"/>
    </row>
    <row r="1506" spans="1:8" x14ac:dyDescent="0.35">
      <c r="A1506" s="62"/>
      <c r="B1506" s="63"/>
      <c r="C1506" s="63" t="str">
        <f>IFERROR(VLOOKUP(B1506,منتجات!$A$3:$C$350,2,0),"")</f>
        <v/>
      </c>
      <c r="D1506" s="63" t="str">
        <f>IFERROR(VLOOKUP(B1506,منتجات!$A$3:$C$350,3,0),"")</f>
        <v/>
      </c>
      <c r="E1506" s="63"/>
      <c r="F1506" s="63" t="str">
        <f>IFERROR(INDEX(منتجات!$G$3:$G$350,MATCH(B1506,منتجات!$A$3:$A$115,0)),"")</f>
        <v/>
      </c>
      <c r="G1506" s="63" t="str">
        <f t="shared" si="25"/>
        <v/>
      </c>
      <c r="H1506" s="69"/>
    </row>
    <row r="1507" spans="1:8" x14ac:dyDescent="0.35">
      <c r="A1507" s="64"/>
      <c r="B1507" s="65"/>
      <c r="C1507" s="65" t="str">
        <f>IFERROR(VLOOKUP(B1507,منتجات!$A$3:$C$350,2,0),"")</f>
        <v/>
      </c>
      <c r="D1507" s="65" t="str">
        <f>IFERROR(VLOOKUP(B1507,منتجات!$A$3:$C$350,3,0),"")</f>
        <v/>
      </c>
      <c r="E1507" s="65"/>
      <c r="F1507" s="65" t="str">
        <f>IFERROR(INDEX(منتجات!$G$3:$G$350,MATCH(B1507,منتجات!$A$3:$A$115,0)),"")</f>
        <v/>
      </c>
      <c r="G1507" s="65" t="str">
        <f t="shared" si="25"/>
        <v/>
      </c>
      <c r="H1507" s="70"/>
    </row>
    <row r="1508" spans="1:8" x14ac:dyDescent="0.35">
      <c r="A1508" s="62"/>
      <c r="B1508" s="63"/>
      <c r="C1508" s="63" t="str">
        <f>IFERROR(VLOOKUP(B1508,منتجات!$A$3:$C$350,2,0),"")</f>
        <v/>
      </c>
      <c r="D1508" s="63" t="str">
        <f>IFERROR(VLOOKUP(B1508,منتجات!$A$3:$C$350,3,0),"")</f>
        <v/>
      </c>
      <c r="E1508" s="63"/>
      <c r="F1508" s="63" t="str">
        <f>IFERROR(INDEX(منتجات!$G$3:$G$350,MATCH(B1508,منتجات!$A$3:$A$115,0)),"")</f>
        <v/>
      </c>
      <c r="G1508" s="63" t="str">
        <f t="shared" si="25"/>
        <v/>
      </c>
      <c r="H1508" s="69"/>
    </row>
    <row r="1509" spans="1:8" x14ac:dyDescent="0.35">
      <c r="A1509" s="64"/>
      <c r="B1509" s="65"/>
      <c r="C1509" s="65" t="str">
        <f>IFERROR(VLOOKUP(B1509,منتجات!$A$3:$C$350,2,0),"")</f>
        <v/>
      </c>
      <c r="D1509" s="65" t="str">
        <f>IFERROR(VLOOKUP(B1509,منتجات!$A$3:$C$350,3,0),"")</f>
        <v/>
      </c>
      <c r="E1509" s="65"/>
      <c r="F1509" s="65" t="str">
        <f>IFERROR(INDEX(منتجات!$G$3:$G$350,MATCH(B1509,منتجات!$A$3:$A$115,0)),"")</f>
        <v/>
      </c>
      <c r="G1509" s="65" t="str">
        <f t="shared" si="25"/>
        <v/>
      </c>
      <c r="H1509" s="70"/>
    </row>
    <row r="1510" spans="1:8" x14ac:dyDescent="0.35">
      <c r="A1510" s="62"/>
      <c r="B1510" s="63"/>
      <c r="C1510" s="63" t="str">
        <f>IFERROR(VLOOKUP(B1510,منتجات!$A$3:$C$350,2,0),"")</f>
        <v/>
      </c>
      <c r="D1510" s="63" t="str">
        <f>IFERROR(VLOOKUP(B1510,منتجات!$A$3:$C$350,3,0),"")</f>
        <v/>
      </c>
      <c r="E1510" s="63"/>
      <c r="F1510" s="63" t="str">
        <f>IFERROR(INDEX(منتجات!$G$3:$G$350,MATCH(B1510,منتجات!$A$3:$A$115,0)),"")</f>
        <v/>
      </c>
      <c r="G1510" s="63" t="str">
        <f t="shared" si="25"/>
        <v/>
      </c>
      <c r="H1510" s="69"/>
    </row>
    <row r="1511" spans="1:8" x14ac:dyDescent="0.35">
      <c r="A1511" s="64"/>
      <c r="B1511" s="65"/>
      <c r="C1511" s="65" t="str">
        <f>IFERROR(VLOOKUP(B1511,منتجات!$A$3:$C$350,2,0),"")</f>
        <v/>
      </c>
      <c r="D1511" s="65" t="str">
        <f>IFERROR(VLOOKUP(B1511,منتجات!$A$3:$C$350,3,0),"")</f>
        <v/>
      </c>
      <c r="E1511" s="65"/>
      <c r="F1511" s="65" t="str">
        <f>IFERROR(INDEX(منتجات!$G$3:$G$350,MATCH(B1511,منتجات!$A$3:$A$115,0)),"")</f>
        <v/>
      </c>
      <c r="G1511" s="65" t="str">
        <f t="shared" si="25"/>
        <v/>
      </c>
      <c r="H1511" s="70"/>
    </row>
    <row r="1512" spans="1:8" x14ac:dyDescent="0.35">
      <c r="A1512" s="62"/>
      <c r="B1512" s="63"/>
      <c r="C1512" s="63" t="str">
        <f>IFERROR(VLOOKUP(B1512,منتجات!$A$3:$C$350,2,0),"")</f>
        <v/>
      </c>
      <c r="D1512" s="63" t="str">
        <f>IFERROR(VLOOKUP(B1512,منتجات!$A$3:$C$350,3,0),"")</f>
        <v/>
      </c>
      <c r="E1512" s="63"/>
      <c r="F1512" s="63" t="str">
        <f>IFERROR(INDEX(منتجات!$G$3:$G$350,MATCH(B1512,منتجات!$A$3:$A$115,0)),"")</f>
        <v/>
      </c>
      <c r="G1512" s="63" t="str">
        <f t="shared" si="25"/>
        <v/>
      </c>
      <c r="H1512" s="69"/>
    </row>
    <row r="1513" spans="1:8" x14ac:dyDescent="0.35">
      <c r="A1513" s="64"/>
      <c r="B1513" s="65"/>
      <c r="C1513" s="65" t="str">
        <f>IFERROR(VLOOKUP(B1513,منتجات!$A$3:$C$350,2,0),"")</f>
        <v/>
      </c>
      <c r="D1513" s="65" t="str">
        <f>IFERROR(VLOOKUP(B1513,منتجات!$A$3:$C$350,3,0),"")</f>
        <v/>
      </c>
      <c r="E1513" s="65"/>
      <c r="F1513" s="65" t="str">
        <f>IFERROR(INDEX(منتجات!$G$3:$G$350,MATCH(B1513,منتجات!$A$3:$A$115,0)),"")</f>
        <v/>
      </c>
      <c r="G1513" s="65" t="str">
        <f t="shared" si="25"/>
        <v/>
      </c>
      <c r="H1513" s="70"/>
    </row>
    <row r="1514" spans="1:8" x14ac:dyDescent="0.35">
      <c r="A1514" s="62"/>
      <c r="B1514" s="63"/>
      <c r="C1514" s="63" t="str">
        <f>IFERROR(VLOOKUP(B1514,منتجات!$A$3:$C$350,2,0),"")</f>
        <v/>
      </c>
      <c r="D1514" s="63" t="str">
        <f>IFERROR(VLOOKUP(B1514,منتجات!$A$3:$C$350,3,0),"")</f>
        <v/>
      </c>
      <c r="E1514" s="63"/>
      <c r="F1514" s="63" t="str">
        <f>IFERROR(INDEX(منتجات!$G$3:$G$350,MATCH(B1514,منتجات!$A$3:$A$115,0)),"")</f>
        <v/>
      </c>
      <c r="G1514" s="63" t="str">
        <f t="shared" si="25"/>
        <v/>
      </c>
      <c r="H1514" s="69"/>
    </row>
    <row r="1515" spans="1:8" x14ac:dyDescent="0.35">
      <c r="A1515" s="64"/>
      <c r="B1515" s="65"/>
      <c r="C1515" s="65" t="str">
        <f>IFERROR(VLOOKUP(B1515,منتجات!$A$3:$C$350,2,0),"")</f>
        <v/>
      </c>
      <c r="D1515" s="65" t="str">
        <f>IFERROR(VLOOKUP(B1515,منتجات!$A$3:$C$350,3,0),"")</f>
        <v/>
      </c>
      <c r="E1515" s="65"/>
      <c r="F1515" s="65" t="str">
        <f>IFERROR(INDEX(منتجات!$G$3:$G$350,MATCH(B1515,منتجات!$A$3:$A$115,0)),"")</f>
        <v/>
      </c>
      <c r="G1515" s="65" t="str">
        <f t="shared" si="25"/>
        <v/>
      </c>
      <c r="H1515" s="70"/>
    </row>
    <row r="1516" spans="1:8" x14ac:dyDescent="0.35">
      <c r="A1516" s="62"/>
      <c r="B1516" s="63"/>
      <c r="C1516" s="63" t="str">
        <f>IFERROR(VLOOKUP(B1516,منتجات!$A$3:$C$350,2,0),"")</f>
        <v/>
      </c>
      <c r="D1516" s="63" t="str">
        <f>IFERROR(VLOOKUP(B1516,منتجات!$A$3:$C$350,3,0),"")</f>
        <v/>
      </c>
      <c r="E1516" s="63"/>
      <c r="F1516" s="63" t="str">
        <f>IFERROR(INDEX(منتجات!$G$3:$G$350,MATCH(B1516,منتجات!$A$3:$A$115,0)),"")</f>
        <v/>
      </c>
      <c r="G1516" s="63" t="str">
        <f t="shared" si="25"/>
        <v/>
      </c>
      <c r="H1516" s="69"/>
    </row>
    <row r="1517" spans="1:8" x14ac:dyDescent="0.35">
      <c r="A1517" s="64"/>
      <c r="B1517" s="65"/>
      <c r="C1517" s="65" t="str">
        <f>IFERROR(VLOOKUP(B1517,منتجات!$A$3:$C$350,2,0),"")</f>
        <v/>
      </c>
      <c r="D1517" s="65" t="str">
        <f>IFERROR(VLOOKUP(B1517,منتجات!$A$3:$C$350,3,0),"")</f>
        <v/>
      </c>
      <c r="E1517" s="65"/>
      <c r="F1517" s="65" t="str">
        <f>IFERROR(INDEX(منتجات!$G$3:$G$350,MATCH(B1517,منتجات!$A$3:$A$115,0)),"")</f>
        <v/>
      </c>
      <c r="G1517" s="65" t="str">
        <f t="shared" si="25"/>
        <v/>
      </c>
      <c r="H1517" s="70"/>
    </row>
    <row r="1518" spans="1:8" x14ac:dyDescent="0.35">
      <c r="A1518" s="62"/>
      <c r="B1518" s="63"/>
      <c r="C1518" s="63" t="str">
        <f>IFERROR(VLOOKUP(B1518,منتجات!$A$3:$C$350,2,0),"")</f>
        <v/>
      </c>
      <c r="D1518" s="63" t="str">
        <f>IFERROR(VLOOKUP(B1518,منتجات!$A$3:$C$350,3,0),"")</f>
        <v/>
      </c>
      <c r="E1518" s="63"/>
      <c r="F1518" s="63" t="str">
        <f>IFERROR(INDEX(منتجات!$G$3:$G$350,MATCH(B1518,منتجات!$A$3:$A$115,0)),"")</f>
        <v/>
      </c>
      <c r="G1518" s="63" t="str">
        <f t="shared" si="25"/>
        <v/>
      </c>
      <c r="H1518" s="69"/>
    </row>
    <row r="1519" spans="1:8" x14ac:dyDescent="0.35">
      <c r="A1519" s="64"/>
      <c r="B1519" s="65"/>
      <c r="C1519" s="65" t="str">
        <f>IFERROR(VLOOKUP(B1519,منتجات!$A$3:$C$350,2,0),"")</f>
        <v/>
      </c>
      <c r="D1519" s="65" t="str">
        <f>IFERROR(VLOOKUP(B1519,منتجات!$A$3:$C$350,3,0),"")</f>
        <v/>
      </c>
      <c r="E1519" s="65"/>
      <c r="F1519" s="65" t="str">
        <f>IFERROR(INDEX(منتجات!$G$3:$G$350,MATCH(B1519,منتجات!$A$3:$A$115,0)),"")</f>
        <v/>
      </c>
      <c r="G1519" s="65" t="str">
        <f t="shared" si="25"/>
        <v/>
      </c>
      <c r="H1519" s="70"/>
    </row>
    <row r="1520" spans="1:8" x14ac:dyDescent="0.35">
      <c r="A1520" s="62"/>
      <c r="B1520" s="63"/>
      <c r="C1520" s="63" t="str">
        <f>IFERROR(VLOOKUP(B1520,منتجات!$A$3:$C$350,2,0),"")</f>
        <v/>
      </c>
      <c r="D1520" s="63" t="str">
        <f>IFERROR(VLOOKUP(B1520,منتجات!$A$3:$C$350,3,0),"")</f>
        <v/>
      </c>
      <c r="E1520" s="63"/>
      <c r="F1520" s="63" t="str">
        <f>IFERROR(INDEX(منتجات!$G$3:$G$350,MATCH(B1520,منتجات!$A$3:$A$115,0)),"")</f>
        <v/>
      </c>
      <c r="G1520" s="63" t="str">
        <f t="shared" si="25"/>
        <v/>
      </c>
      <c r="H1520" s="69"/>
    </row>
    <row r="1521" spans="1:8" x14ac:dyDescent="0.35">
      <c r="A1521" s="64"/>
      <c r="B1521" s="65"/>
      <c r="C1521" s="65" t="str">
        <f>IFERROR(VLOOKUP(B1521,منتجات!$A$3:$C$350,2,0),"")</f>
        <v/>
      </c>
      <c r="D1521" s="65" t="str">
        <f>IFERROR(VLOOKUP(B1521,منتجات!$A$3:$C$350,3,0),"")</f>
        <v/>
      </c>
      <c r="E1521" s="65"/>
      <c r="F1521" s="65" t="str">
        <f>IFERROR(INDEX(منتجات!$G$3:$G$350,MATCH(B1521,منتجات!$A$3:$A$115,0)),"")</f>
        <v/>
      </c>
      <c r="G1521" s="65" t="str">
        <f t="shared" si="25"/>
        <v/>
      </c>
      <c r="H1521" s="70"/>
    </row>
    <row r="1522" spans="1:8" x14ac:dyDescent="0.35">
      <c r="A1522" s="62"/>
      <c r="B1522" s="63"/>
      <c r="C1522" s="63" t="str">
        <f>IFERROR(VLOOKUP(B1522,منتجات!$A$3:$C$350,2,0),"")</f>
        <v/>
      </c>
      <c r="D1522" s="63" t="str">
        <f>IFERROR(VLOOKUP(B1522,منتجات!$A$3:$C$350,3,0),"")</f>
        <v/>
      </c>
      <c r="E1522" s="63"/>
      <c r="F1522" s="63" t="str">
        <f>IFERROR(INDEX(منتجات!$G$3:$G$350,MATCH(B1522,منتجات!$A$3:$A$115,0)),"")</f>
        <v/>
      </c>
      <c r="G1522" s="63" t="str">
        <f t="shared" si="25"/>
        <v/>
      </c>
      <c r="H1522" s="69"/>
    </row>
    <row r="1523" spans="1:8" x14ac:dyDescent="0.35">
      <c r="A1523" s="64"/>
      <c r="B1523" s="65"/>
      <c r="C1523" s="65" t="str">
        <f>IFERROR(VLOOKUP(B1523,منتجات!$A$3:$C$350,2,0),"")</f>
        <v/>
      </c>
      <c r="D1523" s="65" t="str">
        <f>IFERROR(VLOOKUP(B1523,منتجات!$A$3:$C$350,3,0),"")</f>
        <v/>
      </c>
      <c r="E1523" s="65"/>
      <c r="F1523" s="65" t="str">
        <f>IFERROR(INDEX(منتجات!$G$3:$G$350,MATCH(B1523,منتجات!$A$3:$A$115,0)),"")</f>
        <v/>
      </c>
      <c r="G1523" s="65" t="str">
        <f t="shared" si="25"/>
        <v/>
      </c>
      <c r="H1523" s="70"/>
    </row>
    <row r="1524" spans="1:8" x14ac:dyDescent="0.35">
      <c r="A1524" s="62"/>
      <c r="B1524" s="63"/>
      <c r="C1524" s="63" t="str">
        <f>IFERROR(VLOOKUP(B1524,منتجات!$A$3:$C$350,2,0),"")</f>
        <v/>
      </c>
      <c r="D1524" s="63" t="str">
        <f>IFERROR(VLOOKUP(B1524,منتجات!$A$3:$C$350,3,0),"")</f>
        <v/>
      </c>
      <c r="E1524" s="63"/>
      <c r="F1524" s="63" t="str">
        <f>IFERROR(INDEX(منتجات!$G$3:$G$350,MATCH(B1524,منتجات!$A$3:$A$115,0)),"")</f>
        <v/>
      </c>
      <c r="G1524" s="63" t="str">
        <f t="shared" si="25"/>
        <v/>
      </c>
      <c r="H1524" s="69"/>
    </row>
    <row r="1525" spans="1:8" x14ac:dyDescent="0.35">
      <c r="A1525" s="64"/>
      <c r="B1525" s="65"/>
      <c r="C1525" s="65" t="str">
        <f>IFERROR(VLOOKUP(B1525,منتجات!$A$3:$C$350,2,0),"")</f>
        <v/>
      </c>
      <c r="D1525" s="65" t="str">
        <f>IFERROR(VLOOKUP(B1525,منتجات!$A$3:$C$350,3,0),"")</f>
        <v/>
      </c>
      <c r="E1525" s="65"/>
      <c r="F1525" s="65" t="str">
        <f>IFERROR(INDEX(منتجات!$G$3:$G$350,MATCH(B1525,منتجات!$A$3:$A$115,0)),"")</f>
        <v/>
      </c>
      <c r="G1525" s="65" t="str">
        <f t="shared" si="25"/>
        <v/>
      </c>
      <c r="H1525" s="70"/>
    </row>
    <row r="1526" spans="1:8" x14ac:dyDescent="0.35">
      <c r="A1526" s="62"/>
      <c r="B1526" s="63"/>
      <c r="C1526" s="63" t="str">
        <f>IFERROR(VLOOKUP(B1526,منتجات!$A$3:$C$350,2,0),"")</f>
        <v/>
      </c>
      <c r="D1526" s="63" t="str">
        <f>IFERROR(VLOOKUP(B1526,منتجات!$A$3:$C$350,3,0),"")</f>
        <v/>
      </c>
      <c r="E1526" s="63"/>
      <c r="F1526" s="63" t="str">
        <f>IFERROR(INDEX(منتجات!$G$3:$G$350,MATCH(B1526,منتجات!$A$3:$A$115,0)),"")</f>
        <v/>
      </c>
      <c r="G1526" s="63" t="str">
        <f t="shared" si="25"/>
        <v/>
      </c>
      <c r="H1526" s="69"/>
    </row>
    <row r="1527" spans="1:8" x14ac:dyDescent="0.35">
      <c r="A1527" s="64"/>
      <c r="B1527" s="65"/>
      <c r="C1527" s="65" t="str">
        <f>IFERROR(VLOOKUP(B1527,منتجات!$A$3:$C$350,2,0),"")</f>
        <v/>
      </c>
      <c r="D1527" s="65" t="str">
        <f>IFERROR(VLOOKUP(B1527,منتجات!$A$3:$C$350,3,0),"")</f>
        <v/>
      </c>
      <c r="E1527" s="65"/>
      <c r="F1527" s="65" t="str">
        <f>IFERROR(INDEX(منتجات!$G$3:$G$350,MATCH(B1527,منتجات!$A$3:$A$115,0)),"")</f>
        <v/>
      </c>
      <c r="G1527" s="65" t="str">
        <f t="shared" si="25"/>
        <v/>
      </c>
      <c r="H1527" s="70"/>
    </row>
    <row r="1528" spans="1:8" x14ac:dyDescent="0.35">
      <c r="A1528" s="62"/>
      <c r="B1528" s="63"/>
      <c r="C1528" s="63" t="str">
        <f>IFERROR(VLOOKUP(B1528,منتجات!$A$3:$C$350,2,0),"")</f>
        <v/>
      </c>
      <c r="D1528" s="63" t="str">
        <f>IFERROR(VLOOKUP(B1528,منتجات!$A$3:$C$350,3,0),"")</f>
        <v/>
      </c>
      <c r="E1528" s="63"/>
      <c r="F1528" s="63" t="str">
        <f>IFERROR(INDEX(منتجات!$G$3:$G$350,MATCH(B1528,منتجات!$A$3:$A$115,0)),"")</f>
        <v/>
      </c>
      <c r="G1528" s="63" t="str">
        <f t="shared" si="25"/>
        <v/>
      </c>
      <c r="H1528" s="69"/>
    </row>
    <row r="1529" spans="1:8" x14ac:dyDescent="0.35">
      <c r="A1529" s="64"/>
      <c r="B1529" s="65"/>
      <c r="C1529" s="65" t="str">
        <f>IFERROR(VLOOKUP(B1529,منتجات!$A$3:$C$350,2,0),"")</f>
        <v/>
      </c>
      <c r="D1529" s="65" t="str">
        <f>IFERROR(VLOOKUP(B1529,منتجات!$A$3:$C$350,3,0),"")</f>
        <v/>
      </c>
      <c r="E1529" s="65"/>
      <c r="F1529" s="65" t="str">
        <f>IFERROR(INDEX(منتجات!$G$3:$G$350,MATCH(B1529,منتجات!$A$3:$A$115,0)),"")</f>
        <v/>
      </c>
      <c r="G1529" s="65" t="str">
        <f t="shared" si="25"/>
        <v/>
      </c>
      <c r="H1529" s="70"/>
    </row>
    <row r="1530" spans="1:8" x14ac:dyDescent="0.35">
      <c r="A1530" s="62"/>
      <c r="B1530" s="63"/>
      <c r="C1530" s="63" t="str">
        <f>IFERROR(VLOOKUP(B1530,منتجات!$A$3:$C$350,2,0),"")</f>
        <v/>
      </c>
      <c r="D1530" s="63" t="str">
        <f>IFERROR(VLOOKUP(B1530,منتجات!$A$3:$C$350,3,0),"")</f>
        <v/>
      </c>
      <c r="E1530" s="63"/>
      <c r="F1530" s="63" t="str">
        <f>IFERROR(INDEX(منتجات!$G$3:$G$350,MATCH(B1530,منتجات!$A$3:$A$115,0)),"")</f>
        <v/>
      </c>
      <c r="G1530" s="63" t="str">
        <f t="shared" si="25"/>
        <v/>
      </c>
      <c r="H1530" s="69"/>
    </row>
    <row r="1531" spans="1:8" x14ac:dyDescent="0.35">
      <c r="A1531" s="64"/>
      <c r="B1531" s="65"/>
      <c r="C1531" s="65" t="str">
        <f>IFERROR(VLOOKUP(B1531,منتجات!$A$3:$C$350,2,0),"")</f>
        <v/>
      </c>
      <c r="D1531" s="65" t="str">
        <f>IFERROR(VLOOKUP(B1531,منتجات!$A$3:$C$350,3,0),"")</f>
        <v/>
      </c>
      <c r="E1531" s="65"/>
      <c r="F1531" s="65" t="str">
        <f>IFERROR(INDEX(منتجات!$G$3:$G$350,MATCH(B1531,منتجات!$A$3:$A$115,0)),"")</f>
        <v/>
      </c>
      <c r="G1531" s="65" t="str">
        <f t="shared" si="25"/>
        <v/>
      </c>
      <c r="H1531" s="70"/>
    </row>
    <row r="1532" spans="1:8" x14ac:dyDescent="0.35">
      <c r="A1532" s="62"/>
      <c r="B1532" s="63"/>
      <c r="C1532" s="63" t="str">
        <f>IFERROR(VLOOKUP(B1532,منتجات!$A$3:$C$350,2,0),"")</f>
        <v/>
      </c>
      <c r="D1532" s="63" t="str">
        <f>IFERROR(VLOOKUP(B1532,منتجات!$A$3:$C$350,3,0),"")</f>
        <v/>
      </c>
      <c r="E1532" s="63"/>
      <c r="F1532" s="63" t="str">
        <f>IFERROR(INDEX(منتجات!$G$3:$G$350,MATCH(B1532,منتجات!$A$3:$A$115,0)),"")</f>
        <v/>
      </c>
      <c r="G1532" s="63" t="str">
        <f t="shared" si="25"/>
        <v/>
      </c>
      <c r="H1532" s="69"/>
    </row>
    <row r="1533" spans="1:8" x14ac:dyDescent="0.35">
      <c r="A1533" s="64"/>
      <c r="B1533" s="65"/>
      <c r="C1533" s="65" t="str">
        <f>IFERROR(VLOOKUP(B1533,منتجات!$A$3:$C$350,2,0),"")</f>
        <v/>
      </c>
      <c r="D1533" s="65" t="str">
        <f>IFERROR(VLOOKUP(B1533,منتجات!$A$3:$C$350,3,0),"")</f>
        <v/>
      </c>
      <c r="E1533" s="65"/>
      <c r="F1533" s="65" t="str">
        <f>IFERROR(INDEX(منتجات!$G$3:$G$350,MATCH(B1533,منتجات!$A$3:$A$115,0)),"")</f>
        <v/>
      </c>
      <c r="G1533" s="65" t="str">
        <f t="shared" si="25"/>
        <v/>
      </c>
      <c r="H1533" s="70"/>
    </row>
    <row r="1534" spans="1:8" x14ac:dyDescent="0.35">
      <c r="A1534" s="62"/>
      <c r="B1534" s="63"/>
      <c r="C1534" s="63" t="str">
        <f>IFERROR(VLOOKUP(B1534,منتجات!$A$3:$C$350,2,0),"")</f>
        <v/>
      </c>
      <c r="D1534" s="63" t="str">
        <f>IFERROR(VLOOKUP(B1534,منتجات!$A$3:$C$350,3,0),"")</f>
        <v/>
      </c>
      <c r="E1534" s="63"/>
      <c r="F1534" s="63" t="str">
        <f>IFERROR(INDEX(منتجات!$G$3:$G$350,MATCH(B1534,منتجات!$A$3:$A$115,0)),"")</f>
        <v/>
      </c>
      <c r="G1534" s="63" t="str">
        <f t="shared" si="25"/>
        <v/>
      </c>
      <c r="H1534" s="69"/>
    </row>
    <row r="1535" spans="1:8" x14ac:dyDescent="0.35">
      <c r="A1535" s="64"/>
      <c r="B1535" s="65"/>
      <c r="C1535" s="65" t="str">
        <f>IFERROR(VLOOKUP(B1535,منتجات!$A$3:$C$350,2,0),"")</f>
        <v/>
      </c>
      <c r="D1535" s="65" t="str">
        <f>IFERROR(VLOOKUP(B1535,منتجات!$A$3:$C$350,3,0),"")</f>
        <v/>
      </c>
      <c r="E1535" s="65"/>
      <c r="F1535" s="65" t="str">
        <f>IFERROR(INDEX(منتجات!$G$3:$G$350,MATCH(B1535,منتجات!$A$3:$A$115,0)),"")</f>
        <v/>
      </c>
      <c r="G1535" s="65" t="str">
        <f t="shared" si="25"/>
        <v/>
      </c>
      <c r="H1535" s="70"/>
    </row>
    <row r="1536" spans="1:8" x14ac:dyDescent="0.35">
      <c r="A1536" s="62"/>
      <c r="B1536" s="63"/>
      <c r="C1536" s="63" t="str">
        <f>IFERROR(VLOOKUP(B1536,منتجات!$A$3:$C$350,2,0),"")</f>
        <v/>
      </c>
      <c r="D1536" s="63" t="str">
        <f>IFERROR(VLOOKUP(B1536,منتجات!$A$3:$C$350,3,0),"")</f>
        <v/>
      </c>
      <c r="E1536" s="63"/>
      <c r="F1536" s="63" t="str">
        <f>IFERROR(INDEX(منتجات!$G$3:$G$350,MATCH(B1536,منتجات!$A$3:$A$115,0)),"")</f>
        <v/>
      </c>
      <c r="G1536" s="63" t="str">
        <f t="shared" si="25"/>
        <v/>
      </c>
      <c r="H1536" s="69"/>
    </row>
    <row r="1537" spans="1:8" x14ac:dyDescent="0.35">
      <c r="A1537" s="64"/>
      <c r="B1537" s="65"/>
      <c r="C1537" s="65" t="str">
        <f>IFERROR(VLOOKUP(B1537,منتجات!$A$3:$C$350,2,0),"")</f>
        <v/>
      </c>
      <c r="D1537" s="65" t="str">
        <f>IFERROR(VLOOKUP(B1537,منتجات!$A$3:$C$350,3,0),"")</f>
        <v/>
      </c>
      <c r="E1537" s="65"/>
      <c r="F1537" s="65" t="str">
        <f>IFERROR(INDEX(منتجات!$G$3:$G$350,MATCH(B1537,منتجات!$A$3:$A$115,0)),"")</f>
        <v/>
      </c>
      <c r="G1537" s="65" t="str">
        <f t="shared" si="25"/>
        <v/>
      </c>
      <c r="H1537" s="70"/>
    </row>
    <row r="1538" spans="1:8" x14ac:dyDescent="0.35">
      <c r="A1538" s="62"/>
      <c r="B1538" s="63"/>
      <c r="C1538" s="63" t="str">
        <f>IFERROR(VLOOKUP(B1538,منتجات!$A$3:$C$350,2,0),"")</f>
        <v/>
      </c>
      <c r="D1538" s="63" t="str">
        <f>IFERROR(VLOOKUP(B1538,منتجات!$A$3:$C$350,3,0),"")</f>
        <v/>
      </c>
      <c r="E1538" s="63"/>
      <c r="F1538" s="63" t="str">
        <f>IFERROR(INDEX(منتجات!$G$3:$G$350,MATCH(B1538,منتجات!$A$3:$A$115,0)),"")</f>
        <v/>
      </c>
      <c r="G1538" s="63" t="str">
        <f t="shared" si="25"/>
        <v/>
      </c>
      <c r="H1538" s="69"/>
    </row>
    <row r="1539" spans="1:8" x14ac:dyDescent="0.35">
      <c r="A1539" s="64"/>
      <c r="B1539" s="65"/>
      <c r="C1539" s="65" t="str">
        <f>IFERROR(VLOOKUP(B1539,منتجات!$A$3:$C$350,2,0),"")</f>
        <v/>
      </c>
      <c r="D1539" s="65" t="str">
        <f>IFERROR(VLOOKUP(B1539,منتجات!$A$3:$C$350,3,0),"")</f>
        <v/>
      </c>
      <c r="E1539" s="65"/>
      <c r="F1539" s="65" t="str">
        <f>IFERROR(INDEX(منتجات!$G$3:$G$350,MATCH(B1539,منتجات!$A$3:$A$115,0)),"")</f>
        <v/>
      </c>
      <c r="G1539" s="65" t="str">
        <f t="shared" si="25"/>
        <v/>
      </c>
      <c r="H1539" s="70"/>
    </row>
    <row r="1540" spans="1:8" x14ac:dyDescent="0.35">
      <c r="A1540" s="62"/>
      <c r="B1540" s="63"/>
      <c r="C1540" s="63" t="str">
        <f>IFERROR(VLOOKUP(B1540,منتجات!$A$3:$C$350,2,0),"")</f>
        <v/>
      </c>
      <c r="D1540" s="63" t="str">
        <f>IFERROR(VLOOKUP(B1540,منتجات!$A$3:$C$350,3,0),"")</f>
        <v/>
      </c>
      <c r="E1540" s="63"/>
      <c r="F1540" s="63" t="str">
        <f>IFERROR(INDEX(منتجات!$G$3:$G$350,MATCH(B1540,منتجات!$A$3:$A$115,0)),"")</f>
        <v/>
      </c>
      <c r="G1540" s="63" t="str">
        <f t="shared" si="25"/>
        <v/>
      </c>
      <c r="H1540" s="69"/>
    </row>
    <row r="1541" spans="1:8" x14ac:dyDescent="0.35">
      <c r="A1541" s="64"/>
      <c r="B1541" s="65"/>
      <c r="C1541" s="65" t="str">
        <f>IFERROR(VLOOKUP(B1541,منتجات!$A$3:$C$350,2,0),"")</f>
        <v/>
      </c>
      <c r="D1541" s="65" t="str">
        <f>IFERROR(VLOOKUP(B1541,منتجات!$A$3:$C$350,3,0),"")</f>
        <v/>
      </c>
      <c r="E1541" s="65"/>
      <c r="F1541" s="65" t="str">
        <f>IFERROR(INDEX(منتجات!$G$3:$G$350,MATCH(B1541,منتجات!$A$3:$A$115,0)),"")</f>
        <v/>
      </c>
      <c r="G1541" s="65" t="str">
        <f t="shared" si="25"/>
        <v/>
      </c>
      <c r="H1541" s="70"/>
    </row>
    <row r="1542" spans="1:8" x14ac:dyDescent="0.35">
      <c r="A1542" s="62"/>
      <c r="B1542" s="63"/>
      <c r="C1542" s="63" t="str">
        <f>IFERROR(VLOOKUP(B1542,منتجات!$A$3:$C$350,2,0),"")</f>
        <v/>
      </c>
      <c r="D1542" s="63" t="str">
        <f>IFERROR(VLOOKUP(B1542,منتجات!$A$3:$C$350,3,0),"")</f>
        <v/>
      </c>
      <c r="E1542" s="63"/>
      <c r="F1542" s="63" t="str">
        <f>IFERROR(INDEX(منتجات!$G$3:$G$350,MATCH(B1542,منتجات!$A$3:$A$115,0)),"")</f>
        <v/>
      </c>
      <c r="G1542" s="63" t="str">
        <f t="shared" ref="G1542:G1605" si="26">IFERROR(E1542*F1542*D1542,"")</f>
        <v/>
      </c>
      <c r="H1542" s="69"/>
    </row>
    <row r="1543" spans="1:8" x14ac:dyDescent="0.35">
      <c r="A1543" s="64"/>
      <c r="B1543" s="65"/>
      <c r="C1543" s="65" t="str">
        <f>IFERROR(VLOOKUP(B1543,منتجات!$A$3:$C$350,2,0),"")</f>
        <v/>
      </c>
      <c r="D1543" s="65" t="str">
        <f>IFERROR(VLOOKUP(B1543,منتجات!$A$3:$C$350,3,0),"")</f>
        <v/>
      </c>
      <c r="E1543" s="65"/>
      <c r="F1543" s="65" t="str">
        <f>IFERROR(INDEX(منتجات!$G$3:$G$350,MATCH(B1543,منتجات!$A$3:$A$115,0)),"")</f>
        <v/>
      </c>
      <c r="G1543" s="65" t="str">
        <f t="shared" si="26"/>
        <v/>
      </c>
      <c r="H1543" s="70"/>
    </row>
    <row r="1544" spans="1:8" x14ac:dyDescent="0.35">
      <c r="A1544" s="62"/>
      <c r="B1544" s="63"/>
      <c r="C1544" s="63" t="str">
        <f>IFERROR(VLOOKUP(B1544,منتجات!$A$3:$C$350,2,0),"")</f>
        <v/>
      </c>
      <c r="D1544" s="63" t="str">
        <f>IFERROR(VLOOKUP(B1544,منتجات!$A$3:$C$350,3,0),"")</f>
        <v/>
      </c>
      <c r="E1544" s="63"/>
      <c r="F1544" s="63" t="str">
        <f>IFERROR(INDEX(منتجات!$G$3:$G$350,MATCH(B1544,منتجات!$A$3:$A$115,0)),"")</f>
        <v/>
      </c>
      <c r="G1544" s="63" t="str">
        <f t="shared" si="26"/>
        <v/>
      </c>
      <c r="H1544" s="69"/>
    </row>
    <row r="1545" spans="1:8" x14ac:dyDescent="0.35">
      <c r="A1545" s="64"/>
      <c r="B1545" s="65"/>
      <c r="C1545" s="65" t="str">
        <f>IFERROR(VLOOKUP(B1545,منتجات!$A$3:$C$350,2,0),"")</f>
        <v/>
      </c>
      <c r="D1545" s="65" t="str">
        <f>IFERROR(VLOOKUP(B1545,منتجات!$A$3:$C$350,3,0),"")</f>
        <v/>
      </c>
      <c r="E1545" s="65"/>
      <c r="F1545" s="65" t="str">
        <f>IFERROR(INDEX(منتجات!$G$3:$G$350,MATCH(B1545,منتجات!$A$3:$A$115,0)),"")</f>
        <v/>
      </c>
      <c r="G1545" s="65" t="str">
        <f t="shared" si="26"/>
        <v/>
      </c>
      <c r="H1545" s="70"/>
    </row>
    <row r="1546" spans="1:8" x14ac:dyDescent="0.35">
      <c r="A1546" s="62"/>
      <c r="B1546" s="63"/>
      <c r="C1546" s="63" t="str">
        <f>IFERROR(VLOOKUP(B1546,منتجات!$A$3:$C$350,2,0),"")</f>
        <v/>
      </c>
      <c r="D1546" s="63" t="str">
        <f>IFERROR(VLOOKUP(B1546,منتجات!$A$3:$C$350,3,0),"")</f>
        <v/>
      </c>
      <c r="E1546" s="63"/>
      <c r="F1546" s="63" t="str">
        <f>IFERROR(INDEX(منتجات!$G$3:$G$350,MATCH(B1546,منتجات!$A$3:$A$115,0)),"")</f>
        <v/>
      </c>
      <c r="G1546" s="63" t="str">
        <f t="shared" si="26"/>
        <v/>
      </c>
      <c r="H1546" s="69"/>
    </row>
    <row r="1547" spans="1:8" x14ac:dyDescent="0.35">
      <c r="A1547" s="64"/>
      <c r="B1547" s="65"/>
      <c r="C1547" s="65" t="str">
        <f>IFERROR(VLOOKUP(B1547,منتجات!$A$3:$C$350,2,0),"")</f>
        <v/>
      </c>
      <c r="D1547" s="65" t="str">
        <f>IFERROR(VLOOKUP(B1547,منتجات!$A$3:$C$350,3,0),"")</f>
        <v/>
      </c>
      <c r="E1547" s="65"/>
      <c r="F1547" s="65" t="str">
        <f>IFERROR(INDEX(منتجات!$G$3:$G$350,MATCH(B1547,منتجات!$A$3:$A$115,0)),"")</f>
        <v/>
      </c>
      <c r="G1547" s="65" t="str">
        <f t="shared" si="26"/>
        <v/>
      </c>
      <c r="H1547" s="70"/>
    </row>
    <row r="1548" spans="1:8" x14ac:dyDescent="0.35">
      <c r="A1548" s="62"/>
      <c r="B1548" s="63"/>
      <c r="C1548" s="63" t="str">
        <f>IFERROR(VLOOKUP(B1548,منتجات!$A$3:$C$350,2,0),"")</f>
        <v/>
      </c>
      <c r="D1548" s="63" t="str">
        <f>IFERROR(VLOOKUP(B1548,منتجات!$A$3:$C$350,3,0),"")</f>
        <v/>
      </c>
      <c r="E1548" s="63"/>
      <c r="F1548" s="63" t="str">
        <f>IFERROR(INDEX(منتجات!$G$3:$G$350,MATCH(B1548,منتجات!$A$3:$A$115,0)),"")</f>
        <v/>
      </c>
      <c r="G1548" s="63" t="str">
        <f t="shared" si="26"/>
        <v/>
      </c>
      <c r="H1548" s="69"/>
    </row>
    <row r="1549" spans="1:8" x14ac:dyDescent="0.35">
      <c r="A1549" s="64"/>
      <c r="B1549" s="65"/>
      <c r="C1549" s="65" t="str">
        <f>IFERROR(VLOOKUP(B1549,منتجات!$A$3:$C$350,2,0),"")</f>
        <v/>
      </c>
      <c r="D1549" s="65" t="str">
        <f>IFERROR(VLOOKUP(B1549,منتجات!$A$3:$C$350,3,0),"")</f>
        <v/>
      </c>
      <c r="E1549" s="65"/>
      <c r="F1549" s="65" t="str">
        <f>IFERROR(INDEX(منتجات!$G$3:$G$350,MATCH(B1549,منتجات!$A$3:$A$115,0)),"")</f>
        <v/>
      </c>
      <c r="G1549" s="65" t="str">
        <f t="shared" si="26"/>
        <v/>
      </c>
      <c r="H1549" s="70"/>
    </row>
    <row r="1550" spans="1:8" x14ac:dyDescent="0.35">
      <c r="A1550" s="62"/>
      <c r="B1550" s="63"/>
      <c r="C1550" s="63" t="str">
        <f>IFERROR(VLOOKUP(B1550,منتجات!$A$3:$C$350,2,0),"")</f>
        <v/>
      </c>
      <c r="D1550" s="63" t="str">
        <f>IFERROR(VLOOKUP(B1550,منتجات!$A$3:$C$350,3,0),"")</f>
        <v/>
      </c>
      <c r="E1550" s="63"/>
      <c r="F1550" s="63" t="str">
        <f>IFERROR(INDEX(منتجات!$G$3:$G$350,MATCH(B1550,منتجات!$A$3:$A$115,0)),"")</f>
        <v/>
      </c>
      <c r="G1550" s="63" t="str">
        <f t="shared" si="26"/>
        <v/>
      </c>
      <c r="H1550" s="69"/>
    </row>
    <row r="1551" spans="1:8" x14ac:dyDescent="0.35">
      <c r="A1551" s="64"/>
      <c r="B1551" s="65"/>
      <c r="C1551" s="65" t="str">
        <f>IFERROR(VLOOKUP(B1551,منتجات!$A$3:$C$350,2,0),"")</f>
        <v/>
      </c>
      <c r="D1551" s="65" t="str">
        <f>IFERROR(VLOOKUP(B1551,منتجات!$A$3:$C$350,3,0),"")</f>
        <v/>
      </c>
      <c r="E1551" s="65"/>
      <c r="F1551" s="65" t="str">
        <f>IFERROR(INDEX(منتجات!$G$3:$G$350,MATCH(B1551,منتجات!$A$3:$A$115,0)),"")</f>
        <v/>
      </c>
      <c r="G1551" s="65" t="str">
        <f t="shared" si="26"/>
        <v/>
      </c>
      <c r="H1551" s="70"/>
    </row>
    <row r="1552" spans="1:8" x14ac:dyDescent="0.35">
      <c r="A1552" s="62"/>
      <c r="B1552" s="63"/>
      <c r="C1552" s="63" t="str">
        <f>IFERROR(VLOOKUP(B1552,منتجات!$A$3:$C$350,2,0),"")</f>
        <v/>
      </c>
      <c r="D1552" s="63" t="str">
        <f>IFERROR(VLOOKUP(B1552,منتجات!$A$3:$C$350,3,0),"")</f>
        <v/>
      </c>
      <c r="E1552" s="63"/>
      <c r="F1552" s="63" t="str">
        <f>IFERROR(INDEX(منتجات!$G$3:$G$350,MATCH(B1552,منتجات!$A$3:$A$115,0)),"")</f>
        <v/>
      </c>
      <c r="G1552" s="63" t="str">
        <f t="shared" si="26"/>
        <v/>
      </c>
      <c r="H1552" s="69"/>
    </row>
    <row r="1553" spans="1:8" x14ac:dyDescent="0.35">
      <c r="A1553" s="64"/>
      <c r="B1553" s="65"/>
      <c r="C1553" s="65" t="str">
        <f>IFERROR(VLOOKUP(B1553,منتجات!$A$3:$C$350,2,0),"")</f>
        <v/>
      </c>
      <c r="D1553" s="65" t="str">
        <f>IFERROR(VLOOKUP(B1553,منتجات!$A$3:$C$350,3,0),"")</f>
        <v/>
      </c>
      <c r="E1553" s="65"/>
      <c r="F1553" s="65" t="str">
        <f>IFERROR(INDEX(منتجات!$G$3:$G$350,MATCH(B1553,منتجات!$A$3:$A$115,0)),"")</f>
        <v/>
      </c>
      <c r="G1553" s="65" t="str">
        <f t="shared" si="26"/>
        <v/>
      </c>
      <c r="H1553" s="70"/>
    </row>
    <row r="1554" spans="1:8" x14ac:dyDescent="0.35">
      <c r="A1554" s="62"/>
      <c r="B1554" s="63"/>
      <c r="C1554" s="63" t="str">
        <f>IFERROR(VLOOKUP(B1554,منتجات!$A$3:$C$350,2,0),"")</f>
        <v/>
      </c>
      <c r="D1554" s="63" t="str">
        <f>IFERROR(VLOOKUP(B1554,منتجات!$A$3:$C$350,3,0),"")</f>
        <v/>
      </c>
      <c r="E1554" s="63"/>
      <c r="F1554" s="63" t="str">
        <f>IFERROR(INDEX(منتجات!$G$3:$G$350,MATCH(B1554,منتجات!$A$3:$A$115,0)),"")</f>
        <v/>
      </c>
      <c r="G1554" s="63" t="str">
        <f t="shared" si="26"/>
        <v/>
      </c>
      <c r="H1554" s="69"/>
    </row>
    <row r="1555" spans="1:8" x14ac:dyDescent="0.35">
      <c r="A1555" s="64"/>
      <c r="B1555" s="65"/>
      <c r="C1555" s="65" t="str">
        <f>IFERROR(VLOOKUP(B1555,منتجات!$A$3:$C$350,2,0),"")</f>
        <v/>
      </c>
      <c r="D1555" s="65" t="str">
        <f>IFERROR(VLOOKUP(B1555,منتجات!$A$3:$C$350,3,0),"")</f>
        <v/>
      </c>
      <c r="E1555" s="65"/>
      <c r="F1555" s="65" t="str">
        <f>IFERROR(INDEX(منتجات!$G$3:$G$350,MATCH(B1555,منتجات!$A$3:$A$115,0)),"")</f>
        <v/>
      </c>
      <c r="G1555" s="65" t="str">
        <f t="shared" si="26"/>
        <v/>
      </c>
      <c r="H1555" s="70"/>
    </row>
    <row r="1556" spans="1:8" x14ac:dyDescent="0.35">
      <c r="A1556" s="62"/>
      <c r="B1556" s="63"/>
      <c r="C1556" s="63" t="str">
        <f>IFERROR(VLOOKUP(B1556,منتجات!$A$3:$C$350,2,0),"")</f>
        <v/>
      </c>
      <c r="D1556" s="63" t="str">
        <f>IFERROR(VLOOKUP(B1556,منتجات!$A$3:$C$350,3,0),"")</f>
        <v/>
      </c>
      <c r="E1556" s="63"/>
      <c r="F1556" s="63" t="str">
        <f>IFERROR(INDEX(منتجات!$G$3:$G$350,MATCH(B1556,منتجات!$A$3:$A$115,0)),"")</f>
        <v/>
      </c>
      <c r="G1556" s="63" t="str">
        <f t="shared" si="26"/>
        <v/>
      </c>
      <c r="H1556" s="69"/>
    </row>
    <row r="1557" spans="1:8" x14ac:dyDescent="0.35">
      <c r="A1557" s="64"/>
      <c r="B1557" s="65"/>
      <c r="C1557" s="65" t="str">
        <f>IFERROR(VLOOKUP(B1557,منتجات!$A$3:$C$350,2,0),"")</f>
        <v/>
      </c>
      <c r="D1557" s="65" t="str">
        <f>IFERROR(VLOOKUP(B1557,منتجات!$A$3:$C$350,3,0),"")</f>
        <v/>
      </c>
      <c r="E1557" s="65"/>
      <c r="F1557" s="65" t="str">
        <f>IFERROR(INDEX(منتجات!$G$3:$G$350,MATCH(B1557,منتجات!$A$3:$A$115,0)),"")</f>
        <v/>
      </c>
      <c r="G1557" s="65" t="str">
        <f t="shared" si="26"/>
        <v/>
      </c>
      <c r="H1557" s="70"/>
    </row>
    <row r="1558" spans="1:8" x14ac:dyDescent="0.35">
      <c r="A1558" s="62"/>
      <c r="B1558" s="63"/>
      <c r="C1558" s="63" t="str">
        <f>IFERROR(VLOOKUP(B1558,منتجات!$A$3:$C$350,2,0),"")</f>
        <v/>
      </c>
      <c r="D1558" s="63" t="str">
        <f>IFERROR(VLOOKUP(B1558,منتجات!$A$3:$C$350,3,0),"")</f>
        <v/>
      </c>
      <c r="E1558" s="63"/>
      <c r="F1558" s="63" t="str">
        <f>IFERROR(INDEX(منتجات!$G$3:$G$350,MATCH(B1558,منتجات!$A$3:$A$115,0)),"")</f>
        <v/>
      </c>
      <c r="G1558" s="63" t="str">
        <f t="shared" si="26"/>
        <v/>
      </c>
      <c r="H1558" s="69"/>
    </row>
    <row r="1559" spans="1:8" x14ac:dyDescent="0.35">
      <c r="A1559" s="64"/>
      <c r="B1559" s="65"/>
      <c r="C1559" s="65" t="str">
        <f>IFERROR(VLOOKUP(B1559,منتجات!$A$3:$C$350,2,0),"")</f>
        <v/>
      </c>
      <c r="D1559" s="65" t="str">
        <f>IFERROR(VLOOKUP(B1559,منتجات!$A$3:$C$350,3,0),"")</f>
        <v/>
      </c>
      <c r="E1559" s="65"/>
      <c r="F1559" s="65" t="str">
        <f>IFERROR(INDEX(منتجات!$G$3:$G$350,MATCH(B1559,منتجات!$A$3:$A$115,0)),"")</f>
        <v/>
      </c>
      <c r="G1559" s="65" t="str">
        <f t="shared" si="26"/>
        <v/>
      </c>
      <c r="H1559" s="70"/>
    </row>
    <row r="1560" spans="1:8" x14ac:dyDescent="0.35">
      <c r="A1560" s="62"/>
      <c r="B1560" s="63"/>
      <c r="C1560" s="63" t="str">
        <f>IFERROR(VLOOKUP(B1560,منتجات!$A$3:$C$350,2,0),"")</f>
        <v/>
      </c>
      <c r="D1560" s="63" t="str">
        <f>IFERROR(VLOOKUP(B1560,منتجات!$A$3:$C$350,3,0),"")</f>
        <v/>
      </c>
      <c r="E1560" s="63"/>
      <c r="F1560" s="63" t="str">
        <f>IFERROR(INDEX(منتجات!$G$3:$G$350,MATCH(B1560,منتجات!$A$3:$A$115,0)),"")</f>
        <v/>
      </c>
      <c r="G1560" s="63" t="str">
        <f t="shared" si="26"/>
        <v/>
      </c>
      <c r="H1560" s="69"/>
    </row>
    <row r="1561" spans="1:8" x14ac:dyDescent="0.35">
      <c r="A1561" s="64"/>
      <c r="B1561" s="65"/>
      <c r="C1561" s="65" t="str">
        <f>IFERROR(VLOOKUP(B1561,منتجات!$A$3:$C$350,2,0),"")</f>
        <v/>
      </c>
      <c r="D1561" s="65" t="str">
        <f>IFERROR(VLOOKUP(B1561,منتجات!$A$3:$C$350,3,0),"")</f>
        <v/>
      </c>
      <c r="E1561" s="65"/>
      <c r="F1561" s="65" t="str">
        <f>IFERROR(INDEX(منتجات!$G$3:$G$350,MATCH(B1561,منتجات!$A$3:$A$115,0)),"")</f>
        <v/>
      </c>
      <c r="G1561" s="65" t="str">
        <f t="shared" si="26"/>
        <v/>
      </c>
      <c r="H1561" s="70"/>
    </row>
    <row r="1562" spans="1:8" x14ac:dyDescent="0.35">
      <c r="A1562" s="62"/>
      <c r="B1562" s="63"/>
      <c r="C1562" s="63" t="str">
        <f>IFERROR(VLOOKUP(B1562,منتجات!$A$3:$C$350,2,0),"")</f>
        <v/>
      </c>
      <c r="D1562" s="63" t="str">
        <f>IFERROR(VLOOKUP(B1562,منتجات!$A$3:$C$350,3,0),"")</f>
        <v/>
      </c>
      <c r="E1562" s="63"/>
      <c r="F1562" s="63" t="str">
        <f>IFERROR(INDEX(منتجات!$G$3:$G$350,MATCH(B1562,منتجات!$A$3:$A$115,0)),"")</f>
        <v/>
      </c>
      <c r="G1562" s="63" t="str">
        <f t="shared" si="26"/>
        <v/>
      </c>
      <c r="H1562" s="69"/>
    </row>
    <row r="1563" spans="1:8" x14ac:dyDescent="0.35">
      <c r="A1563" s="64"/>
      <c r="B1563" s="65"/>
      <c r="C1563" s="65" t="str">
        <f>IFERROR(VLOOKUP(B1563,منتجات!$A$3:$C$350,2,0),"")</f>
        <v/>
      </c>
      <c r="D1563" s="65" t="str">
        <f>IFERROR(VLOOKUP(B1563,منتجات!$A$3:$C$350,3,0),"")</f>
        <v/>
      </c>
      <c r="E1563" s="65"/>
      <c r="F1563" s="65" t="str">
        <f>IFERROR(INDEX(منتجات!$G$3:$G$350,MATCH(B1563,منتجات!$A$3:$A$115,0)),"")</f>
        <v/>
      </c>
      <c r="G1563" s="65" t="str">
        <f t="shared" si="26"/>
        <v/>
      </c>
      <c r="H1563" s="70"/>
    </row>
    <row r="1564" spans="1:8" x14ac:dyDescent="0.35">
      <c r="A1564" s="62"/>
      <c r="B1564" s="63"/>
      <c r="C1564" s="63" t="str">
        <f>IFERROR(VLOOKUP(B1564,منتجات!$A$3:$C$350,2,0),"")</f>
        <v/>
      </c>
      <c r="D1564" s="63" t="str">
        <f>IFERROR(VLOOKUP(B1564,منتجات!$A$3:$C$350,3,0),"")</f>
        <v/>
      </c>
      <c r="E1564" s="63"/>
      <c r="F1564" s="63" t="str">
        <f>IFERROR(INDEX(منتجات!$G$3:$G$350,MATCH(B1564,منتجات!$A$3:$A$115,0)),"")</f>
        <v/>
      </c>
      <c r="G1564" s="63" t="str">
        <f t="shared" si="26"/>
        <v/>
      </c>
      <c r="H1564" s="69"/>
    </row>
    <row r="1565" spans="1:8" x14ac:dyDescent="0.35">
      <c r="A1565" s="64"/>
      <c r="B1565" s="65"/>
      <c r="C1565" s="65" t="str">
        <f>IFERROR(VLOOKUP(B1565,منتجات!$A$3:$C$350,2,0),"")</f>
        <v/>
      </c>
      <c r="D1565" s="65" t="str">
        <f>IFERROR(VLOOKUP(B1565,منتجات!$A$3:$C$350,3,0),"")</f>
        <v/>
      </c>
      <c r="E1565" s="65"/>
      <c r="F1565" s="65" t="str">
        <f>IFERROR(INDEX(منتجات!$G$3:$G$350,MATCH(B1565,منتجات!$A$3:$A$115,0)),"")</f>
        <v/>
      </c>
      <c r="G1565" s="65" t="str">
        <f t="shared" si="26"/>
        <v/>
      </c>
      <c r="H1565" s="70"/>
    </row>
    <row r="1566" spans="1:8" x14ac:dyDescent="0.35">
      <c r="A1566" s="62"/>
      <c r="B1566" s="63"/>
      <c r="C1566" s="63" t="str">
        <f>IFERROR(VLOOKUP(B1566,منتجات!$A$3:$C$350,2,0),"")</f>
        <v/>
      </c>
      <c r="D1566" s="63" t="str">
        <f>IFERROR(VLOOKUP(B1566,منتجات!$A$3:$C$350,3,0),"")</f>
        <v/>
      </c>
      <c r="E1566" s="63"/>
      <c r="F1566" s="63" t="str">
        <f>IFERROR(INDEX(منتجات!$G$3:$G$350,MATCH(B1566,منتجات!$A$3:$A$115,0)),"")</f>
        <v/>
      </c>
      <c r="G1566" s="63" t="str">
        <f t="shared" si="26"/>
        <v/>
      </c>
      <c r="H1566" s="69"/>
    </row>
    <row r="1567" spans="1:8" x14ac:dyDescent="0.35">
      <c r="A1567" s="64"/>
      <c r="B1567" s="65"/>
      <c r="C1567" s="65" t="str">
        <f>IFERROR(VLOOKUP(B1567,منتجات!$A$3:$C$350,2,0),"")</f>
        <v/>
      </c>
      <c r="D1567" s="65" t="str">
        <f>IFERROR(VLOOKUP(B1567,منتجات!$A$3:$C$350,3,0),"")</f>
        <v/>
      </c>
      <c r="E1567" s="65"/>
      <c r="F1567" s="65" t="str">
        <f>IFERROR(INDEX(منتجات!$G$3:$G$350,MATCH(B1567,منتجات!$A$3:$A$115,0)),"")</f>
        <v/>
      </c>
      <c r="G1567" s="65" t="str">
        <f t="shared" si="26"/>
        <v/>
      </c>
      <c r="H1567" s="70"/>
    </row>
    <row r="1568" spans="1:8" x14ac:dyDescent="0.35">
      <c r="A1568" s="62"/>
      <c r="B1568" s="63"/>
      <c r="C1568" s="63" t="str">
        <f>IFERROR(VLOOKUP(B1568,منتجات!$A$3:$C$350,2,0),"")</f>
        <v/>
      </c>
      <c r="D1568" s="63" t="str">
        <f>IFERROR(VLOOKUP(B1568,منتجات!$A$3:$C$350,3,0),"")</f>
        <v/>
      </c>
      <c r="E1568" s="63"/>
      <c r="F1568" s="63" t="str">
        <f>IFERROR(INDEX(منتجات!$G$3:$G$350,MATCH(B1568,منتجات!$A$3:$A$115,0)),"")</f>
        <v/>
      </c>
      <c r="G1568" s="63" t="str">
        <f t="shared" si="26"/>
        <v/>
      </c>
      <c r="H1568" s="69"/>
    </row>
    <row r="1569" spans="1:8" x14ac:dyDescent="0.35">
      <c r="A1569" s="64"/>
      <c r="B1569" s="65"/>
      <c r="C1569" s="65" t="str">
        <f>IFERROR(VLOOKUP(B1569,منتجات!$A$3:$C$350,2,0),"")</f>
        <v/>
      </c>
      <c r="D1569" s="65" t="str">
        <f>IFERROR(VLOOKUP(B1569,منتجات!$A$3:$C$350,3,0),"")</f>
        <v/>
      </c>
      <c r="E1569" s="65"/>
      <c r="F1569" s="65" t="str">
        <f>IFERROR(INDEX(منتجات!$G$3:$G$350,MATCH(B1569,منتجات!$A$3:$A$115,0)),"")</f>
        <v/>
      </c>
      <c r="G1569" s="65" t="str">
        <f t="shared" si="26"/>
        <v/>
      </c>
      <c r="H1569" s="70"/>
    </row>
    <row r="1570" spans="1:8" x14ac:dyDescent="0.35">
      <c r="A1570" s="62"/>
      <c r="B1570" s="63"/>
      <c r="C1570" s="63" t="str">
        <f>IFERROR(VLOOKUP(B1570,منتجات!$A$3:$C$350,2,0),"")</f>
        <v/>
      </c>
      <c r="D1570" s="63" t="str">
        <f>IFERROR(VLOOKUP(B1570,منتجات!$A$3:$C$350,3,0),"")</f>
        <v/>
      </c>
      <c r="E1570" s="63"/>
      <c r="F1570" s="63" t="str">
        <f>IFERROR(INDEX(منتجات!$G$3:$G$350,MATCH(B1570,منتجات!$A$3:$A$115,0)),"")</f>
        <v/>
      </c>
      <c r="G1570" s="63" t="str">
        <f t="shared" si="26"/>
        <v/>
      </c>
      <c r="H1570" s="69"/>
    </row>
    <row r="1571" spans="1:8" x14ac:dyDescent="0.35">
      <c r="A1571" s="64"/>
      <c r="B1571" s="65"/>
      <c r="C1571" s="65" t="str">
        <f>IFERROR(VLOOKUP(B1571,منتجات!$A$3:$C$350,2,0),"")</f>
        <v/>
      </c>
      <c r="D1571" s="65" t="str">
        <f>IFERROR(VLOOKUP(B1571,منتجات!$A$3:$C$350,3,0),"")</f>
        <v/>
      </c>
      <c r="E1571" s="65"/>
      <c r="F1571" s="65" t="str">
        <f>IFERROR(INDEX(منتجات!$G$3:$G$350,MATCH(B1571,منتجات!$A$3:$A$115,0)),"")</f>
        <v/>
      </c>
      <c r="G1571" s="65" t="str">
        <f t="shared" si="26"/>
        <v/>
      </c>
      <c r="H1571" s="70"/>
    </row>
    <row r="1572" spans="1:8" x14ac:dyDescent="0.35">
      <c r="A1572" s="62"/>
      <c r="B1572" s="63"/>
      <c r="C1572" s="63" t="str">
        <f>IFERROR(VLOOKUP(B1572,منتجات!$A$3:$C$350,2,0),"")</f>
        <v/>
      </c>
      <c r="D1572" s="63" t="str">
        <f>IFERROR(VLOOKUP(B1572,منتجات!$A$3:$C$350,3,0),"")</f>
        <v/>
      </c>
      <c r="E1572" s="63"/>
      <c r="F1572" s="63" t="str">
        <f>IFERROR(INDEX(منتجات!$G$3:$G$350,MATCH(B1572,منتجات!$A$3:$A$115,0)),"")</f>
        <v/>
      </c>
      <c r="G1572" s="63" t="str">
        <f t="shared" si="26"/>
        <v/>
      </c>
      <c r="H1572" s="69"/>
    </row>
    <row r="1573" spans="1:8" x14ac:dyDescent="0.35">
      <c r="A1573" s="64"/>
      <c r="B1573" s="65"/>
      <c r="C1573" s="65" t="str">
        <f>IFERROR(VLOOKUP(B1573,منتجات!$A$3:$C$350,2,0),"")</f>
        <v/>
      </c>
      <c r="D1573" s="65" t="str">
        <f>IFERROR(VLOOKUP(B1573,منتجات!$A$3:$C$350,3,0),"")</f>
        <v/>
      </c>
      <c r="E1573" s="65"/>
      <c r="F1573" s="65" t="str">
        <f>IFERROR(INDEX(منتجات!$G$3:$G$350,MATCH(B1573,منتجات!$A$3:$A$115,0)),"")</f>
        <v/>
      </c>
      <c r="G1573" s="65" t="str">
        <f t="shared" si="26"/>
        <v/>
      </c>
      <c r="H1573" s="70"/>
    </row>
    <row r="1574" spans="1:8" x14ac:dyDescent="0.35">
      <c r="A1574" s="62"/>
      <c r="B1574" s="63"/>
      <c r="C1574" s="63" t="str">
        <f>IFERROR(VLOOKUP(B1574,منتجات!$A$3:$C$350,2,0),"")</f>
        <v/>
      </c>
      <c r="D1574" s="63" t="str">
        <f>IFERROR(VLOOKUP(B1574,منتجات!$A$3:$C$350,3,0),"")</f>
        <v/>
      </c>
      <c r="E1574" s="63"/>
      <c r="F1574" s="63" t="str">
        <f>IFERROR(INDEX(منتجات!$G$3:$G$350,MATCH(B1574,منتجات!$A$3:$A$115,0)),"")</f>
        <v/>
      </c>
      <c r="G1574" s="63" t="str">
        <f t="shared" si="26"/>
        <v/>
      </c>
      <c r="H1574" s="69"/>
    </row>
    <row r="1575" spans="1:8" x14ac:dyDescent="0.35">
      <c r="A1575" s="64"/>
      <c r="B1575" s="65"/>
      <c r="C1575" s="65" t="str">
        <f>IFERROR(VLOOKUP(B1575,منتجات!$A$3:$C$350,2,0),"")</f>
        <v/>
      </c>
      <c r="D1575" s="65" t="str">
        <f>IFERROR(VLOOKUP(B1575,منتجات!$A$3:$C$350,3,0),"")</f>
        <v/>
      </c>
      <c r="E1575" s="65"/>
      <c r="F1575" s="65" t="str">
        <f>IFERROR(INDEX(منتجات!$G$3:$G$350,MATCH(B1575,منتجات!$A$3:$A$115,0)),"")</f>
        <v/>
      </c>
      <c r="G1575" s="65" t="str">
        <f t="shared" si="26"/>
        <v/>
      </c>
      <c r="H1575" s="70"/>
    </row>
    <row r="1576" spans="1:8" x14ac:dyDescent="0.35">
      <c r="A1576" s="62"/>
      <c r="B1576" s="63"/>
      <c r="C1576" s="63" t="str">
        <f>IFERROR(VLOOKUP(B1576,منتجات!$A$3:$C$350,2,0),"")</f>
        <v/>
      </c>
      <c r="D1576" s="63" t="str">
        <f>IFERROR(VLOOKUP(B1576,منتجات!$A$3:$C$350,3,0),"")</f>
        <v/>
      </c>
      <c r="E1576" s="63"/>
      <c r="F1576" s="63" t="str">
        <f>IFERROR(INDEX(منتجات!$G$3:$G$350,MATCH(B1576,منتجات!$A$3:$A$115,0)),"")</f>
        <v/>
      </c>
      <c r="G1576" s="63" t="str">
        <f t="shared" si="26"/>
        <v/>
      </c>
      <c r="H1576" s="69"/>
    </row>
    <row r="1577" spans="1:8" x14ac:dyDescent="0.35">
      <c r="A1577" s="64"/>
      <c r="B1577" s="65"/>
      <c r="C1577" s="65" t="str">
        <f>IFERROR(VLOOKUP(B1577,منتجات!$A$3:$C$350,2,0),"")</f>
        <v/>
      </c>
      <c r="D1577" s="65" t="str">
        <f>IFERROR(VLOOKUP(B1577,منتجات!$A$3:$C$350,3,0),"")</f>
        <v/>
      </c>
      <c r="E1577" s="65"/>
      <c r="F1577" s="65" t="str">
        <f>IFERROR(INDEX(منتجات!$G$3:$G$350,MATCH(B1577,منتجات!$A$3:$A$115,0)),"")</f>
        <v/>
      </c>
      <c r="G1577" s="65" t="str">
        <f t="shared" si="26"/>
        <v/>
      </c>
      <c r="H1577" s="70"/>
    </row>
    <row r="1578" spans="1:8" x14ac:dyDescent="0.35">
      <c r="A1578" s="62"/>
      <c r="B1578" s="63"/>
      <c r="C1578" s="63" t="str">
        <f>IFERROR(VLOOKUP(B1578,منتجات!$A$3:$C$350,2,0),"")</f>
        <v/>
      </c>
      <c r="D1578" s="63" t="str">
        <f>IFERROR(VLOOKUP(B1578,منتجات!$A$3:$C$350,3,0),"")</f>
        <v/>
      </c>
      <c r="E1578" s="63"/>
      <c r="F1578" s="63" t="str">
        <f>IFERROR(INDEX(منتجات!$G$3:$G$350,MATCH(B1578,منتجات!$A$3:$A$115,0)),"")</f>
        <v/>
      </c>
      <c r="G1578" s="63" t="str">
        <f t="shared" si="26"/>
        <v/>
      </c>
      <c r="H1578" s="69"/>
    </row>
    <row r="1579" spans="1:8" x14ac:dyDescent="0.35">
      <c r="A1579" s="64"/>
      <c r="B1579" s="65"/>
      <c r="C1579" s="65" t="str">
        <f>IFERROR(VLOOKUP(B1579,منتجات!$A$3:$C$350,2,0),"")</f>
        <v/>
      </c>
      <c r="D1579" s="65" t="str">
        <f>IFERROR(VLOOKUP(B1579,منتجات!$A$3:$C$350,3,0),"")</f>
        <v/>
      </c>
      <c r="E1579" s="65"/>
      <c r="F1579" s="65" t="str">
        <f>IFERROR(INDEX(منتجات!$G$3:$G$350,MATCH(B1579,منتجات!$A$3:$A$115,0)),"")</f>
        <v/>
      </c>
      <c r="G1579" s="65" t="str">
        <f t="shared" si="26"/>
        <v/>
      </c>
      <c r="H1579" s="70"/>
    </row>
    <row r="1580" spans="1:8" x14ac:dyDescent="0.35">
      <c r="A1580" s="62"/>
      <c r="B1580" s="63"/>
      <c r="C1580" s="63" t="str">
        <f>IFERROR(VLOOKUP(B1580,منتجات!$A$3:$C$350,2,0),"")</f>
        <v/>
      </c>
      <c r="D1580" s="63" t="str">
        <f>IFERROR(VLOOKUP(B1580,منتجات!$A$3:$C$350,3,0),"")</f>
        <v/>
      </c>
      <c r="E1580" s="63"/>
      <c r="F1580" s="63" t="str">
        <f>IFERROR(INDEX(منتجات!$G$3:$G$350,MATCH(B1580,منتجات!$A$3:$A$115,0)),"")</f>
        <v/>
      </c>
      <c r="G1580" s="63" t="str">
        <f t="shared" si="26"/>
        <v/>
      </c>
      <c r="H1580" s="69"/>
    </row>
    <row r="1581" spans="1:8" x14ac:dyDescent="0.35">
      <c r="A1581" s="64"/>
      <c r="B1581" s="65"/>
      <c r="C1581" s="65" t="str">
        <f>IFERROR(VLOOKUP(B1581,منتجات!$A$3:$C$350,2,0),"")</f>
        <v/>
      </c>
      <c r="D1581" s="65" t="str">
        <f>IFERROR(VLOOKUP(B1581,منتجات!$A$3:$C$350,3,0),"")</f>
        <v/>
      </c>
      <c r="E1581" s="65"/>
      <c r="F1581" s="65" t="str">
        <f>IFERROR(INDEX(منتجات!$G$3:$G$350,MATCH(B1581,منتجات!$A$3:$A$115,0)),"")</f>
        <v/>
      </c>
      <c r="G1581" s="65" t="str">
        <f t="shared" si="26"/>
        <v/>
      </c>
      <c r="H1581" s="70"/>
    </row>
    <row r="1582" spans="1:8" x14ac:dyDescent="0.35">
      <c r="A1582" s="62"/>
      <c r="B1582" s="63"/>
      <c r="C1582" s="63" t="str">
        <f>IFERROR(VLOOKUP(B1582,منتجات!$A$3:$C$350,2,0),"")</f>
        <v/>
      </c>
      <c r="D1582" s="63" t="str">
        <f>IFERROR(VLOOKUP(B1582,منتجات!$A$3:$C$350,3,0),"")</f>
        <v/>
      </c>
      <c r="E1582" s="63"/>
      <c r="F1582" s="63" t="str">
        <f>IFERROR(INDEX(منتجات!$G$3:$G$350,MATCH(B1582,منتجات!$A$3:$A$115,0)),"")</f>
        <v/>
      </c>
      <c r="G1582" s="63" t="str">
        <f t="shared" si="26"/>
        <v/>
      </c>
      <c r="H1582" s="69"/>
    </row>
    <row r="1583" spans="1:8" x14ac:dyDescent="0.35">
      <c r="A1583" s="64"/>
      <c r="B1583" s="65"/>
      <c r="C1583" s="65" t="str">
        <f>IFERROR(VLOOKUP(B1583,منتجات!$A$3:$C$350,2,0),"")</f>
        <v/>
      </c>
      <c r="D1583" s="65" t="str">
        <f>IFERROR(VLOOKUP(B1583,منتجات!$A$3:$C$350,3,0),"")</f>
        <v/>
      </c>
      <c r="E1583" s="65"/>
      <c r="F1583" s="65" t="str">
        <f>IFERROR(INDEX(منتجات!$G$3:$G$350,MATCH(B1583,منتجات!$A$3:$A$115,0)),"")</f>
        <v/>
      </c>
      <c r="G1583" s="65" t="str">
        <f t="shared" si="26"/>
        <v/>
      </c>
      <c r="H1583" s="70"/>
    </row>
    <row r="1584" spans="1:8" x14ac:dyDescent="0.35">
      <c r="A1584" s="62"/>
      <c r="B1584" s="63"/>
      <c r="C1584" s="63" t="str">
        <f>IFERROR(VLOOKUP(B1584,منتجات!$A$3:$C$350,2,0),"")</f>
        <v/>
      </c>
      <c r="D1584" s="63" t="str">
        <f>IFERROR(VLOOKUP(B1584,منتجات!$A$3:$C$350,3,0),"")</f>
        <v/>
      </c>
      <c r="E1584" s="63"/>
      <c r="F1584" s="63" t="str">
        <f>IFERROR(INDEX(منتجات!$G$3:$G$350,MATCH(B1584,منتجات!$A$3:$A$115,0)),"")</f>
        <v/>
      </c>
      <c r="G1584" s="63" t="str">
        <f t="shared" si="26"/>
        <v/>
      </c>
      <c r="H1584" s="69"/>
    </row>
    <row r="1585" spans="1:8" x14ac:dyDescent="0.35">
      <c r="A1585" s="64"/>
      <c r="B1585" s="65"/>
      <c r="C1585" s="65" t="str">
        <f>IFERROR(VLOOKUP(B1585,منتجات!$A$3:$C$350,2,0),"")</f>
        <v/>
      </c>
      <c r="D1585" s="65" t="str">
        <f>IFERROR(VLOOKUP(B1585,منتجات!$A$3:$C$350,3,0),"")</f>
        <v/>
      </c>
      <c r="E1585" s="65"/>
      <c r="F1585" s="65" t="str">
        <f>IFERROR(INDEX(منتجات!$G$3:$G$350,MATCH(B1585,منتجات!$A$3:$A$115,0)),"")</f>
        <v/>
      </c>
      <c r="G1585" s="65" t="str">
        <f t="shared" si="26"/>
        <v/>
      </c>
      <c r="H1585" s="70"/>
    </row>
    <row r="1586" spans="1:8" x14ac:dyDescent="0.35">
      <c r="A1586" s="62"/>
      <c r="B1586" s="63"/>
      <c r="C1586" s="63" t="str">
        <f>IFERROR(VLOOKUP(B1586,منتجات!$A$3:$C$350,2,0),"")</f>
        <v/>
      </c>
      <c r="D1586" s="63" t="str">
        <f>IFERROR(VLOOKUP(B1586,منتجات!$A$3:$C$350,3,0),"")</f>
        <v/>
      </c>
      <c r="E1586" s="63"/>
      <c r="F1586" s="63" t="str">
        <f>IFERROR(INDEX(منتجات!$G$3:$G$350,MATCH(B1586,منتجات!$A$3:$A$115,0)),"")</f>
        <v/>
      </c>
      <c r="G1586" s="63" t="str">
        <f t="shared" si="26"/>
        <v/>
      </c>
      <c r="H1586" s="69"/>
    </row>
    <row r="1587" spans="1:8" x14ac:dyDescent="0.35">
      <c r="A1587" s="64"/>
      <c r="B1587" s="65"/>
      <c r="C1587" s="65" t="str">
        <f>IFERROR(VLOOKUP(B1587,منتجات!$A$3:$C$350,2,0),"")</f>
        <v/>
      </c>
      <c r="D1587" s="65" t="str">
        <f>IFERROR(VLOOKUP(B1587,منتجات!$A$3:$C$350,3,0),"")</f>
        <v/>
      </c>
      <c r="E1587" s="65"/>
      <c r="F1587" s="65" t="str">
        <f>IFERROR(INDEX(منتجات!$G$3:$G$350,MATCH(B1587,منتجات!$A$3:$A$115,0)),"")</f>
        <v/>
      </c>
      <c r="G1587" s="65" t="str">
        <f t="shared" si="26"/>
        <v/>
      </c>
      <c r="H1587" s="70"/>
    </row>
    <row r="1588" spans="1:8" x14ac:dyDescent="0.35">
      <c r="A1588" s="62"/>
      <c r="B1588" s="63"/>
      <c r="C1588" s="63" t="str">
        <f>IFERROR(VLOOKUP(B1588,منتجات!$A$3:$C$350,2,0),"")</f>
        <v/>
      </c>
      <c r="D1588" s="63" t="str">
        <f>IFERROR(VLOOKUP(B1588,منتجات!$A$3:$C$350,3,0),"")</f>
        <v/>
      </c>
      <c r="E1588" s="63"/>
      <c r="F1588" s="63" t="str">
        <f>IFERROR(INDEX(منتجات!$G$3:$G$350,MATCH(B1588,منتجات!$A$3:$A$115,0)),"")</f>
        <v/>
      </c>
      <c r="G1588" s="63" t="str">
        <f t="shared" si="26"/>
        <v/>
      </c>
      <c r="H1588" s="69"/>
    </row>
    <row r="1589" spans="1:8" x14ac:dyDescent="0.35">
      <c r="A1589" s="64"/>
      <c r="B1589" s="65"/>
      <c r="C1589" s="65" t="str">
        <f>IFERROR(VLOOKUP(B1589,منتجات!$A$3:$C$350,2,0),"")</f>
        <v/>
      </c>
      <c r="D1589" s="65" t="str">
        <f>IFERROR(VLOOKUP(B1589,منتجات!$A$3:$C$350,3,0),"")</f>
        <v/>
      </c>
      <c r="E1589" s="65"/>
      <c r="F1589" s="65" t="str">
        <f>IFERROR(INDEX(منتجات!$G$3:$G$350,MATCH(B1589,منتجات!$A$3:$A$115,0)),"")</f>
        <v/>
      </c>
      <c r="G1589" s="65" t="str">
        <f t="shared" si="26"/>
        <v/>
      </c>
      <c r="H1589" s="70"/>
    </row>
    <row r="1590" spans="1:8" x14ac:dyDescent="0.35">
      <c r="A1590" s="62"/>
      <c r="B1590" s="63"/>
      <c r="C1590" s="63" t="str">
        <f>IFERROR(VLOOKUP(B1590,منتجات!$A$3:$C$350,2,0),"")</f>
        <v/>
      </c>
      <c r="D1590" s="63" t="str">
        <f>IFERROR(VLOOKUP(B1590,منتجات!$A$3:$C$350,3,0),"")</f>
        <v/>
      </c>
      <c r="E1590" s="63"/>
      <c r="F1590" s="63" t="str">
        <f>IFERROR(INDEX(منتجات!$G$3:$G$350,MATCH(B1590,منتجات!$A$3:$A$115,0)),"")</f>
        <v/>
      </c>
      <c r="G1590" s="63" t="str">
        <f t="shared" si="26"/>
        <v/>
      </c>
      <c r="H1590" s="69"/>
    </row>
    <row r="1591" spans="1:8" x14ac:dyDescent="0.35">
      <c r="A1591" s="64"/>
      <c r="B1591" s="65"/>
      <c r="C1591" s="65" t="str">
        <f>IFERROR(VLOOKUP(B1591,منتجات!$A$3:$C$350,2,0),"")</f>
        <v/>
      </c>
      <c r="D1591" s="65" t="str">
        <f>IFERROR(VLOOKUP(B1591,منتجات!$A$3:$C$350,3,0),"")</f>
        <v/>
      </c>
      <c r="E1591" s="65"/>
      <c r="F1591" s="65" t="str">
        <f>IFERROR(INDEX(منتجات!$G$3:$G$350,MATCH(B1591,منتجات!$A$3:$A$115,0)),"")</f>
        <v/>
      </c>
      <c r="G1591" s="65" t="str">
        <f t="shared" si="26"/>
        <v/>
      </c>
      <c r="H1591" s="70"/>
    </row>
    <row r="1592" spans="1:8" x14ac:dyDescent="0.35">
      <c r="A1592" s="62"/>
      <c r="B1592" s="63"/>
      <c r="C1592" s="63" t="str">
        <f>IFERROR(VLOOKUP(B1592,منتجات!$A$3:$C$350,2,0),"")</f>
        <v/>
      </c>
      <c r="D1592" s="63" t="str">
        <f>IFERROR(VLOOKUP(B1592,منتجات!$A$3:$C$350,3,0),"")</f>
        <v/>
      </c>
      <c r="E1592" s="63"/>
      <c r="F1592" s="63" t="str">
        <f>IFERROR(INDEX(منتجات!$G$3:$G$350,MATCH(B1592,منتجات!$A$3:$A$115,0)),"")</f>
        <v/>
      </c>
      <c r="G1592" s="63" t="str">
        <f t="shared" si="26"/>
        <v/>
      </c>
      <c r="H1592" s="69"/>
    </row>
    <row r="1593" spans="1:8" x14ac:dyDescent="0.35">
      <c r="A1593" s="64"/>
      <c r="B1593" s="65"/>
      <c r="C1593" s="65" t="str">
        <f>IFERROR(VLOOKUP(B1593,منتجات!$A$3:$C$350,2,0),"")</f>
        <v/>
      </c>
      <c r="D1593" s="65" t="str">
        <f>IFERROR(VLOOKUP(B1593,منتجات!$A$3:$C$350,3,0),"")</f>
        <v/>
      </c>
      <c r="E1593" s="65"/>
      <c r="F1593" s="65" t="str">
        <f>IFERROR(INDEX(منتجات!$G$3:$G$350,MATCH(B1593,منتجات!$A$3:$A$115,0)),"")</f>
        <v/>
      </c>
      <c r="G1593" s="65" t="str">
        <f t="shared" si="26"/>
        <v/>
      </c>
      <c r="H1593" s="70"/>
    </row>
    <row r="1594" spans="1:8" x14ac:dyDescent="0.35">
      <c r="A1594" s="62"/>
      <c r="B1594" s="63"/>
      <c r="C1594" s="63" t="str">
        <f>IFERROR(VLOOKUP(B1594,منتجات!$A$3:$C$350,2,0),"")</f>
        <v/>
      </c>
      <c r="D1594" s="63" t="str">
        <f>IFERROR(VLOOKUP(B1594,منتجات!$A$3:$C$350,3,0),"")</f>
        <v/>
      </c>
      <c r="E1594" s="63"/>
      <c r="F1594" s="63" t="str">
        <f>IFERROR(INDEX(منتجات!$G$3:$G$350,MATCH(B1594,منتجات!$A$3:$A$115,0)),"")</f>
        <v/>
      </c>
      <c r="G1594" s="63" t="str">
        <f t="shared" si="26"/>
        <v/>
      </c>
      <c r="H1594" s="69"/>
    </row>
    <row r="1595" spans="1:8" x14ac:dyDescent="0.35">
      <c r="A1595" s="64"/>
      <c r="B1595" s="65"/>
      <c r="C1595" s="65" t="str">
        <f>IFERROR(VLOOKUP(B1595,منتجات!$A$3:$C$350,2,0),"")</f>
        <v/>
      </c>
      <c r="D1595" s="65" t="str">
        <f>IFERROR(VLOOKUP(B1595,منتجات!$A$3:$C$350,3,0),"")</f>
        <v/>
      </c>
      <c r="E1595" s="65"/>
      <c r="F1595" s="65" t="str">
        <f>IFERROR(INDEX(منتجات!$G$3:$G$350,MATCH(B1595,منتجات!$A$3:$A$115,0)),"")</f>
        <v/>
      </c>
      <c r="G1595" s="65" t="str">
        <f t="shared" si="26"/>
        <v/>
      </c>
      <c r="H1595" s="70"/>
    </row>
    <row r="1596" spans="1:8" x14ac:dyDescent="0.35">
      <c r="A1596" s="62"/>
      <c r="B1596" s="63"/>
      <c r="C1596" s="63" t="str">
        <f>IFERROR(VLOOKUP(B1596,منتجات!$A$3:$C$350,2,0),"")</f>
        <v/>
      </c>
      <c r="D1596" s="63" t="str">
        <f>IFERROR(VLOOKUP(B1596,منتجات!$A$3:$C$350,3,0),"")</f>
        <v/>
      </c>
      <c r="E1596" s="63"/>
      <c r="F1596" s="63" t="str">
        <f>IFERROR(INDEX(منتجات!$G$3:$G$350,MATCH(B1596,منتجات!$A$3:$A$115,0)),"")</f>
        <v/>
      </c>
      <c r="G1596" s="63" t="str">
        <f t="shared" si="26"/>
        <v/>
      </c>
      <c r="H1596" s="69"/>
    </row>
    <row r="1597" spans="1:8" x14ac:dyDescent="0.35">
      <c r="A1597" s="64"/>
      <c r="B1597" s="65"/>
      <c r="C1597" s="65" t="str">
        <f>IFERROR(VLOOKUP(B1597,منتجات!$A$3:$C$350,2,0),"")</f>
        <v/>
      </c>
      <c r="D1597" s="65" t="str">
        <f>IFERROR(VLOOKUP(B1597,منتجات!$A$3:$C$350,3,0),"")</f>
        <v/>
      </c>
      <c r="E1597" s="65"/>
      <c r="F1597" s="65" t="str">
        <f>IFERROR(INDEX(منتجات!$G$3:$G$350,MATCH(B1597,منتجات!$A$3:$A$115,0)),"")</f>
        <v/>
      </c>
      <c r="G1597" s="65" t="str">
        <f t="shared" si="26"/>
        <v/>
      </c>
      <c r="H1597" s="70"/>
    </row>
    <row r="1598" spans="1:8" x14ac:dyDescent="0.35">
      <c r="A1598" s="62"/>
      <c r="B1598" s="63"/>
      <c r="C1598" s="63" t="str">
        <f>IFERROR(VLOOKUP(B1598,منتجات!$A$3:$C$350,2,0),"")</f>
        <v/>
      </c>
      <c r="D1598" s="63" t="str">
        <f>IFERROR(VLOOKUP(B1598,منتجات!$A$3:$C$350,3,0),"")</f>
        <v/>
      </c>
      <c r="E1598" s="63"/>
      <c r="F1598" s="63" t="str">
        <f>IFERROR(INDEX(منتجات!$G$3:$G$350,MATCH(B1598,منتجات!$A$3:$A$115,0)),"")</f>
        <v/>
      </c>
      <c r="G1598" s="63" t="str">
        <f t="shared" si="26"/>
        <v/>
      </c>
      <c r="H1598" s="69"/>
    </row>
    <row r="1599" spans="1:8" x14ac:dyDescent="0.35">
      <c r="A1599" s="64"/>
      <c r="B1599" s="65"/>
      <c r="C1599" s="65" t="str">
        <f>IFERROR(VLOOKUP(B1599,منتجات!$A$3:$C$350,2,0),"")</f>
        <v/>
      </c>
      <c r="D1599" s="65" t="str">
        <f>IFERROR(VLOOKUP(B1599,منتجات!$A$3:$C$350,3,0),"")</f>
        <v/>
      </c>
      <c r="E1599" s="65"/>
      <c r="F1599" s="65" t="str">
        <f>IFERROR(INDEX(منتجات!$G$3:$G$350,MATCH(B1599,منتجات!$A$3:$A$115,0)),"")</f>
        <v/>
      </c>
      <c r="G1599" s="65" t="str">
        <f t="shared" si="26"/>
        <v/>
      </c>
      <c r="H1599" s="70"/>
    </row>
    <row r="1600" spans="1:8" x14ac:dyDescent="0.35">
      <c r="A1600" s="62"/>
      <c r="B1600" s="63"/>
      <c r="C1600" s="63" t="str">
        <f>IFERROR(VLOOKUP(B1600,منتجات!$A$3:$C$350,2,0),"")</f>
        <v/>
      </c>
      <c r="D1600" s="63" t="str">
        <f>IFERROR(VLOOKUP(B1600,منتجات!$A$3:$C$350,3,0),"")</f>
        <v/>
      </c>
      <c r="E1600" s="63"/>
      <c r="F1600" s="63" t="str">
        <f>IFERROR(INDEX(منتجات!$G$3:$G$350,MATCH(B1600,منتجات!$A$3:$A$115,0)),"")</f>
        <v/>
      </c>
      <c r="G1600" s="63" t="str">
        <f t="shared" si="26"/>
        <v/>
      </c>
      <c r="H1600" s="69"/>
    </row>
    <row r="1601" spans="1:8" x14ac:dyDescent="0.35">
      <c r="A1601" s="64"/>
      <c r="B1601" s="65"/>
      <c r="C1601" s="65" t="str">
        <f>IFERROR(VLOOKUP(B1601,منتجات!$A$3:$C$350,2,0),"")</f>
        <v/>
      </c>
      <c r="D1601" s="65" t="str">
        <f>IFERROR(VLOOKUP(B1601,منتجات!$A$3:$C$350,3,0),"")</f>
        <v/>
      </c>
      <c r="E1601" s="65"/>
      <c r="F1601" s="65" t="str">
        <f>IFERROR(INDEX(منتجات!$G$3:$G$350,MATCH(B1601,منتجات!$A$3:$A$115,0)),"")</f>
        <v/>
      </c>
      <c r="G1601" s="65" t="str">
        <f t="shared" si="26"/>
        <v/>
      </c>
      <c r="H1601" s="70"/>
    </row>
    <row r="1602" spans="1:8" x14ac:dyDescent="0.35">
      <c r="A1602" s="62"/>
      <c r="B1602" s="63"/>
      <c r="C1602" s="63" t="str">
        <f>IFERROR(VLOOKUP(B1602,منتجات!$A$3:$C$350,2,0),"")</f>
        <v/>
      </c>
      <c r="D1602" s="63" t="str">
        <f>IFERROR(VLOOKUP(B1602,منتجات!$A$3:$C$350,3,0),"")</f>
        <v/>
      </c>
      <c r="E1602" s="63"/>
      <c r="F1602" s="63" t="str">
        <f>IFERROR(INDEX(منتجات!$G$3:$G$350,MATCH(B1602,منتجات!$A$3:$A$115,0)),"")</f>
        <v/>
      </c>
      <c r="G1602" s="63" t="str">
        <f t="shared" si="26"/>
        <v/>
      </c>
      <c r="H1602" s="69"/>
    </row>
    <row r="1603" spans="1:8" x14ac:dyDescent="0.35">
      <c r="A1603" s="64"/>
      <c r="B1603" s="65"/>
      <c r="C1603" s="65" t="str">
        <f>IFERROR(VLOOKUP(B1603,منتجات!$A$3:$C$350,2,0),"")</f>
        <v/>
      </c>
      <c r="D1603" s="65" t="str">
        <f>IFERROR(VLOOKUP(B1603,منتجات!$A$3:$C$350,3,0),"")</f>
        <v/>
      </c>
      <c r="E1603" s="65"/>
      <c r="F1603" s="65" t="str">
        <f>IFERROR(INDEX(منتجات!$G$3:$G$350,MATCH(B1603,منتجات!$A$3:$A$115,0)),"")</f>
        <v/>
      </c>
      <c r="G1603" s="65" t="str">
        <f t="shared" si="26"/>
        <v/>
      </c>
      <c r="H1603" s="70"/>
    </row>
    <row r="1604" spans="1:8" x14ac:dyDescent="0.35">
      <c r="A1604" s="62"/>
      <c r="B1604" s="63"/>
      <c r="C1604" s="63" t="str">
        <f>IFERROR(VLOOKUP(B1604,منتجات!$A$3:$C$350,2,0),"")</f>
        <v/>
      </c>
      <c r="D1604" s="63" t="str">
        <f>IFERROR(VLOOKUP(B1604,منتجات!$A$3:$C$350,3,0),"")</f>
        <v/>
      </c>
      <c r="E1604" s="63"/>
      <c r="F1604" s="63" t="str">
        <f>IFERROR(INDEX(منتجات!$G$3:$G$350,MATCH(B1604,منتجات!$A$3:$A$115,0)),"")</f>
        <v/>
      </c>
      <c r="G1604" s="63" t="str">
        <f t="shared" si="26"/>
        <v/>
      </c>
      <c r="H1604" s="69"/>
    </row>
    <row r="1605" spans="1:8" x14ac:dyDescent="0.35">
      <c r="A1605" s="64"/>
      <c r="B1605" s="65"/>
      <c r="C1605" s="65" t="str">
        <f>IFERROR(VLOOKUP(B1605,منتجات!$A$3:$C$350,2,0),"")</f>
        <v/>
      </c>
      <c r="D1605" s="65" t="str">
        <f>IFERROR(VLOOKUP(B1605,منتجات!$A$3:$C$350,3,0),"")</f>
        <v/>
      </c>
      <c r="E1605" s="65"/>
      <c r="F1605" s="65" t="str">
        <f>IFERROR(INDEX(منتجات!$G$3:$G$350,MATCH(B1605,منتجات!$A$3:$A$115,0)),"")</f>
        <v/>
      </c>
      <c r="G1605" s="65" t="str">
        <f t="shared" si="26"/>
        <v/>
      </c>
      <c r="H1605" s="70"/>
    </row>
    <row r="1606" spans="1:8" x14ac:dyDescent="0.35">
      <c r="A1606" s="62"/>
      <c r="B1606" s="63"/>
      <c r="C1606" s="63" t="str">
        <f>IFERROR(VLOOKUP(B1606,منتجات!$A$3:$C$350,2,0),"")</f>
        <v/>
      </c>
      <c r="D1606" s="63" t="str">
        <f>IFERROR(VLOOKUP(B1606,منتجات!$A$3:$C$350,3,0),"")</f>
        <v/>
      </c>
      <c r="E1606" s="63"/>
      <c r="F1606" s="63" t="str">
        <f>IFERROR(INDEX(منتجات!$G$3:$G$350,MATCH(B1606,منتجات!$A$3:$A$115,0)),"")</f>
        <v/>
      </c>
      <c r="G1606" s="63" t="str">
        <f t="shared" ref="G1606:G1669" si="27">IFERROR(E1606*F1606*D1606,"")</f>
        <v/>
      </c>
      <c r="H1606" s="69"/>
    </row>
    <row r="1607" spans="1:8" x14ac:dyDescent="0.35">
      <c r="A1607" s="64"/>
      <c r="B1607" s="65"/>
      <c r="C1607" s="65" t="str">
        <f>IFERROR(VLOOKUP(B1607,منتجات!$A$3:$C$350,2,0),"")</f>
        <v/>
      </c>
      <c r="D1607" s="65" t="str">
        <f>IFERROR(VLOOKUP(B1607,منتجات!$A$3:$C$350,3,0),"")</f>
        <v/>
      </c>
      <c r="E1607" s="65"/>
      <c r="F1607" s="65" t="str">
        <f>IFERROR(INDEX(منتجات!$G$3:$G$350,MATCH(B1607,منتجات!$A$3:$A$115,0)),"")</f>
        <v/>
      </c>
      <c r="G1607" s="65" t="str">
        <f t="shared" si="27"/>
        <v/>
      </c>
      <c r="H1607" s="70"/>
    </row>
    <row r="1608" spans="1:8" x14ac:dyDescent="0.35">
      <c r="A1608" s="62"/>
      <c r="B1608" s="63"/>
      <c r="C1608" s="63" t="str">
        <f>IFERROR(VLOOKUP(B1608,منتجات!$A$3:$C$350,2,0),"")</f>
        <v/>
      </c>
      <c r="D1608" s="63" t="str">
        <f>IFERROR(VLOOKUP(B1608,منتجات!$A$3:$C$350,3,0),"")</f>
        <v/>
      </c>
      <c r="E1608" s="63"/>
      <c r="F1608" s="63" t="str">
        <f>IFERROR(INDEX(منتجات!$G$3:$G$350,MATCH(B1608,منتجات!$A$3:$A$115,0)),"")</f>
        <v/>
      </c>
      <c r="G1608" s="63" t="str">
        <f t="shared" si="27"/>
        <v/>
      </c>
      <c r="H1608" s="69"/>
    </row>
    <row r="1609" spans="1:8" x14ac:dyDescent="0.35">
      <c r="A1609" s="64"/>
      <c r="B1609" s="65"/>
      <c r="C1609" s="65" t="str">
        <f>IFERROR(VLOOKUP(B1609,منتجات!$A$3:$C$350,2,0),"")</f>
        <v/>
      </c>
      <c r="D1609" s="65" t="str">
        <f>IFERROR(VLOOKUP(B1609,منتجات!$A$3:$C$350,3,0),"")</f>
        <v/>
      </c>
      <c r="E1609" s="65"/>
      <c r="F1609" s="65" t="str">
        <f>IFERROR(INDEX(منتجات!$G$3:$G$350,MATCH(B1609,منتجات!$A$3:$A$115,0)),"")</f>
        <v/>
      </c>
      <c r="G1609" s="65" t="str">
        <f t="shared" si="27"/>
        <v/>
      </c>
      <c r="H1609" s="70"/>
    </row>
    <row r="1610" spans="1:8" x14ac:dyDescent="0.35">
      <c r="A1610" s="62"/>
      <c r="B1610" s="63"/>
      <c r="C1610" s="63" t="str">
        <f>IFERROR(VLOOKUP(B1610,منتجات!$A$3:$C$350,2,0),"")</f>
        <v/>
      </c>
      <c r="D1610" s="63" t="str">
        <f>IFERROR(VLOOKUP(B1610,منتجات!$A$3:$C$350,3,0),"")</f>
        <v/>
      </c>
      <c r="E1610" s="63"/>
      <c r="F1610" s="63" t="str">
        <f>IFERROR(INDEX(منتجات!$G$3:$G$350,MATCH(B1610,منتجات!$A$3:$A$115,0)),"")</f>
        <v/>
      </c>
      <c r="G1610" s="63" t="str">
        <f t="shared" si="27"/>
        <v/>
      </c>
      <c r="H1610" s="69"/>
    </row>
    <row r="1611" spans="1:8" x14ac:dyDescent="0.35">
      <c r="A1611" s="64"/>
      <c r="B1611" s="65"/>
      <c r="C1611" s="65" t="str">
        <f>IFERROR(VLOOKUP(B1611,منتجات!$A$3:$C$350,2,0),"")</f>
        <v/>
      </c>
      <c r="D1611" s="65" t="str">
        <f>IFERROR(VLOOKUP(B1611,منتجات!$A$3:$C$350,3,0),"")</f>
        <v/>
      </c>
      <c r="E1611" s="65"/>
      <c r="F1611" s="65" t="str">
        <f>IFERROR(INDEX(منتجات!$G$3:$G$350,MATCH(B1611,منتجات!$A$3:$A$115,0)),"")</f>
        <v/>
      </c>
      <c r="G1611" s="65" t="str">
        <f t="shared" si="27"/>
        <v/>
      </c>
      <c r="H1611" s="70"/>
    </row>
    <row r="1612" spans="1:8" x14ac:dyDescent="0.35">
      <c r="A1612" s="62"/>
      <c r="B1612" s="63"/>
      <c r="C1612" s="63" t="str">
        <f>IFERROR(VLOOKUP(B1612,منتجات!$A$3:$C$350,2,0),"")</f>
        <v/>
      </c>
      <c r="D1612" s="63" t="str">
        <f>IFERROR(VLOOKUP(B1612,منتجات!$A$3:$C$350,3,0),"")</f>
        <v/>
      </c>
      <c r="E1612" s="63"/>
      <c r="F1612" s="63" t="str">
        <f>IFERROR(INDEX(منتجات!$G$3:$G$350,MATCH(B1612,منتجات!$A$3:$A$115,0)),"")</f>
        <v/>
      </c>
      <c r="G1612" s="63" t="str">
        <f t="shared" si="27"/>
        <v/>
      </c>
      <c r="H1612" s="69"/>
    </row>
    <row r="1613" spans="1:8" x14ac:dyDescent="0.35">
      <c r="A1613" s="64"/>
      <c r="B1613" s="65"/>
      <c r="C1613" s="65" t="str">
        <f>IFERROR(VLOOKUP(B1613,منتجات!$A$3:$C$350,2,0),"")</f>
        <v/>
      </c>
      <c r="D1613" s="65" t="str">
        <f>IFERROR(VLOOKUP(B1613,منتجات!$A$3:$C$350,3,0),"")</f>
        <v/>
      </c>
      <c r="E1613" s="65"/>
      <c r="F1613" s="65" t="str">
        <f>IFERROR(INDEX(منتجات!$G$3:$G$350,MATCH(B1613,منتجات!$A$3:$A$115,0)),"")</f>
        <v/>
      </c>
      <c r="G1613" s="65" t="str">
        <f t="shared" si="27"/>
        <v/>
      </c>
      <c r="H1613" s="70"/>
    </row>
    <row r="1614" spans="1:8" x14ac:dyDescent="0.35">
      <c r="A1614" s="62"/>
      <c r="B1614" s="63"/>
      <c r="C1614" s="63" t="str">
        <f>IFERROR(VLOOKUP(B1614,منتجات!$A$3:$C$350,2,0),"")</f>
        <v/>
      </c>
      <c r="D1614" s="63" t="str">
        <f>IFERROR(VLOOKUP(B1614,منتجات!$A$3:$C$350,3,0),"")</f>
        <v/>
      </c>
      <c r="E1614" s="63"/>
      <c r="F1614" s="63" t="str">
        <f>IFERROR(INDEX(منتجات!$G$3:$G$350,MATCH(B1614,منتجات!$A$3:$A$115,0)),"")</f>
        <v/>
      </c>
      <c r="G1614" s="63" t="str">
        <f t="shared" si="27"/>
        <v/>
      </c>
      <c r="H1614" s="69"/>
    </row>
    <row r="1615" spans="1:8" x14ac:dyDescent="0.35">
      <c r="A1615" s="64"/>
      <c r="B1615" s="65"/>
      <c r="C1615" s="65" t="str">
        <f>IFERROR(VLOOKUP(B1615,منتجات!$A$3:$C$350,2,0),"")</f>
        <v/>
      </c>
      <c r="D1615" s="65" t="str">
        <f>IFERROR(VLOOKUP(B1615,منتجات!$A$3:$C$350,3,0),"")</f>
        <v/>
      </c>
      <c r="E1615" s="65"/>
      <c r="F1615" s="65" t="str">
        <f>IFERROR(INDEX(منتجات!$G$3:$G$350,MATCH(B1615,منتجات!$A$3:$A$115,0)),"")</f>
        <v/>
      </c>
      <c r="G1615" s="65" t="str">
        <f t="shared" si="27"/>
        <v/>
      </c>
      <c r="H1615" s="70"/>
    </row>
    <row r="1616" spans="1:8" x14ac:dyDescent="0.35">
      <c r="A1616" s="62"/>
      <c r="B1616" s="63"/>
      <c r="C1616" s="63" t="str">
        <f>IFERROR(VLOOKUP(B1616,منتجات!$A$3:$C$350,2,0),"")</f>
        <v/>
      </c>
      <c r="D1616" s="63" t="str">
        <f>IFERROR(VLOOKUP(B1616,منتجات!$A$3:$C$350,3,0),"")</f>
        <v/>
      </c>
      <c r="E1616" s="63"/>
      <c r="F1616" s="63" t="str">
        <f>IFERROR(INDEX(منتجات!$G$3:$G$350,MATCH(B1616,منتجات!$A$3:$A$115,0)),"")</f>
        <v/>
      </c>
      <c r="G1616" s="63" t="str">
        <f t="shared" si="27"/>
        <v/>
      </c>
      <c r="H1616" s="69"/>
    </row>
    <row r="1617" spans="1:8" x14ac:dyDescent="0.35">
      <c r="A1617" s="64"/>
      <c r="B1617" s="65"/>
      <c r="C1617" s="65" t="str">
        <f>IFERROR(VLOOKUP(B1617,منتجات!$A$3:$C$350,2,0),"")</f>
        <v/>
      </c>
      <c r="D1617" s="65" t="str">
        <f>IFERROR(VLOOKUP(B1617,منتجات!$A$3:$C$350,3,0),"")</f>
        <v/>
      </c>
      <c r="E1617" s="65"/>
      <c r="F1617" s="65" t="str">
        <f>IFERROR(INDEX(منتجات!$G$3:$G$350,MATCH(B1617,منتجات!$A$3:$A$115,0)),"")</f>
        <v/>
      </c>
      <c r="G1617" s="65" t="str">
        <f t="shared" si="27"/>
        <v/>
      </c>
      <c r="H1617" s="70"/>
    </row>
    <row r="1618" spans="1:8" x14ac:dyDescent="0.35">
      <c r="A1618" s="62"/>
      <c r="B1618" s="63"/>
      <c r="C1618" s="63" t="str">
        <f>IFERROR(VLOOKUP(B1618,منتجات!$A$3:$C$350,2,0),"")</f>
        <v/>
      </c>
      <c r="D1618" s="63" t="str">
        <f>IFERROR(VLOOKUP(B1618,منتجات!$A$3:$C$350,3,0),"")</f>
        <v/>
      </c>
      <c r="E1618" s="63"/>
      <c r="F1618" s="63" t="str">
        <f>IFERROR(INDEX(منتجات!$G$3:$G$350,MATCH(B1618,منتجات!$A$3:$A$115,0)),"")</f>
        <v/>
      </c>
      <c r="G1618" s="63" t="str">
        <f t="shared" si="27"/>
        <v/>
      </c>
      <c r="H1618" s="69"/>
    </row>
    <row r="1619" spans="1:8" x14ac:dyDescent="0.35">
      <c r="A1619" s="64"/>
      <c r="B1619" s="65"/>
      <c r="C1619" s="65" t="str">
        <f>IFERROR(VLOOKUP(B1619,منتجات!$A$3:$C$350,2,0),"")</f>
        <v/>
      </c>
      <c r="D1619" s="65" t="str">
        <f>IFERROR(VLOOKUP(B1619,منتجات!$A$3:$C$350,3,0),"")</f>
        <v/>
      </c>
      <c r="E1619" s="65"/>
      <c r="F1619" s="65" t="str">
        <f>IFERROR(INDEX(منتجات!$G$3:$G$350,MATCH(B1619,منتجات!$A$3:$A$115,0)),"")</f>
        <v/>
      </c>
      <c r="G1619" s="65" t="str">
        <f t="shared" si="27"/>
        <v/>
      </c>
      <c r="H1619" s="70"/>
    </row>
    <row r="1620" spans="1:8" x14ac:dyDescent="0.35">
      <c r="A1620" s="62"/>
      <c r="B1620" s="63"/>
      <c r="C1620" s="63" t="str">
        <f>IFERROR(VLOOKUP(B1620,منتجات!$A$3:$C$350,2,0),"")</f>
        <v/>
      </c>
      <c r="D1620" s="63" t="str">
        <f>IFERROR(VLOOKUP(B1620,منتجات!$A$3:$C$350,3,0),"")</f>
        <v/>
      </c>
      <c r="E1620" s="63"/>
      <c r="F1620" s="63" t="str">
        <f>IFERROR(INDEX(منتجات!$G$3:$G$350,MATCH(B1620,منتجات!$A$3:$A$115,0)),"")</f>
        <v/>
      </c>
      <c r="G1620" s="63" t="str">
        <f t="shared" si="27"/>
        <v/>
      </c>
      <c r="H1620" s="69"/>
    </row>
    <row r="1621" spans="1:8" x14ac:dyDescent="0.35">
      <c r="A1621" s="64"/>
      <c r="B1621" s="65"/>
      <c r="C1621" s="65" t="str">
        <f>IFERROR(VLOOKUP(B1621,منتجات!$A$3:$C$350,2,0),"")</f>
        <v/>
      </c>
      <c r="D1621" s="65" t="str">
        <f>IFERROR(VLOOKUP(B1621,منتجات!$A$3:$C$350,3,0),"")</f>
        <v/>
      </c>
      <c r="E1621" s="65"/>
      <c r="F1621" s="65" t="str">
        <f>IFERROR(INDEX(منتجات!$G$3:$G$350,MATCH(B1621,منتجات!$A$3:$A$115,0)),"")</f>
        <v/>
      </c>
      <c r="G1621" s="65" t="str">
        <f t="shared" si="27"/>
        <v/>
      </c>
      <c r="H1621" s="70"/>
    </row>
    <row r="1622" spans="1:8" x14ac:dyDescent="0.35">
      <c r="A1622" s="62"/>
      <c r="B1622" s="63"/>
      <c r="C1622" s="63" t="str">
        <f>IFERROR(VLOOKUP(B1622,منتجات!$A$3:$C$350,2,0),"")</f>
        <v/>
      </c>
      <c r="D1622" s="63" t="str">
        <f>IFERROR(VLOOKUP(B1622,منتجات!$A$3:$C$350,3,0),"")</f>
        <v/>
      </c>
      <c r="E1622" s="63"/>
      <c r="F1622" s="63" t="str">
        <f>IFERROR(INDEX(منتجات!$G$3:$G$350,MATCH(B1622,منتجات!$A$3:$A$115,0)),"")</f>
        <v/>
      </c>
      <c r="G1622" s="63" t="str">
        <f t="shared" si="27"/>
        <v/>
      </c>
      <c r="H1622" s="69"/>
    </row>
    <row r="1623" spans="1:8" x14ac:dyDescent="0.35">
      <c r="A1623" s="64"/>
      <c r="B1623" s="65"/>
      <c r="C1623" s="65" t="str">
        <f>IFERROR(VLOOKUP(B1623,منتجات!$A$3:$C$350,2,0),"")</f>
        <v/>
      </c>
      <c r="D1623" s="65" t="str">
        <f>IFERROR(VLOOKUP(B1623,منتجات!$A$3:$C$350,3,0),"")</f>
        <v/>
      </c>
      <c r="E1623" s="65"/>
      <c r="F1623" s="65" t="str">
        <f>IFERROR(INDEX(منتجات!$G$3:$G$350,MATCH(B1623,منتجات!$A$3:$A$115,0)),"")</f>
        <v/>
      </c>
      <c r="G1623" s="65" t="str">
        <f t="shared" si="27"/>
        <v/>
      </c>
      <c r="H1623" s="70"/>
    </row>
    <row r="1624" spans="1:8" x14ac:dyDescent="0.35">
      <c r="A1624" s="62"/>
      <c r="B1624" s="63"/>
      <c r="C1624" s="63" t="str">
        <f>IFERROR(VLOOKUP(B1624,منتجات!$A$3:$C$350,2,0),"")</f>
        <v/>
      </c>
      <c r="D1624" s="63" t="str">
        <f>IFERROR(VLOOKUP(B1624,منتجات!$A$3:$C$350,3,0),"")</f>
        <v/>
      </c>
      <c r="E1624" s="63"/>
      <c r="F1624" s="63" t="str">
        <f>IFERROR(INDEX(منتجات!$G$3:$G$350,MATCH(B1624,منتجات!$A$3:$A$115,0)),"")</f>
        <v/>
      </c>
      <c r="G1624" s="63" t="str">
        <f t="shared" si="27"/>
        <v/>
      </c>
      <c r="H1624" s="69"/>
    </row>
    <row r="1625" spans="1:8" x14ac:dyDescent="0.35">
      <c r="A1625" s="64"/>
      <c r="B1625" s="65"/>
      <c r="C1625" s="65" t="str">
        <f>IFERROR(VLOOKUP(B1625,منتجات!$A$3:$C$350,2,0),"")</f>
        <v/>
      </c>
      <c r="D1625" s="65" t="str">
        <f>IFERROR(VLOOKUP(B1625,منتجات!$A$3:$C$350,3,0),"")</f>
        <v/>
      </c>
      <c r="E1625" s="65"/>
      <c r="F1625" s="65" t="str">
        <f>IFERROR(INDEX(منتجات!$G$3:$G$350,MATCH(B1625,منتجات!$A$3:$A$115,0)),"")</f>
        <v/>
      </c>
      <c r="G1625" s="65" t="str">
        <f t="shared" si="27"/>
        <v/>
      </c>
      <c r="H1625" s="70"/>
    </row>
    <row r="1626" spans="1:8" x14ac:dyDescent="0.35">
      <c r="A1626" s="62"/>
      <c r="B1626" s="63"/>
      <c r="C1626" s="63" t="str">
        <f>IFERROR(VLOOKUP(B1626,منتجات!$A$3:$C$350,2,0),"")</f>
        <v/>
      </c>
      <c r="D1626" s="63" t="str">
        <f>IFERROR(VLOOKUP(B1626,منتجات!$A$3:$C$350,3,0),"")</f>
        <v/>
      </c>
      <c r="E1626" s="63"/>
      <c r="F1626" s="63" t="str">
        <f>IFERROR(INDEX(منتجات!$G$3:$G$350,MATCH(B1626,منتجات!$A$3:$A$115,0)),"")</f>
        <v/>
      </c>
      <c r="G1626" s="63" t="str">
        <f t="shared" si="27"/>
        <v/>
      </c>
      <c r="H1626" s="69"/>
    </row>
    <row r="1627" spans="1:8" x14ac:dyDescent="0.35">
      <c r="A1627" s="64"/>
      <c r="B1627" s="65"/>
      <c r="C1627" s="65" t="str">
        <f>IFERROR(VLOOKUP(B1627,منتجات!$A$3:$C$350,2,0),"")</f>
        <v/>
      </c>
      <c r="D1627" s="65" t="str">
        <f>IFERROR(VLOOKUP(B1627,منتجات!$A$3:$C$350,3,0),"")</f>
        <v/>
      </c>
      <c r="E1627" s="65"/>
      <c r="F1627" s="65" t="str">
        <f>IFERROR(INDEX(منتجات!$G$3:$G$350,MATCH(B1627,منتجات!$A$3:$A$115,0)),"")</f>
        <v/>
      </c>
      <c r="G1627" s="65" t="str">
        <f t="shared" si="27"/>
        <v/>
      </c>
      <c r="H1627" s="70"/>
    </row>
    <row r="1628" spans="1:8" x14ac:dyDescent="0.35">
      <c r="A1628" s="62"/>
      <c r="B1628" s="63"/>
      <c r="C1628" s="63" t="str">
        <f>IFERROR(VLOOKUP(B1628,منتجات!$A$3:$C$350,2,0),"")</f>
        <v/>
      </c>
      <c r="D1628" s="63" t="str">
        <f>IFERROR(VLOOKUP(B1628,منتجات!$A$3:$C$350,3,0),"")</f>
        <v/>
      </c>
      <c r="E1628" s="63"/>
      <c r="F1628" s="63" t="str">
        <f>IFERROR(INDEX(منتجات!$G$3:$G$350,MATCH(B1628,منتجات!$A$3:$A$115,0)),"")</f>
        <v/>
      </c>
      <c r="G1628" s="63" t="str">
        <f t="shared" si="27"/>
        <v/>
      </c>
      <c r="H1628" s="69"/>
    </row>
    <row r="1629" spans="1:8" x14ac:dyDescent="0.35">
      <c r="A1629" s="64"/>
      <c r="B1629" s="65"/>
      <c r="C1629" s="65" t="str">
        <f>IFERROR(VLOOKUP(B1629,منتجات!$A$3:$C$350,2,0),"")</f>
        <v/>
      </c>
      <c r="D1629" s="65" t="str">
        <f>IFERROR(VLOOKUP(B1629,منتجات!$A$3:$C$350,3,0),"")</f>
        <v/>
      </c>
      <c r="E1629" s="65"/>
      <c r="F1629" s="65" t="str">
        <f>IFERROR(INDEX(منتجات!$G$3:$G$350,MATCH(B1629,منتجات!$A$3:$A$115,0)),"")</f>
        <v/>
      </c>
      <c r="G1629" s="65" t="str">
        <f t="shared" si="27"/>
        <v/>
      </c>
      <c r="H1629" s="70"/>
    </row>
    <row r="1630" spans="1:8" x14ac:dyDescent="0.35">
      <c r="A1630" s="62"/>
      <c r="B1630" s="63"/>
      <c r="C1630" s="63" t="str">
        <f>IFERROR(VLOOKUP(B1630,منتجات!$A$3:$C$350,2,0),"")</f>
        <v/>
      </c>
      <c r="D1630" s="63" t="str">
        <f>IFERROR(VLOOKUP(B1630,منتجات!$A$3:$C$350,3,0),"")</f>
        <v/>
      </c>
      <c r="E1630" s="63"/>
      <c r="F1630" s="63" t="str">
        <f>IFERROR(INDEX(منتجات!$G$3:$G$350,MATCH(B1630,منتجات!$A$3:$A$115,0)),"")</f>
        <v/>
      </c>
      <c r="G1630" s="63" t="str">
        <f t="shared" si="27"/>
        <v/>
      </c>
      <c r="H1630" s="69"/>
    </row>
    <row r="1631" spans="1:8" x14ac:dyDescent="0.35">
      <c r="A1631" s="64"/>
      <c r="B1631" s="65"/>
      <c r="C1631" s="65" t="str">
        <f>IFERROR(VLOOKUP(B1631,منتجات!$A$3:$C$350,2,0),"")</f>
        <v/>
      </c>
      <c r="D1631" s="65" t="str">
        <f>IFERROR(VLOOKUP(B1631,منتجات!$A$3:$C$350,3,0),"")</f>
        <v/>
      </c>
      <c r="E1631" s="65"/>
      <c r="F1631" s="65" t="str">
        <f>IFERROR(INDEX(منتجات!$G$3:$G$350,MATCH(B1631,منتجات!$A$3:$A$115,0)),"")</f>
        <v/>
      </c>
      <c r="G1631" s="65" t="str">
        <f t="shared" si="27"/>
        <v/>
      </c>
      <c r="H1631" s="70"/>
    </row>
    <row r="1632" spans="1:8" x14ac:dyDescent="0.35">
      <c r="A1632" s="62"/>
      <c r="B1632" s="63"/>
      <c r="C1632" s="63" t="str">
        <f>IFERROR(VLOOKUP(B1632,منتجات!$A$3:$C$350,2,0),"")</f>
        <v/>
      </c>
      <c r="D1632" s="63" t="str">
        <f>IFERROR(VLOOKUP(B1632,منتجات!$A$3:$C$350,3,0),"")</f>
        <v/>
      </c>
      <c r="E1632" s="63"/>
      <c r="F1632" s="63" t="str">
        <f>IFERROR(INDEX(منتجات!$G$3:$G$350,MATCH(B1632,منتجات!$A$3:$A$115,0)),"")</f>
        <v/>
      </c>
      <c r="G1632" s="63" t="str">
        <f t="shared" si="27"/>
        <v/>
      </c>
      <c r="H1632" s="69"/>
    </row>
    <row r="1633" spans="1:8" x14ac:dyDescent="0.35">
      <c r="A1633" s="64"/>
      <c r="B1633" s="65"/>
      <c r="C1633" s="65" t="str">
        <f>IFERROR(VLOOKUP(B1633,منتجات!$A$3:$C$350,2,0),"")</f>
        <v/>
      </c>
      <c r="D1633" s="65" t="str">
        <f>IFERROR(VLOOKUP(B1633,منتجات!$A$3:$C$350,3,0),"")</f>
        <v/>
      </c>
      <c r="E1633" s="65"/>
      <c r="F1633" s="65" t="str">
        <f>IFERROR(INDEX(منتجات!$G$3:$G$350,MATCH(B1633,منتجات!$A$3:$A$115,0)),"")</f>
        <v/>
      </c>
      <c r="G1633" s="65" t="str">
        <f t="shared" si="27"/>
        <v/>
      </c>
      <c r="H1633" s="70"/>
    </row>
    <row r="1634" spans="1:8" x14ac:dyDescent="0.35">
      <c r="A1634" s="62"/>
      <c r="B1634" s="63"/>
      <c r="C1634" s="63" t="str">
        <f>IFERROR(VLOOKUP(B1634,منتجات!$A$3:$C$350,2,0),"")</f>
        <v/>
      </c>
      <c r="D1634" s="63" t="str">
        <f>IFERROR(VLOOKUP(B1634,منتجات!$A$3:$C$350,3,0),"")</f>
        <v/>
      </c>
      <c r="E1634" s="63"/>
      <c r="F1634" s="63" t="str">
        <f>IFERROR(INDEX(منتجات!$G$3:$G$350,MATCH(B1634,منتجات!$A$3:$A$115,0)),"")</f>
        <v/>
      </c>
      <c r="G1634" s="63" t="str">
        <f t="shared" si="27"/>
        <v/>
      </c>
      <c r="H1634" s="69"/>
    </row>
    <row r="1635" spans="1:8" x14ac:dyDescent="0.35">
      <c r="A1635" s="64"/>
      <c r="B1635" s="65"/>
      <c r="C1635" s="65" t="str">
        <f>IFERROR(VLOOKUP(B1635,منتجات!$A$3:$C$350,2,0),"")</f>
        <v/>
      </c>
      <c r="D1635" s="65" t="str">
        <f>IFERROR(VLOOKUP(B1635,منتجات!$A$3:$C$350,3,0),"")</f>
        <v/>
      </c>
      <c r="E1635" s="65"/>
      <c r="F1635" s="65" t="str">
        <f>IFERROR(INDEX(منتجات!$G$3:$G$350,MATCH(B1635,منتجات!$A$3:$A$115,0)),"")</f>
        <v/>
      </c>
      <c r="G1635" s="65" t="str">
        <f t="shared" si="27"/>
        <v/>
      </c>
      <c r="H1635" s="70"/>
    </row>
    <row r="1636" spans="1:8" x14ac:dyDescent="0.35">
      <c r="A1636" s="62"/>
      <c r="B1636" s="63"/>
      <c r="C1636" s="63" t="str">
        <f>IFERROR(VLOOKUP(B1636,منتجات!$A$3:$C$350,2,0),"")</f>
        <v/>
      </c>
      <c r="D1636" s="63" t="str">
        <f>IFERROR(VLOOKUP(B1636,منتجات!$A$3:$C$350,3,0),"")</f>
        <v/>
      </c>
      <c r="E1636" s="63"/>
      <c r="F1636" s="63" t="str">
        <f>IFERROR(INDEX(منتجات!$G$3:$G$350,MATCH(B1636,منتجات!$A$3:$A$115,0)),"")</f>
        <v/>
      </c>
      <c r="G1636" s="63" t="str">
        <f t="shared" si="27"/>
        <v/>
      </c>
      <c r="H1636" s="69"/>
    </row>
    <row r="1637" spans="1:8" x14ac:dyDescent="0.35">
      <c r="A1637" s="64"/>
      <c r="B1637" s="65"/>
      <c r="C1637" s="65" t="str">
        <f>IFERROR(VLOOKUP(B1637,منتجات!$A$3:$C$350,2,0),"")</f>
        <v/>
      </c>
      <c r="D1637" s="65" t="str">
        <f>IFERROR(VLOOKUP(B1637,منتجات!$A$3:$C$350,3,0),"")</f>
        <v/>
      </c>
      <c r="E1637" s="65"/>
      <c r="F1637" s="65" t="str">
        <f>IFERROR(INDEX(منتجات!$G$3:$G$350,MATCH(B1637,منتجات!$A$3:$A$115,0)),"")</f>
        <v/>
      </c>
      <c r="G1637" s="65" t="str">
        <f t="shared" si="27"/>
        <v/>
      </c>
      <c r="H1637" s="70"/>
    </row>
    <row r="1638" spans="1:8" x14ac:dyDescent="0.35">
      <c r="A1638" s="62"/>
      <c r="B1638" s="63"/>
      <c r="C1638" s="63" t="str">
        <f>IFERROR(VLOOKUP(B1638,منتجات!$A$3:$C$350,2,0),"")</f>
        <v/>
      </c>
      <c r="D1638" s="63" t="str">
        <f>IFERROR(VLOOKUP(B1638,منتجات!$A$3:$C$350,3,0),"")</f>
        <v/>
      </c>
      <c r="E1638" s="63"/>
      <c r="F1638" s="63" t="str">
        <f>IFERROR(INDEX(منتجات!$G$3:$G$350,MATCH(B1638,منتجات!$A$3:$A$115,0)),"")</f>
        <v/>
      </c>
      <c r="G1638" s="63" t="str">
        <f t="shared" si="27"/>
        <v/>
      </c>
      <c r="H1638" s="69"/>
    </row>
    <row r="1639" spans="1:8" x14ac:dyDescent="0.35">
      <c r="A1639" s="64"/>
      <c r="B1639" s="65"/>
      <c r="C1639" s="65" t="str">
        <f>IFERROR(VLOOKUP(B1639,منتجات!$A$3:$C$350,2,0),"")</f>
        <v/>
      </c>
      <c r="D1639" s="65" t="str">
        <f>IFERROR(VLOOKUP(B1639,منتجات!$A$3:$C$350,3,0),"")</f>
        <v/>
      </c>
      <c r="E1639" s="65"/>
      <c r="F1639" s="65" t="str">
        <f>IFERROR(INDEX(منتجات!$G$3:$G$350,MATCH(B1639,منتجات!$A$3:$A$115,0)),"")</f>
        <v/>
      </c>
      <c r="G1639" s="65" t="str">
        <f t="shared" si="27"/>
        <v/>
      </c>
      <c r="H1639" s="70"/>
    </row>
    <row r="1640" spans="1:8" x14ac:dyDescent="0.35">
      <c r="A1640" s="62"/>
      <c r="B1640" s="63"/>
      <c r="C1640" s="63" t="str">
        <f>IFERROR(VLOOKUP(B1640,منتجات!$A$3:$C$350,2,0),"")</f>
        <v/>
      </c>
      <c r="D1640" s="63" t="str">
        <f>IFERROR(VLOOKUP(B1640,منتجات!$A$3:$C$350,3,0),"")</f>
        <v/>
      </c>
      <c r="E1640" s="63"/>
      <c r="F1640" s="63" t="str">
        <f>IFERROR(INDEX(منتجات!$G$3:$G$350,MATCH(B1640,منتجات!$A$3:$A$115,0)),"")</f>
        <v/>
      </c>
      <c r="G1640" s="63" t="str">
        <f t="shared" si="27"/>
        <v/>
      </c>
      <c r="H1640" s="69"/>
    </row>
    <row r="1641" spans="1:8" x14ac:dyDescent="0.35">
      <c r="A1641" s="64"/>
      <c r="B1641" s="65"/>
      <c r="C1641" s="65" t="str">
        <f>IFERROR(VLOOKUP(B1641,منتجات!$A$3:$C$350,2,0),"")</f>
        <v/>
      </c>
      <c r="D1641" s="65" t="str">
        <f>IFERROR(VLOOKUP(B1641,منتجات!$A$3:$C$350,3,0),"")</f>
        <v/>
      </c>
      <c r="E1641" s="65"/>
      <c r="F1641" s="65" t="str">
        <f>IFERROR(INDEX(منتجات!$G$3:$G$350,MATCH(B1641,منتجات!$A$3:$A$115,0)),"")</f>
        <v/>
      </c>
      <c r="G1641" s="65" t="str">
        <f t="shared" si="27"/>
        <v/>
      </c>
      <c r="H1641" s="70"/>
    </row>
    <row r="1642" spans="1:8" x14ac:dyDescent="0.35">
      <c r="A1642" s="62"/>
      <c r="B1642" s="63"/>
      <c r="C1642" s="63" t="str">
        <f>IFERROR(VLOOKUP(B1642,منتجات!$A$3:$C$350,2,0),"")</f>
        <v/>
      </c>
      <c r="D1642" s="63" t="str">
        <f>IFERROR(VLOOKUP(B1642,منتجات!$A$3:$C$350,3,0),"")</f>
        <v/>
      </c>
      <c r="E1642" s="63"/>
      <c r="F1642" s="63" t="str">
        <f>IFERROR(INDEX(منتجات!$G$3:$G$350,MATCH(B1642,منتجات!$A$3:$A$115,0)),"")</f>
        <v/>
      </c>
      <c r="G1642" s="63" t="str">
        <f t="shared" si="27"/>
        <v/>
      </c>
      <c r="H1642" s="69"/>
    </row>
    <row r="1643" spans="1:8" x14ac:dyDescent="0.35">
      <c r="A1643" s="64"/>
      <c r="B1643" s="65"/>
      <c r="C1643" s="65" t="str">
        <f>IFERROR(VLOOKUP(B1643,منتجات!$A$3:$C$350,2,0),"")</f>
        <v/>
      </c>
      <c r="D1643" s="65" t="str">
        <f>IFERROR(VLOOKUP(B1643,منتجات!$A$3:$C$350,3,0),"")</f>
        <v/>
      </c>
      <c r="E1643" s="65"/>
      <c r="F1643" s="65" t="str">
        <f>IFERROR(INDEX(منتجات!$G$3:$G$350,MATCH(B1643,منتجات!$A$3:$A$115,0)),"")</f>
        <v/>
      </c>
      <c r="G1643" s="65" t="str">
        <f t="shared" si="27"/>
        <v/>
      </c>
      <c r="H1643" s="70"/>
    </row>
    <row r="1644" spans="1:8" x14ac:dyDescent="0.35">
      <c r="A1644" s="62"/>
      <c r="B1644" s="63"/>
      <c r="C1644" s="63" t="str">
        <f>IFERROR(VLOOKUP(B1644,منتجات!$A$3:$C$350,2,0),"")</f>
        <v/>
      </c>
      <c r="D1644" s="63" t="str">
        <f>IFERROR(VLOOKUP(B1644,منتجات!$A$3:$C$350,3,0),"")</f>
        <v/>
      </c>
      <c r="E1644" s="63"/>
      <c r="F1644" s="63" t="str">
        <f>IFERROR(INDEX(منتجات!$G$3:$G$350,MATCH(B1644,منتجات!$A$3:$A$115,0)),"")</f>
        <v/>
      </c>
      <c r="G1644" s="63" t="str">
        <f t="shared" si="27"/>
        <v/>
      </c>
      <c r="H1644" s="69"/>
    </row>
    <row r="1645" spans="1:8" x14ac:dyDescent="0.35">
      <c r="A1645" s="64"/>
      <c r="B1645" s="65"/>
      <c r="C1645" s="65" t="str">
        <f>IFERROR(VLOOKUP(B1645,منتجات!$A$3:$C$350,2,0),"")</f>
        <v/>
      </c>
      <c r="D1645" s="65" t="str">
        <f>IFERROR(VLOOKUP(B1645,منتجات!$A$3:$C$350,3,0),"")</f>
        <v/>
      </c>
      <c r="E1645" s="65"/>
      <c r="F1645" s="65" t="str">
        <f>IFERROR(INDEX(منتجات!$G$3:$G$350,MATCH(B1645,منتجات!$A$3:$A$115,0)),"")</f>
        <v/>
      </c>
      <c r="G1645" s="65" t="str">
        <f t="shared" si="27"/>
        <v/>
      </c>
      <c r="H1645" s="70"/>
    </row>
    <row r="1646" spans="1:8" x14ac:dyDescent="0.35">
      <c r="A1646" s="62"/>
      <c r="B1646" s="63"/>
      <c r="C1646" s="63" t="str">
        <f>IFERROR(VLOOKUP(B1646,منتجات!$A$3:$C$350,2,0),"")</f>
        <v/>
      </c>
      <c r="D1646" s="63" t="str">
        <f>IFERROR(VLOOKUP(B1646,منتجات!$A$3:$C$350,3,0),"")</f>
        <v/>
      </c>
      <c r="E1646" s="63"/>
      <c r="F1646" s="63" t="str">
        <f>IFERROR(INDEX(منتجات!$G$3:$G$350,MATCH(B1646,منتجات!$A$3:$A$115,0)),"")</f>
        <v/>
      </c>
      <c r="G1646" s="63" t="str">
        <f t="shared" si="27"/>
        <v/>
      </c>
      <c r="H1646" s="69"/>
    </row>
    <row r="1647" spans="1:8" x14ac:dyDescent="0.35">
      <c r="A1647" s="64"/>
      <c r="B1647" s="65"/>
      <c r="C1647" s="65" t="str">
        <f>IFERROR(VLOOKUP(B1647,منتجات!$A$3:$C$350,2,0),"")</f>
        <v/>
      </c>
      <c r="D1647" s="65" t="str">
        <f>IFERROR(VLOOKUP(B1647,منتجات!$A$3:$C$350,3,0),"")</f>
        <v/>
      </c>
      <c r="E1647" s="65"/>
      <c r="F1647" s="65" t="str">
        <f>IFERROR(INDEX(منتجات!$G$3:$G$350,MATCH(B1647,منتجات!$A$3:$A$115,0)),"")</f>
        <v/>
      </c>
      <c r="G1647" s="65" t="str">
        <f t="shared" si="27"/>
        <v/>
      </c>
      <c r="H1647" s="70"/>
    </row>
    <row r="1648" spans="1:8" x14ac:dyDescent="0.35">
      <c r="A1648" s="62"/>
      <c r="B1648" s="63"/>
      <c r="C1648" s="63" t="str">
        <f>IFERROR(VLOOKUP(B1648,منتجات!$A$3:$C$350,2,0),"")</f>
        <v/>
      </c>
      <c r="D1648" s="63" t="str">
        <f>IFERROR(VLOOKUP(B1648,منتجات!$A$3:$C$350,3,0),"")</f>
        <v/>
      </c>
      <c r="E1648" s="63"/>
      <c r="F1648" s="63" t="str">
        <f>IFERROR(INDEX(منتجات!$G$3:$G$350,MATCH(B1648,منتجات!$A$3:$A$115,0)),"")</f>
        <v/>
      </c>
      <c r="G1648" s="63" t="str">
        <f t="shared" si="27"/>
        <v/>
      </c>
      <c r="H1648" s="69"/>
    </row>
    <row r="1649" spans="1:8" x14ac:dyDescent="0.35">
      <c r="A1649" s="64"/>
      <c r="B1649" s="65"/>
      <c r="C1649" s="65" t="str">
        <f>IFERROR(VLOOKUP(B1649,منتجات!$A$3:$C$350,2,0),"")</f>
        <v/>
      </c>
      <c r="D1649" s="65" t="str">
        <f>IFERROR(VLOOKUP(B1649,منتجات!$A$3:$C$350,3,0),"")</f>
        <v/>
      </c>
      <c r="E1649" s="65"/>
      <c r="F1649" s="65" t="str">
        <f>IFERROR(INDEX(منتجات!$G$3:$G$350,MATCH(B1649,منتجات!$A$3:$A$115,0)),"")</f>
        <v/>
      </c>
      <c r="G1649" s="65" t="str">
        <f t="shared" si="27"/>
        <v/>
      </c>
      <c r="H1649" s="70"/>
    </row>
    <row r="1650" spans="1:8" x14ac:dyDescent="0.35">
      <c r="A1650" s="62"/>
      <c r="B1650" s="63"/>
      <c r="C1650" s="63" t="str">
        <f>IFERROR(VLOOKUP(B1650,منتجات!$A$3:$C$350,2,0),"")</f>
        <v/>
      </c>
      <c r="D1650" s="63" t="str">
        <f>IFERROR(VLOOKUP(B1650,منتجات!$A$3:$C$350,3,0),"")</f>
        <v/>
      </c>
      <c r="E1650" s="63"/>
      <c r="F1650" s="63" t="str">
        <f>IFERROR(INDEX(منتجات!$G$3:$G$350,MATCH(B1650,منتجات!$A$3:$A$115,0)),"")</f>
        <v/>
      </c>
      <c r="G1650" s="63" t="str">
        <f t="shared" si="27"/>
        <v/>
      </c>
      <c r="H1650" s="69"/>
    </row>
    <row r="1651" spans="1:8" x14ac:dyDescent="0.35">
      <c r="A1651" s="64"/>
      <c r="B1651" s="65"/>
      <c r="C1651" s="65" t="str">
        <f>IFERROR(VLOOKUP(B1651,منتجات!$A$3:$C$350,2,0),"")</f>
        <v/>
      </c>
      <c r="D1651" s="65" t="str">
        <f>IFERROR(VLOOKUP(B1651,منتجات!$A$3:$C$350,3,0),"")</f>
        <v/>
      </c>
      <c r="E1651" s="65"/>
      <c r="F1651" s="65" t="str">
        <f>IFERROR(INDEX(منتجات!$G$3:$G$350,MATCH(B1651,منتجات!$A$3:$A$115,0)),"")</f>
        <v/>
      </c>
      <c r="G1651" s="65" t="str">
        <f t="shared" si="27"/>
        <v/>
      </c>
      <c r="H1651" s="70"/>
    </row>
    <row r="1652" spans="1:8" x14ac:dyDescent="0.35">
      <c r="A1652" s="62"/>
      <c r="B1652" s="63"/>
      <c r="C1652" s="63" t="str">
        <f>IFERROR(VLOOKUP(B1652,منتجات!$A$3:$C$350,2,0),"")</f>
        <v/>
      </c>
      <c r="D1652" s="63" t="str">
        <f>IFERROR(VLOOKUP(B1652,منتجات!$A$3:$C$350,3,0),"")</f>
        <v/>
      </c>
      <c r="E1652" s="63"/>
      <c r="F1652" s="63" t="str">
        <f>IFERROR(INDEX(منتجات!$G$3:$G$350,MATCH(B1652,منتجات!$A$3:$A$115,0)),"")</f>
        <v/>
      </c>
      <c r="G1652" s="63" t="str">
        <f t="shared" si="27"/>
        <v/>
      </c>
      <c r="H1652" s="69"/>
    </row>
    <row r="1653" spans="1:8" x14ac:dyDescent="0.35">
      <c r="A1653" s="64"/>
      <c r="B1653" s="65"/>
      <c r="C1653" s="65" t="str">
        <f>IFERROR(VLOOKUP(B1653,منتجات!$A$3:$C$350,2,0),"")</f>
        <v/>
      </c>
      <c r="D1653" s="65" t="str">
        <f>IFERROR(VLOOKUP(B1653,منتجات!$A$3:$C$350,3,0),"")</f>
        <v/>
      </c>
      <c r="E1653" s="65"/>
      <c r="F1653" s="65" t="str">
        <f>IFERROR(INDEX(منتجات!$G$3:$G$350,MATCH(B1653,منتجات!$A$3:$A$115,0)),"")</f>
        <v/>
      </c>
      <c r="G1653" s="65" t="str">
        <f t="shared" si="27"/>
        <v/>
      </c>
      <c r="H1653" s="70"/>
    </row>
    <row r="1654" spans="1:8" x14ac:dyDescent="0.35">
      <c r="A1654" s="62"/>
      <c r="B1654" s="63"/>
      <c r="C1654" s="63" t="str">
        <f>IFERROR(VLOOKUP(B1654,منتجات!$A$3:$C$350,2,0),"")</f>
        <v/>
      </c>
      <c r="D1654" s="63" t="str">
        <f>IFERROR(VLOOKUP(B1654,منتجات!$A$3:$C$350,3,0),"")</f>
        <v/>
      </c>
      <c r="E1654" s="63"/>
      <c r="F1654" s="63" t="str">
        <f>IFERROR(INDEX(منتجات!$G$3:$G$350,MATCH(B1654,منتجات!$A$3:$A$115,0)),"")</f>
        <v/>
      </c>
      <c r="G1654" s="63" t="str">
        <f t="shared" si="27"/>
        <v/>
      </c>
      <c r="H1654" s="69"/>
    </row>
    <row r="1655" spans="1:8" x14ac:dyDescent="0.35">
      <c r="A1655" s="64"/>
      <c r="B1655" s="65"/>
      <c r="C1655" s="65" t="str">
        <f>IFERROR(VLOOKUP(B1655,منتجات!$A$3:$C$350,2,0),"")</f>
        <v/>
      </c>
      <c r="D1655" s="65" t="str">
        <f>IFERROR(VLOOKUP(B1655,منتجات!$A$3:$C$350,3,0),"")</f>
        <v/>
      </c>
      <c r="E1655" s="65"/>
      <c r="F1655" s="65" t="str">
        <f>IFERROR(INDEX(منتجات!$G$3:$G$350,MATCH(B1655,منتجات!$A$3:$A$115,0)),"")</f>
        <v/>
      </c>
      <c r="G1655" s="65" t="str">
        <f t="shared" si="27"/>
        <v/>
      </c>
      <c r="H1655" s="70"/>
    </row>
    <row r="1656" spans="1:8" x14ac:dyDescent="0.35">
      <c r="A1656" s="62"/>
      <c r="B1656" s="63"/>
      <c r="C1656" s="63" t="str">
        <f>IFERROR(VLOOKUP(B1656,منتجات!$A$3:$C$350,2,0),"")</f>
        <v/>
      </c>
      <c r="D1656" s="63" t="str">
        <f>IFERROR(VLOOKUP(B1656,منتجات!$A$3:$C$350,3,0),"")</f>
        <v/>
      </c>
      <c r="E1656" s="63"/>
      <c r="F1656" s="63" t="str">
        <f>IFERROR(INDEX(منتجات!$G$3:$G$350,MATCH(B1656,منتجات!$A$3:$A$115,0)),"")</f>
        <v/>
      </c>
      <c r="G1656" s="63" t="str">
        <f t="shared" si="27"/>
        <v/>
      </c>
      <c r="H1656" s="69"/>
    </row>
    <row r="1657" spans="1:8" x14ac:dyDescent="0.35">
      <c r="A1657" s="64"/>
      <c r="B1657" s="65"/>
      <c r="C1657" s="65" t="str">
        <f>IFERROR(VLOOKUP(B1657,منتجات!$A$3:$C$350,2,0),"")</f>
        <v/>
      </c>
      <c r="D1657" s="65" t="str">
        <f>IFERROR(VLOOKUP(B1657,منتجات!$A$3:$C$350,3,0),"")</f>
        <v/>
      </c>
      <c r="E1657" s="65"/>
      <c r="F1657" s="65" t="str">
        <f>IFERROR(INDEX(منتجات!$G$3:$G$350,MATCH(B1657,منتجات!$A$3:$A$115,0)),"")</f>
        <v/>
      </c>
      <c r="G1657" s="65" t="str">
        <f t="shared" si="27"/>
        <v/>
      </c>
      <c r="H1657" s="70"/>
    </row>
    <row r="1658" spans="1:8" x14ac:dyDescent="0.35">
      <c r="A1658" s="62"/>
      <c r="B1658" s="63"/>
      <c r="C1658" s="63" t="str">
        <f>IFERROR(VLOOKUP(B1658,منتجات!$A$3:$C$350,2,0),"")</f>
        <v/>
      </c>
      <c r="D1658" s="63" t="str">
        <f>IFERROR(VLOOKUP(B1658,منتجات!$A$3:$C$350,3,0),"")</f>
        <v/>
      </c>
      <c r="E1658" s="63"/>
      <c r="F1658" s="63" t="str">
        <f>IFERROR(INDEX(منتجات!$G$3:$G$350,MATCH(B1658,منتجات!$A$3:$A$115,0)),"")</f>
        <v/>
      </c>
      <c r="G1658" s="63" t="str">
        <f t="shared" si="27"/>
        <v/>
      </c>
      <c r="H1658" s="69"/>
    </row>
    <row r="1659" spans="1:8" x14ac:dyDescent="0.35">
      <c r="A1659" s="64"/>
      <c r="B1659" s="65"/>
      <c r="C1659" s="65" t="str">
        <f>IFERROR(VLOOKUP(B1659,منتجات!$A$3:$C$350,2,0),"")</f>
        <v/>
      </c>
      <c r="D1659" s="65" t="str">
        <f>IFERROR(VLOOKUP(B1659,منتجات!$A$3:$C$350,3,0),"")</f>
        <v/>
      </c>
      <c r="E1659" s="65"/>
      <c r="F1659" s="65" t="str">
        <f>IFERROR(INDEX(منتجات!$G$3:$G$350,MATCH(B1659,منتجات!$A$3:$A$115,0)),"")</f>
        <v/>
      </c>
      <c r="G1659" s="65" t="str">
        <f t="shared" si="27"/>
        <v/>
      </c>
      <c r="H1659" s="70"/>
    </row>
    <row r="1660" spans="1:8" x14ac:dyDescent="0.35">
      <c r="A1660" s="62"/>
      <c r="B1660" s="63"/>
      <c r="C1660" s="63" t="str">
        <f>IFERROR(VLOOKUP(B1660,منتجات!$A$3:$C$350,2,0),"")</f>
        <v/>
      </c>
      <c r="D1660" s="63" t="str">
        <f>IFERROR(VLOOKUP(B1660,منتجات!$A$3:$C$350,3,0),"")</f>
        <v/>
      </c>
      <c r="E1660" s="63"/>
      <c r="F1660" s="63" t="str">
        <f>IFERROR(INDEX(منتجات!$G$3:$G$350,MATCH(B1660,منتجات!$A$3:$A$115,0)),"")</f>
        <v/>
      </c>
      <c r="G1660" s="63" t="str">
        <f t="shared" si="27"/>
        <v/>
      </c>
      <c r="H1660" s="69"/>
    </row>
    <row r="1661" spans="1:8" x14ac:dyDescent="0.35">
      <c r="A1661" s="64"/>
      <c r="B1661" s="65"/>
      <c r="C1661" s="65" t="str">
        <f>IFERROR(VLOOKUP(B1661,منتجات!$A$3:$C$350,2,0),"")</f>
        <v/>
      </c>
      <c r="D1661" s="65" t="str">
        <f>IFERROR(VLOOKUP(B1661,منتجات!$A$3:$C$350,3,0),"")</f>
        <v/>
      </c>
      <c r="E1661" s="65"/>
      <c r="F1661" s="65" t="str">
        <f>IFERROR(INDEX(منتجات!$G$3:$G$350,MATCH(B1661,منتجات!$A$3:$A$115,0)),"")</f>
        <v/>
      </c>
      <c r="G1661" s="65" t="str">
        <f t="shared" si="27"/>
        <v/>
      </c>
      <c r="H1661" s="70"/>
    </row>
    <row r="1662" spans="1:8" x14ac:dyDescent="0.35">
      <c r="A1662" s="62"/>
      <c r="B1662" s="63"/>
      <c r="C1662" s="63" t="str">
        <f>IFERROR(VLOOKUP(B1662,منتجات!$A$3:$C$350,2,0),"")</f>
        <v/>
      </c>
      <c r="D1662" s="63" t="str">
        <f>IFERROR(VLOOKUP(B1662,منتجات!$A$3:$C$350,3,0),"")</f>
        <v/>
      </c>
      <c r="E1662" s="63"/>
      <c r="F1662" s="63" t="str">
        <f>IFERROR(INDEX(منتجات!$G$3:$G$350,MATCH(B1662,منتجات!$A$3:$A$115,0)),"")</f>
        <v/>
      </c>
      <c r="G1662" s="63" t="str">
        <f t="shared" si="27"/>
        <v/>
      </c>
      <c r="H1662" s="69"/>
    </row>
    <row r="1663" spans="1:8" x14ac:dyDescent="0.35">
      <c r="A1663" s="64"/>
      <c r="B1663" s="65"/>
      <c r="C1663" s="65" t="str">
        <f>IFERROR(VLOOKUP(B1663,منتجات!$A$3:$C$350,2,0),"")</f>
        <v/>
      </c>
      <c r="D1663" s="65" t="str">
        <f>IFERROR(VLOOKUP(B1663,منتجات!$A$3:$C$350,3,0),"")</f>
        <v/>
      </c>
      <c r="E1663" s="65"/>
      <c r="F1663" s="65" t="str">
        <f>IFERROR(INDEX(منتجات!$G$3:$G$350,MATCH(B1663,منتجات!$A$3:$A$115,0)),"")</f>
        <v/>
      </c>
      <c r="G1663" s="65" t="str">
        <f t="shared" si="27"/>
        <v/>
      </c>
      <c r="H1663" s="70"/>
    </row>
    <row r="1664" spans="1:8" x14ac:dyDescent="0.35">
      <c r="A1664" s="62"/>
      <c r="B1664" s="63"/>
      <c r="C1664" s="63" t="str">
        <f>IFERROR(VLOOKUP(B1664,منتجات!$A$3:$C$350,2,0),"")</f>
        <v/>
      </c>
      <c r="D1664" s="63" t="str">
        <f>IFERROR(VLOOKUP(B1664,منتجات!$A$3:$C$350,3,0),"")</f>
        <v/>
      </c>
      <c r="E1664" s="63"/>
      <c r="F1664" s="63" t="str">
        <f>IFERROR(INDEX(منتجات!$G$3:$G$350,MATCH(B1664,منتجات!$A$3:$A$115,0)),"")</f>
        <v/>
      </c>
      <c r="G1664" s="63" t="str">
        <f t="shared" si="27"/>
        <v/>
      </c>
      <c r="H1664" s="69"/>
    </row>
    <row r="1665" spans="1:8" x14ac:dyDescent="0.35">
      <c r="A1665" s="64"/>
      <c r="B1665" s="65"/>
      <c r="C1665" s="65" t="str">
        <f>IFERROR(VLOOKUP(B1665,منتجات!$A$3:$C$350,2,0),"")</f>
        <v/>
      </c>
      <c r="D1665" s="65" t="str">
        <f>IFERROR(VLOOKUP(B1665,منتجات!$A$3:$C$350,3,0),"")</f>
        <v/>
      </c>
      <c r="E1665" s="65"/>
      <c r="F1665" s="65" t="str">
        <f>IFERROR(INDEX(منتجات!$G$3:$G$350,MATCH(B1665,منتجات!$A$3:$A$115,0)),"")</f>
        <v/>
      </c>
      <c r="G1665" s="65" t="str">
        <f t="shared" si="27"/>
        <v/>
      </c>
      <c r="H1665" s="70"/>
    </row>
    <row r="1666" spans="1:8" x14ac:dyDescent="0.35">
      <c r="A1666" s="62"/>
      <c r="B1666" s="63"/>
      <c r="C1666" s="63" t="str">
        <f>IFERROR(VLOOKUP(B1666,منتجات!$A$3:$C$350,2,0),"")</f>
        <v/>
      </c>
      <c r="D1666" s="63" t="str">
        <f>IFERROR(VLOOKUP(B1666,منتجات!$A$3:$C$350,3,0),"")</f>
        <v/>
      </c>
      <c r="E1666" s="63"/>
      <c r="F1666" s="63" t="str">
        <f>IFERROR(INDEX(منتجات!$G$3:$G$350,MATCH(B1666,منتجات!$A$3:$A$115,0)),"")</f>
        <v/>
      </c>
      <c r="G1666" s="63" t="str">
        <f t="shared" si="27"/>
        <v/>
      </c>
      <c r="H1666" s="69"/>
    </row>
    <row r="1667" spans="1:8" x14ac:dyDescent="0.35">
      <c r="A1667" s="64"/>
      <c r="B1667" s="65"/>
      <c r="C1667" s="65" t="str">
        <f>IFERROR(VLOOKUP(B1667,منتجات!$A$3:$C$350,2,0),"")</f>
        <v/>
      </c>
      <c r="D1667" s="65" t="str">
        <f>IFERROR(VLOOKUP(B1667,منتجات!$A$3:$C$350,3,0),"")</f>
        <v/>
      </c>
      <c r="E1667" s="65"/>
      <c r="F1667" s="65" t="str">
        <f>IFERROR(INDEX(منتجات!$G$3:$G$350,MATCH(B1667,منتجات!$A$3:$A$115,0)),"")</f>
        <v/>
      </c>
      <c r="G1667" s="65" t="str">
        <f t="shared" si="27"/>
        <v/>
      </c>
      <c r="H1667" s="70"/>
    </row>
    <row r="1668" spans="1:8" x14ac:dyDescent="0.35">
      <c r="A1668" s="62"/>
      <c r="B1668" s="63"/>
      <c r="C1668" s="63" t="str">
        <f>IFERROR(VLOOKUP(B1668,منتجات!$A$3:$C$350,2,0),"")</f>
        <v/>
      </c>
      <c r="D1668" s="63" t="str">
        <f>IFERROR(VLOOKUP(B1668,منتجات!$A$3:$C$350,3,0),"")</f>
        <v/>
      </c>
      <c r="E1668" s="63"/>
      <c r="F1668" s="63" t="str">
        <f>IFERROR(INDEX(منتجات!$G$3:$G$350,MATCH(B1668,منتجات!$A$3:$A$115,0)),"")</f>
        <v/>
      </c>
      <c r="G1668" s="63" t="str">
        <f t="shared" si="27"/>
        <v/>
      </c>
      <c r="H1668" s="69"/>
    </row>
    <row r="1669" spans="1:8" x14ac:dyDescent="0.35">
      <c r="A1669" s="64"/>
      <c r="B1669" s="65"/>
      <c r="C1669" s="65" t="str">
        <f>IFERROR(VLOOKUP(B1669,منتجات!$A$3:$C$350,2,0),"")</f>
        <v/>
      </c>
      <c r="D1669" s="65" t="str">
        <f>IFERROR(VLOOKUP(B1669,منتجات!$A$3:$C$350,3,0),"")</f>
        <v/>
      </c>
      <c r="E1669" s="65"/>
      <c r="F1669" s="65" t="str">
        <f>IFERROR(INDEX(منتجات!$G$3:$G$350,MATCH(B1669,منتجات!$A$3:$A$115,0)),"")</f>
        <v/>
      </c>
      <c r="G1669" s="65" t="str">
        <f t="shared" si="27"/>
        <v/>
      </c>
      <c r="H1669" s="70"/>
    </row>
    <row r="1670" spans="1:8" x14ac:dyDescent="0.35">
      <c r="A1670" s="62"/>
      <c r="B1670" s="63"/>
      <c r="C1670" s="63" t="str">
        <f>IFERROR(VLOOKUP(B1670,منتجات!$A$3:$C$350,2,0),"")</f>
        <v/>
      </c>
      <c r="D1670" s="63" t="str">
        <f>IFERROR(VLOOKUP(B1670,منتجات!$A$3:$C$350,3,0),"")</f>
        <v/>
      </c>
      <c r="E1670" s="63"/>
      <c r="F1670" s="63" t="str">
        <f>IFERROR(INDEX(منتجات!$G$3:$G$350,MATCH(B1670,منتجات!$A$3:$A$115,0)),"")</f>
        <v/>
      </c>
      <c r="G1670" s="63" t="str">
        <f t="shared" ref="G1670:G1733" si="28">IFERROR(E1670*F1670*D1670,"")</f>
        <v/>
      </c>
      <c r="H1670" s="69"/>
    </row>
    <row r="1671" spans="1:8" x14ac:dyDescent="0.35">
      <c r="A1671" s="64"/>
      <c r="B1671" s="65"/>
      <c r="C1671" s="65" t="str">
        <f>IFERROR(VLOOKUP(B1671,منتجات!$A$3:$C$350,2,0),"")</f>
        <v/>
      </c>
      <c r="D1671" s="65" t="str">
        <f>IFERROR(VLOOKUP(B1671,منتجات!$A$3:$C$350,3,0),"")</f>
        <v/>
      </c>
      <c r="E1671" s="65"/>
      <c r="F1671" s="65" t="str">
        <f>IFERROR(INDEX(منتجات!$G$3:$G$350,MATCH(B1671,منتجات!$A$3:$A$115,0)),"")</f>
        <v/>
      </c>
      <c r="G1671" s="65" t="str">
        <f t="shared" si="28"/>
        <v/>
      </c>
      <c r="H1671" s="70"/>
    </row>
    <row r="1672" spans="1:8" x14ac:dyDescent="0.35">
      <c r="A1672" s="62"/>
      <c r="B1672" s="63"/>
      <c r="C1672" s="63" t="str">
        <f>IFERROR(VLOOKUP(B1672,منتجات!$A$3:$C$350,2,0),"")</f>
        <v/>
      </c>
      <c r="D1672" s="63" t="str">
        <f>IFERROR(VLOOKUP(B1672,منتجات!$A$3:$C$350,3,0),"")</f>
        <v/>
      </c>
      <c r="E1672" s="63"/>
      <c r="F1672" s="63" t="str">
        <f>IFERROR(INDEX(منتجات!$G$3:$G$350,MATCH(B1672,منتجات!$A$3:$A$115,0)),"")</f>
        <v/>
      </c>
      <c r="G1672" s="63" t="str">
        <f t="shared" si="28"/>
        <v/>
      </c>
      <c r="H1672" s="69"/>
    </row>
    <row r="1673" spans="1:8" x14ac:dyDescent="0.35">
      <c r="A1673" s="64"/>
      <c r="B1673" s="65"/>
      <c r="C1673" s="65" t="str">
        <f>IFERROR(VLOOKUP(B1673,منتجات!$A$3:$C$350,2,0),"")</f>
        <v/>
      </c>
      <c r="D1673" s="65" t="str">
        <f>IFERROR(VLOOKUP(B1673,منتجات!$A$3:$C$350,3,0),"")</f>
        <v/>
      </c>
      <c r="E1673" s="65"/>
      <c r="F1673" s="65" t="str">
        <f>IFERROR(INDEX(منتجات!$G$3:$G$350,MATCH(B1673,منتجات!$A$3:$A$115,0)),"")</f>
        <v/>
      </c>
      <c r="G1673" s="65" t="str">
        <f t="shared" si="28"/>
        <v/>
      </c>
      <c r="H1673" s="70"/>
    </row>
    <row r="1674" spans="1:8" x14ac:dyDescent="0.35">
      <c r="A1674" s="62"/>
      <c r="B1674" s="63"/>
      <c r="C1674" s="63" t="str">
        <f>IFERROR(VLOOKUP(B1674,منتجات!$A$3:$C$350,2,0),"")</f>
        <v/>
      </c>
      <c r="D1674" s="63" t="str">
        <f>IFERROR(VLOOKUP(B1674,منتجات!$A$3:$C$350,3,0),"")</f>
        <v/>
      </c>
      <c r="E1674" s="63"/>
      <c r="F1674" s="63" t="str">
        <f>IFERROR(INDEX(منتجات!$G$3:$G$350,MATCH(B1674,منتجات!$A$3:$A$115,0)),"")</f>
        <v/>
      </c>
      <c r="G1674" s="63" t="str">
        <f t="shared" si="28"/>
        <v/>
      </c>
      <c r="H1674" s="69"/>
    </row>
    <row r="1675" spans="1:8" x14ac:dyDescent="0.35">
      <c r="A1675" s="64"/>
      <c r="B1675" s="65"/>
      <c r="C1675" s="65" t="str">
        <f>IFERROR(VLOOKUP(B1675,منتجات!$A$3:$C$350,2,0),"")</f>
        <v/>
      </c>
      <c r="D1675" s="65" t="str">
        <f>IFERROR(VLOOKUP(B1675,منتجات!$A$3:$C$350,3,0),"")</f>
        <v/>
      </c>
      <c r="E1675" s="65"/>
      <c r="F1675" s="65" t="str">
        <f>IFERROR(INDEX(منتجات!$G$3:$G$350,MATCH(B1675,منتجات!$A$3:$A$115,0)),"")</f>
        <v/>
      </c>
      <c r="G1675" s="65" t="str">
        <f t="shared" si="28"/>
        <v/>
      </c>
      <c r="H1675" s="70"/>
    </row>
    <row r="1676" spans="1:8" x14ac:dyDescent="0.35">
      <c r="A1676" s="62"/>
      <c r="B1676" s="63"/>
      <c r="C1676" s="63" t="str">
        <f>IFERROR(VLOOKUP(B1676,منتجات!$A$3:$C$350,2,0),"")</f>
        <v/>
      </c>
      <c r="D1676" s="63" t="str">
        <f>IFERROR(VLOOKUP(B1676,منتجات!$A$3:$C$350,3,0),"")</f>
        <v/>
      </c>
      <c r="E1676" s="63"/>
      <c r="F1676" s="63" t="str">
        <f>IFERROR(INDEX(منتجات!$G$3:$G$350,MATCH(B1676,منتجات!$A$3:$A$115,0)),"")</f>
        <v/>
      </c>
      <c r="G1676" s="63" t="str">
        <f t="shared" si="28"/>
        <v/>
      </c>
      <c r="H1676" s="69"/>
    </row>
    <row r="1677" spans="1:8" x14ac:dyDescent="0.35">
      <c r="A1677" s="64"/>
      <c r="B1677" s="65"/>
      <c r="C1677" s="65" t="str">
        <f>IFERROR(VLOOKUP(B1677,منتجات!$A$3:$C$350,2,0),"")</f>
        <v/>
      </c>
      <c r="D1677" s="65" t="str">
        <f>IFERROR(VLOOKUP(B1677,منتجات!$A$3:$C$350,3,0),"")</f>
        <v/>
      </c>
      <c r="E1677" s="65"/>
      <c r="F1677" s="65" t="str">
        <f>IFERROR(INDEX(منتجات!$G$3:$G$350,MATCH(B1677,منتجات!$A$3:$A$115,0)),"")</f>
        <v/>
      </c>
      <c r="G1677" s="65" t="str">
        <f t="shared" si="28"/>
        <v/>
      </c>
      <c r="H1677" s="70"/>
    </row>
    <row r="1678" spans="1:8" x14ac:dyDescent="0.35">
      <c r="A1678" s="62"/>
      <c r="B1678" s="63"/>
      <c r="C1678" s="63" t="str">
        <f>IFERROR(VLOOKUP(B1678,منتجات!$A$3:$C$350,2,0),"")</f>
        <v/>
      </c>
      <c r="D1678" s="63" t="str">
        <f>IFERROR(VLOOKUP(B1678,منتجات!$A$3:$C$350,3,0),"")</f>
        <v/>
      </c>
      <c r="E1678" s="63"/>
      <c r="F1678" s="63" t="str">
        <f>IFERROR(INDEX(منتجات!$G$3:$G$350,MATCH(B1678,منتجات!$A$3:$A$115,0)),"")</f>
        <v/>
      </c>
      <c r="G1678" s="63" t="str">
        <f t="shared" si="28"/>
        <v/>
      </c>
      <c r="H1678" s="69"/>
    </row>
    <row r="1679" spans="1:8" x14ac:dyDescent="0.35">
      <c r="A1679" s="64"/>
      <c r="B1679" s="65"/>
      <c r="C1679" s="65" t="str">
        <f>IFERROR(VLOOKUP(B1679,منتجات!$A$3:$C$350,2,0),"")</f>
        <v/>
      </c>
      <c r="D1679" s="65" t="str">
        <f>IFERROR(VLOOKUP(B1679,منتجات!$A$3:$C$350,3,0),"")</f>
        <v/>
      </c>
      <c r="E1679" s="65"/>
      <c r="F1679" s="65" t="str">
        <f>IFERROR(INDEX(منتجات!$G$3:$G$350,MATCH(B1679,منتجات!$A$3:$A$115,0)),"")</f>
        <v/>
      </c>
      <c r="G1679" s="65" t="str">
        <f t="shared" si="28"/>
        <v/>
      </c>
      <c r="H1679" s="70"/>
    </row>
    <row r="1680" spans="1:8" x14ac:dyDescent="0.35">
      <c r="A1680" s="62"/>
      <c r="B1680" s="63"/>
      <c r="C1680" s="63" t="str">
        <f>IFERROR(VLOOKUP(B1680,منتجات!$A$3:$C$350,2,0),"")</f>
        <v/>
      </c>
      <c r="D1680" s="63" t="str">
        <f>IFERROR(VLOOKUP(B1680,منتجات!$A$3:$C$350,3,0),"")</f>
        <v/>
      </c>
      <c r="E1680" s="63"/>
      <c r="F1680" s="63" t="str">
        <f>IFERROR(INDEX(منتجات!$G$3:$G$350,MATCH(B1680,منتجات!$A$3:$A$115,0)),"")</f>
        <v/>
      </c>
      <c r="G1680" s="63" t="str">
        <f t="shared" si="28"/>
        <v/>
      </c>
      <c r="H1680" s="69"/>
    </row>
    <row r="1681" spans="1:8" x14ac:dyDescent="0.35">
      <c r="A1681" s="64"/>
      <c r="B1681" s="65"/>
      <c r="C1681" s="65" t="str">
        <f>IFERROR(VLOOKUP(B1681,منتجات!$A$3:$C$350,2,0),"")</f>
        <v/>
      </c>
      <c r="D1681" s="65" t="str">
        <f>IFERROR(VLOOKUP(B1681,منتجات!$A$3:$C$350,3,0),"")</f>
        <v/>
      </c>
      <c r="E1681" s="65"/>
      <c r="F1681" s="65" t="str">
        <f>IFERROR(INDEX(منتجات!$G$3:$G$350,MATCH(B1681,منتجات!$A$3:$A$115,0)),"")</f>
        <v/>
      </c>
      <c r="G1681" s="65" t="str">
        <f t="shared" si="28"/>
        <v/>
      </c>
      <c r="H1681" s="70"/>
    </row>
    <row r="1682" spans="1:8" x14ac:dyDescent="0.35">
      <c r="A1682" s="62"/>
      <c r="B1682" s="63"/>
      <c r="C1682" s="63" t="str">
        <f>IFERROR(VLOOKUP(B1682,منتجات!$A$3:$C$350,2,0),"")</f>
        <v/>
      </c>
      <c r="D1682" s="63" t="str">
        <f>IFERROR(VLOOKUP(B1682,منتجات!$A$3:$C$350,3,0),"")</f>
        <v/>
      </c>
      <c r="E1682" s="63"/>
      <c r="F1682" s="63" t="str">
        <f>IFERROR(INDEX(منتجات!$G$3:$G$350,MATCH(B1682,منتجات!$A$3:$A$115,0)),"")</f>
        <v/>
      </c>
      <c r="G1682" s="63" t="str">
        <f t="shared" si="28"/>
        <v/>
      </c>
      <c r="H1682" s="69"/>
    </row>
    <row r="1683" spans="1:8" x14ac:dyDescent="0.35">
      <c r="A1683" s="64"/>
      <c r="B1683" s="65"/>
      <c r="C1683" s="65" t="str">
        <f>IFERROR(VLOOKUP(B1683,منتجات!$A$3:$C$350,2,0),"")</f>
        <v/>
      </c>
      <c r="D1683" s="65" t="str">
        <f>IFERROR(VLOOKUP(B1683,منتجات!$A$3:$C$350,3,0),"")</f>
        <v/>
      </c>
      <c r="E1683" s="65"/>
      <c r="F1683" s="65" t="str">
        <f>IFERROR(INDEX(منتجات!$G$3:$G$350,MATCH(B1683,منتجات!$A$3:$A$115,0)),"")</f>
        <v/>
      </c>
      <c r="G1683" s="65" t="str">
        <f t="shared" si="28"/>
        <v/>
      </c>
      <c r="H1683" s="70"/>
    </row>
    <row r="1684" spans="1:8" x14ac:dyDescent="0.35">
      <c r="A1684" s="62"/>
      <c r="B1684" s="63"/>
      <c r="C1684" s="63" t="str">
        <f>IFERROR(VLOOKUP(B1684,منتجات!$A$3:$C$350,2,0),"")</f>
        <v/>
      </c>
      <c r="D1684" s="63" t="str">
        <f>IFERROR(VLOOKUP(B1684,منتجات!$A$3:$C$350,3,0),"")</f>
        <v/>
      </c>
      <c r="E1684" s="63"/>
      <c r="F1684" s="63" t="str">
        <f>IFERROR(INDEX(منتجات!$G$3:$G$350,MATCH(B1684,منتجات!$A$3:$A$115,0)),"")</f>
        <v/>
      </c>
      <c r="G1684" s="63" t="str">
        <f t="shared" si="28"/>
        <v/>
      </c>
      <c r="H1684" s="69"/>
    </row>
    <row r="1685" spans="1:8" x14ac:dyDescent="0.35">
      <c r="A1685" s="64"/>
      <c r="B1685" s="65"/>
      <c r="C1685" s="65" t="str">
        <f>IFERROR(VLOOKUP(B1685,منتجات!$A$3:$C$350,2,0),"")</f>
        <v/>
      </c>
      <c r="D1685" s="65" t="str">
        <f>IFERROR(VLOOKUP(B1685,منتجات!$A$3:$C$350,3,0),"")</f>
        <v/>
      </c>
      <c r="E1685" s="65"/>
      <c r="F1685" s="65" t="str">
        <f>IFERROR(INDEX(منتجات!$G$3:$G$350,MATCH(B1685,منتجات!$A$3:$A$115,0)),"")</f>
        <v/>
      </c>
      <c r="G1685" s="65" t="str">
        <f t="shared" si="28"/>
        <v/>
      </c>
      <c r="H1685" s="70"/>
    </row>
    <row r="1686" spans="1:8" x14ac:dyDescent="0.35">
      <c r="A1686" s="62"/>
      <c r="B1686" s="63"/>
      <c r="C1686" s="63" t="str">
        <f>IFERROR(VLOOKUP(B1686,منتجات!$A$3:$C$350,2,0),"")</f>
        <v/>
      </c>
      <c r="D1686" s="63" t="str">
        <f>IFERROR(VLOOKUP(B1686,منتجات!$A$3:$C$350,3,0),"")</f>
        <v/>
      </c>
      <c r="E1686" s="63"/>
      <c r="F1686" s="63" t="str">
        <f>IFERROR(INDEX(منتجات!$G$3:$G$350,MATCH(B1686,منتجات!$A$3:$A$115,0)),"")</f>
        <v/>
      </c>
      <c r="G1686" s="63" t="str">
        <f t="shared" si="28"/>
        <v/>
      </c>
      <c r="H1686" s="69"/>
    </row>
    <row r="1687" spans="1:8" x14ac:dyDescent="0.35">
      <c r="A1687" s="64"/>
      <c r="B1687" s="65"/>
      <c r="C1687" s="65" t="str">
        <f>IFERROR(VLOOKUP(B1687,منتجات!$A$3:$C$350,2,0),"")</f>
        <v/>
      </c>
      <c r="D1687" s="65" t="str">
        <f>IFERROR(VLOOKUP(B1687,منتجات!$A$3:$C$350,3,0),"")</f>
        <v/>
      </c>
      <c r="E1687" s="65"/>
      <c r="F1687" s="65" t="str">
        <f>IFERROR(INDEX(منتجات!$G$3:$G$350,MATCH(B1687,منتجات!$A$3:$A$115,0)),"")</f>
        <v/>
      </c>
      <c r="G1687" s="65" t="str">
        <f t="shared" si="28"/>
        <v/>
      </c>
      <c r="H1687" s="70"/>
    </row>
    <row r="1688" spans="1:8" x14ac:dyDescent="0.35">
      <c r="A1688" s="62"/>
      <c r="B1688" s="63"/>
      <c r="C1688" s="63" t="str">
        <f>IFERROR(VLOOKUP(B1688,منتجات!$A$3:$C$350,2,0),"")</f>
        <v/>
      </c>
      <c r="D1688" s="63" t="str">
        <f>IFERROR(VLOOKUP(B1688,منتجات!$A$3:$C$350,3,0),"")</f>
        <v/>
      </c>
      <c r="E1688" s="63"/>
      <c r="F1688" s="63" t="str">
        <f>IFERROR(INDEX(منتجات!$G$3:$G$350,MATCH(B1688,منتجات!$A$3:$A$115,0)),"")</f>
        <v/>
      </c>
      <c r="G1688" s="63" t="str">
        <f t="shared" si="28"/>
        <v/>
      </c>
      <c r="H1688" s="69"/>
    </row>
    <row r="1689" spans="1:8" x14ac:dyDescent="0.35">
      <c r="A1689" s="64"/>
      <c r="B1689" s="65"/>
      <c r="C1689" s="65" t="str">
        <f>IFERROR(VLOOKUP(B1689,منتجات!$A$3:$C$350,2,0),"")</f>
        <v/>
      </c>
      <c r="D1689" s="65" t="str">
        <f>IFERROR(VLOOKUP(B1689,منتجات!$A$3:$C$350,3,0),"")</f>
        <v/>
      </c>
      <c r="E1689" s="65"/>
      <c r="F1689" s="65" t="str">
        <f>IFERROR(INDEX(منتجات!$G$3:$G$350,MATCH(B1689,منتجات!$A$3:$A$115,0)),"")</f>
        <v/>
      </c>
      <c r="G1689" s="65" t="str">
        <f t="shared" si="28"/>
        <v/>
      </c>
      <c r="H1689" s="70"/>
    </row>
    <row r="1690" spans="1:8" x14ac:dyDescent="0.35">
      <c r="A1690" s="62"/>
      <c r="B1690" s="63"/>
      <c r="C1690" s="63" t="str">
        <f>IFERROR(VLOOKUP(B1690,منتجات!$A$3:$C$350,2,0),"")</f>
        <v/>
      </c>
      <c r="D1690" s="63" t="str">
        <f>IFERROR(VLOOKUP(B1690,منتجات!$A$3:$C$350,3,0),"")</f>
        <v/>
      </c>
      <c r="E1690" s="63"/>
      <c r="F1690" s="63" t="str">
        <f>IFERROR(INDEX(منتجات!$G$3:$G$350,MATCH(B1690,منتجات!$A$3:$A$115,0)),"")</f>
        <v/>
      </c>
      <c r="G1690" s="63" t="str">
        <f t="shared" si="28"/>
        <v/>
      </c>
      <c r="H1690" s="69"/>
    </row>
    <row r="1691" spans="1:8" x14ac:dyDescent="0.35">
      <c r="A1691" s="64"/>
      <c r="B1691" s="65"/>
      <c r="C1691" s="65" t="str">
        <f>IFERROR(VLOOKUP(B1691,منتجات!$A$3:$C$350,2,0),"")</f>
        <v/>
      </c>
      <c r="D1691" s="65" t="str">
        <f>IFERROR(VLOOKUP(B1691,منتجات!$A$3:$C$350,3,0),"")</f>
        <v/>
      </c>
      <c r="E1691" s="65"/>
      <c r="F1691" s="65" t="str">
        <f>IFERROR(INDEX(منتجات!$G$3:$G$350,MATCH(B1691,منتجات!$A$3:$A$115,0)),"")</f>
        <v/>
      </c>
      <c r="G1691" s="65" t="str">
        <f t="shared" si="28"/>
        <v/>
      </c>
      <c r="H1691" s="70"/>
    </row>
    <row r="1692" spans="1:8" x14ac:dyDescent="0.35">
      <c r="A1692" s="62"/>
      <c r="B1692" s="63"/>
      <c r="C1692" s="63" t="str">
        <f>IFERROR(VLOOKUP(B1692,منتجات!$A$3:$C$350,2,0),"")</f>
        <v/>
      </c>
      <c r="D1692" s="63" t="str">
        <f>IFERROR(VLOOKUP(B1692,منتجات!$A$3:$C$350,3,0),"")</f>
        <v/>
      </c>
      <c r="E1692" s="63"/>
      <c r="F1692" s="63" t="str">
        <f>IFERROR(INDEX(منتجات!$G$3:$G$350,MATCH(B1692,منتجات!$A$3:$A$115,0)),"")</f>
        <v/>
      </c>
      <c r="G1692" s="63" t="str">
        <f t="shared" si="28"/>
        <v/>
      </c>
      <c r="H1692" s="69"/>
    </row>
    <row r="1693" spans="1:8" x14ac:dyDescent="0.35">
      <c r="A1693" s="64"/>
      <c r="B1693" s="65"/>
      <c r="C1693" s="65" t="str">
        <f>IFERROR(VLOOKUP(B1693,منتجات!$A$3:$C$350,2,0),"")</f>
        <v/>
      </c>
      <c r="D1693" s="65" t="str">
        <f>IFERROR(VLOOKUP(B1693,منتجات!$A$3:$C$350,3,0),"")</f>
        <v/>
      </c>
      <c r="E1693" s="65"/>
      <c r="F1693" s="65" t="str">
        <f>IFERROR(INDEX(منتجات!$G$3:$G$350,MATCH(B1693,منتجات!$A$3:$A$115,0)),"")</f>
        <v/>
      </c>
      <c r="G1693" s="65" t="str">
        <f t="shared" si="28"/>
        <v/>
      </c>
      <c r="H1693" s="70"/>
    </row>
    <row r="1694" spans="1:8" x14ac:dyDescent="0.35">
      <c r="A1694" s="62"/>
      <c r="B1694" s="63"/>
      <c r="C1694" s="63" t="str">
        <f>IFERROR(VLOOKUP(B1694,منتجات!$A$3:$C$350,2,0),"")</f>
        <v/>
      </c>
      <c r="D1694" s="63" t="str">
        <f>IFERROR(VLOOKUP(B1694,منتجات!$A$3:$C$350,3,0),"")</f>
        <v/>
      </c>
      <c r="E1694" s="63"/>
      <c r="F1694" s="63" t="str">
        <f>IFERROR(INDEX(منتجات!$G$3:$G$350,MATCH(B1694,منتجات!$A$3:$A$115,0)),"")</f>
        <v/>
      </c>
      <c r="G1694" s="63" t="str">
        <f t="shared" si="28"/>
        <v/>
      </c>
      <c r="H1694" s="69"/>
    </row>
    <row r="1695" spans="1:8" x14ac:dyDescent="0.35">
      <c r="A1695" s="64"/>
      <c r="B1695" s="65"/>
      <c r="C1695" s="65" t="str">
        <f>IFERROR(VLOOKUP(B1695,منتجات!$A$3:$C$350,2,0),"")</f>
        <v/>
      </c>
      <c r="D1695" s="65" t="str">
        <f>IFERROR(VLOOKUP(B1695,منتجات!$A$3:$C$350,3,0),"")</f>
        <v/>
      </c>
      <c r="E1695" s="65"/>
      <c r="F1695" s="65" t="str">
        <f>IFERROR(INDEX(منتجات!$G$3:$G$350,MATCH(B1695,منتجات!$A$3:$A$115,0)),"")</f>
        <v/>
      </c>
      <c r="G1695" s="65" t="str">
        <f t="shared" si="28"/>
        <v/>
      </c>
      <c r="H1695" s="70"/>
    </row>
    <row r="1696" spans="1:8" x14ac:dyDescent="0.35">
      <c r="A1696" s="62"/>
      <c r="B1696" s="63"/>
      <c r="C1696" s="63" t="str">
        <f>IFERROR(VLOOKUP(B1696,منتجات!$A$3:$C$350,2,0),"")</f>
        <v/>
      </c>
      <c r="D1696" s="63" t="str">
        <f>IFERROR(VLOOKUP(B1696,منتجات!$A$3:$C$350,3,0),"")</f>
        <v/>
      </c>
      <c r="E1696" s="63"/>
      <c r="F1696" s="63" t="str">
        <f>IFERROR(INDEX(منتجات!$G$3:$G$350,MATCH(B1696,منتجات!$A$3:$A$115,0)),"")</f>
        <v/>
      </c>
      <c r="G1696" s="63" t="str">
        <f t="shared" si="28"/>
        <v/>
      </c>
      <c r="H1696" s="69"/>
    </row>
    <row r="1697" spans="1:8" x14ac:dyDescent="0.35">
      <c r="A1697" s="64"/>
      <c r="B1697" s="65"/>
      <c r="C1697" s="65" t="str">
        <f>IFERROR(VLOOKUP(B1697,منتجات!$A$3:$C$350,2,0),"")</f>
        <v/>
      </c>
      <c r="D1697" s="65" t="str">
        <f>IFERROR(VLOOKUP(B1697,منتجات!$A$3:$C$350,3,0),"")</f>
        <v/>
      </c>
      <c r="E1697" s="65"/>
      <c r="F1697" s="65" t="str">
        <f>IFERROR(INDEX(منتجات!$G$3:$G$350,MATCH(B1697,منتجات!$A$3:$A$115,0)),"")</f>
        <v/>
      </c>
      <c r="G1697" s="65" t="str">
        <f t="shared" si="28"/>
        <v/>
      </c>
      <c r="H1697" s="70"/>
    </row>
    <row r="1698" spans="1:8" x14ac:dyDescent="0.35">
      <c r="A1698" s="62"/>
      <c r="B1698" s="63"/>
      <c r="C1698" s="63" t="str">
        <f>IFERROR(VLOOKUP(B1698,منتجات!$A$3:$C$350,2,0),"")</f>
        <v/>
      </c>
      <c r="D1698" s="63" t="str">
        <f>IFERROR(VLOOKUP(B1698,منتجات!$A$3:$C$350,3,0),"")</f>
        <v/>
      </c>
      <c r="E1698" s="63"/>
      <c r="F1698" s="63" t="str">
        <f>IFERROR(INDEX(منتجات!$G$3:$G$350,MATCH(B1698,منتجات!$A$3:$A$115,0)),"")</f>
        <v/>
      </c>
      <c r="G1698" s="63" t="str">
        <f t="shared" si="28"/>
        <v/>
      </c>
      <c r="H1698" s="69"/>
    </row>
    <row r="1699" spans="1:8" x14ac:dyDescent="0.35">
      <c r="A1699" s="64"/>
      <c r="B1699" s="65"/>
      <c r="C1699" s="65" t="str">
        <f>IFERROR(VLOOKUP(B1699,منتجات!$A$3:$C$350,2,0),"")</f>
        <v/>
      </c>
      <c r="D1699" s="65" t="str">
        <f>IFERROR(VLOOKUP(B1699,منتجات!$A$3:$C$350,3,0),"")</f>
        <v/>
      </c>
      <c r="E1699" s="65"/>
      <c r="F1699" s="65" t="str">
        <f>IFERROR(INDEX(منتجات!$G$3:$G$350,MATCH(B1699,منتجات!$A$3:$A$115,0)),"")</f>
        <v/>
      </c>
      <c r="G1699" s="65" t="str">
        <f t="shared" si="28"/>
        <v/>
      </c>
      <c r="H1699" s="70"/>
    </row>
    <row r="1700" spans="1:8" x14ac:dyDescent="0.35">
      <c r="A1700" s="62"/>
      <c r="B1700" s="63"/>
      <c r="C1700" s="63" t="str">
        <f>IFERROR(VLOOKUP(B1700,منتجات!$A$3:$C$350,2,0),"")</f>
        <v/>
      </c>
      <c r="D1700" s="63" t="str">
        <f>IFERROR(VLOOKUP(B1700,منتجات!$A$3:$C$350,3,0),"")</f>
        <v/>
      </c>
      <c r="E1700" s="63"/>
      <c r="F1700" s="63" t="str">
        <f>IFERROR(INDEX(منتجات!$G$3:$G$350,MATCH(B1700,منتجات!$A$3:$A$115,0)),"")</f>
        <v/>
      </c>
      <c r="G1700" s="63" t="str">
        <f t="shared" si="28"/>
        <v/>
      </c>
      <c r="H1700" s="69"/>
    </row>
    <row r="1701" spans="1:8" x14ac:dyDescent="0.35">
      <c r="A1701" s="64"/>
      <c r="B1701" s="65"/>
      <c r="C1701" s="65" t="str">
        <f>IFERROR(VLOOKUP(B1701,منتجات!$A$3:$C$350,2,0),"")</f>
        <v/>
      </c>
      <c r="D1701" s="65" t="str">
        <f>IFERROR(VLOOKUP(B1701,منتجات!$A$3:$C$350,3,0),"")</f>
        <v/>
      </c>
      <c r="E1701" s="65"/>
      <c r="F1701" s="65" t="str">
        <f>IFERROR(INDEX(منتجات!$G$3:$G$350,MATCH(B1701,منتجات!$A$3:$A$115,0)),"")</f>
        <v/>
      </c>
      <c r="G1701" s="65" t="str">
        <f t="shared" si="28"/>
        <v/>
      </c>
      <c r="H1701" s="70"/>
    </row>
    <row r="1702" spans="1:8" x14ac:dyDescent="0.35">
      <c r="A1702" s="62"/>
      <c r="B1702" s="63"/>
      <c r="C1702" s="63" t="str">
        <f>IFERROR(VLOOKUP(B1702,منتجات!$A$3:$C$350,2,0),"")</f>
        <v/>
      </c>
      <c r="D1702" s="63" t="str">
        <f>IFERROR(VLOOKUP(B1702,منتجات!$A$3:$C$350,3,0),"")</f>
        <v/>
      </c>
      <c r="E1702" s="63"/>
      <c r="F1702" s="63" t="str">
        <f>IFERROR(INDEX(منتجات!$G$3:$G$350,MATCH(B1702,منتجات!$A$3:$A$115,0)),"")</f>
        <v/>
      </c>
      <c r="G1702" s="63" t="str">
        <f t="shared" si="28"/>
        <v/>
      </c>
      <c r="H1702" s="69"/>
    </row>
    <row r="1703" spans="1:8" x14ac:dyDescent="0.35">
      <c r="A1703" s="64"/>
      <c r="B1703" s="65"/>
      <c r="C1703" s="65" t="str">
        <f>IFERROR(VLOOKUP(B1703,منتجات!$A$3:$C$350,2,0),"")</f>
        <v/>
      </c>
      <c r="D1703" s="65" t="str">
        <f>IFERROR(VLOOKUP(B1703,منتجات!$A$3:$C$350,3,0),"")</f>
        <v/>
      </c>
      <c r="E1703" s="65"/>
      <c r="F1703" s="65" t="str">
        <f>IFERROR(INDEX(منتجات!$G$3:$G$350,MATCH(B1703,منتجات!$A$3:$A$115,0)),"")</f>
        <v/>
      </c>
      <c r="G1703" s="65" t="str">
        <f t="shared" si="28"/>
        <v/>
      </c>
      <c r="H1703" s="70"/>
    </row>
    <row r="1704" spans="1:8" x14ac:dyDescent="0.35">
      <c r="A1704" s="62"/>
      <c r="B1704" s="63"/>
      <c r="C1704" s="63" t="str">
        <f>IFERROR(VLOOKUP(B1704,منتجات!$A$3:$C$350,2,0),"")</f>
        <v/>
      </c>
      <c r="D1704" s="63" t="str">
        <f>IFERROR(VLOOKUP(B1704,منتجات!$A$3:$C$350,3,0),"")</f>
        <v/>
      </c>
      <c r="E1704" s="63"/>
      <c r="F1704" s="63" t="str">
        <f>IFERROR(INDEX(منتجات!$G$3:$G$350,MATCH(B1704,منتجات!$A$3:$A$115,0)),"")</f>
        <v/>
      </c>
      <c r="G1704" s="63" t="str">
        <f t="shared" si="28"/>
        <v/>
      </c>
      <c r="H1704" s="69"/>
    </row>
    <row r="1705" spans="1:8" x14ac:dyDescent="0.35">
      <c r="A1705" s="64"/>
      <c r="B1705" s="65"/>
      <c r="C1705" s="65" t="str">
        <f>IFERROR(VLOOKUP(B1705,منتجات!$A$3:$C$350,2,0),"")</f>
        <v/>
      </c>
      <c r="D1705" s="65" t="str">
        <f>IFERROR(VLOOKUP(B1705,منتجات!$A$3:$C$350,3,0),"")</f>
        <v/>
      </c>
      <c r="E1705" s="65"/>
      <c r="F1705" s="65" t="str">
        <f>IFERROR(INDEX(منتجات!$G$3:$G$350,MATCH(B1705,منتجات!$A$3:$A$115,0)),"")</f>
        <v/>
      </c>
      <c r="G1705" s="65" t="str">
        <f t="shared" si="28"/>
        <v/>
      </c>
      <c r="H1705" s="70"/>
    </row>
    <row r="1706" spans="1:8" x14ac:dyDescent="0.35">
      <c r="A1706" s="62"/>
      <c r="B1706" s="63"/>
      <c r="C1706" s="63" t="str">
        <f>IFERROR(VLOOKUP(B1706,منتجات!$A$3:$C$350,2,0),"")</f>
        <v/>
      </c>
      <c r="D1706" s="63" t="str">
        <f>IFERROR(VLOOKUP(B1706,منتجات!$A$3:$C$350,3,0),"")</f>
        <v/>
      </c>
      <c r="E1706" s="63"/>
      <c r="F1706" s="63" t="str">
        <f>IFERROR(INDEX(منتجات!$G$3:$G$350,MATCH(B1706,منتجات!$A$3:$A$115,0)),"")</f>
        <v/>
      </c>
      <c r="G1706" s="63" t="str">
        <f t="shared" si="28"/>
        <v/>
      </c>
      <c r="H1706" s="69"/>
    </row>
    <row r="1707" spans="1:8" x14ac:dyDescent="0.35">
      <c r="A1707" s="64"/>
      <c r="B1707" s="65"/>
      <c r="C1707" s="65" t="str">
        <f>IFERROR(VLOOKUP(B1707,منتجات!$A$3:$C$350,2,0),"")</f>
        <v/>
      </c>
      <c r="D1707" s="65" t="str">
        <f>IFERROR(VLOOKUP(B1707,منتجات!$A$3:$C$350,3,0),"")</f>
        <v/>
      </c>
      <c r="E1707" s="65"/>
      <c r="F1707" s="65" t="str">
        <f>IFERROR(INDEX(منتجات!$G$3:$G$350,MATCH(B1707,منتجات!$A$3:$A$115,0)),"")</f>
        <v/>
      </c>
      <c r="G1707" s="65" t="str">
        <f t="shared" si="28"/>
        <v/>
      </c>
      <c r="H1707" s="70"/>
    </row>
    <row r="1708" spans="1:8" x14ac:dyDescent="0.35">
      <c r="A1708" s="62"/>
      <c r="B1708" s="63"/>
      <c r="C1708" s="63" t="str">
        <f>IFERROR(VLOOKUP(B1708,منتجات!$A$3:$C$350,2,0),"")</f>
        <v/>
      </c>
      <c r="D1708" s="63" t="str">
        <f>IFERROR(VLOOKUP(B1708,منتجات!$A$3:$C$350,3,0),"")</f>
        <v/>
      </c>
      <c r="E1708" s="63"/>
      <c r="F1708" s="63" t="str">
        <f>IFERROR(INDEX(منتجات!$G$3:$G$350,MATCH(B1708,منتجات!$A$3:$A$115,0)),"")</f>
        <v/>
      </c>
      <c r="G1708" s="63" t="str">
        <f t="shared" si="28"/>
        <v/>
      </c>
      <c r="H1708" s="69"/>
    </row>
    <row r="1709" spans="1:8" x14ac:dyDescent="0.35">
      <c r="A1709" s="64"/>
      <c r="B1709" s="65"/>
      <c r="C1709" s="65" t="str">
        <f>IFERROR(VLOOKUP(B1709,منتجات!$A$3:$C$350,2,0),"")</f>
        <v/>
      </c>
      <c r="D1709" s="65" t="str">
        <f>IFERROR(VLOOKUP(B1709,منتجات!$A$3:$C$350,3,0),"")</f>
        <v/>
      </c>
      <c r="E1709" s="65"/>
      <c r="F1709" s="65" t="str">
        <f>IFERROR(INDEX(منتجات!$G$3:$G$350,MATCH(B1709,منتجات!$A$3:$A$115,0)),"")</f>
        <v/>
      </c>
      <c r="G1709" s="65" t="str">
        <f t="shared" si="28"/>
        <v/>
      </c>
      <c r="H1709" s="70"/>
    </row>
    <row r="1710" spans="1:8" x14ac:dyDescent="0.35">
      <c r="A1710" s="62"/>
      <c r="B1710" s="63"/>
      <c r="C1710" s="63" t="str">
        <f>IFERROR(VLOOKUP(B1710,منتجات!$A$3:$C$350,2,0),"")</f>
        <v/>
      </c>
      <c r="D1710" s="63" t="str">
        <f>IFERROR(VLOOKUP(B1710,منتجات!$A$3:$C$350,3,0),"")</f>
        <v/>
      </c>
      <c r="E1710" s="63"/>
      <c r="F1710" s="63" t="str">
        <f>IFERROR(INDEX(منتجات!$G$3:$G$350,MATCH(B1710,منتجات!$A$3:$A$115,0)),"")</f>
        <v/>
      </c>
      <c r="G1710" s="63" t="str">
        <f t="shared" si="28"/>
        <v/>
      </c>
      <c r="H1710" s="69"/>
    </row>
    <row r="1711" spans="1:8" x14ac:dyDescent="0.35">
      <c r="A1711" s="64"/>
      <c r="B1711" s="65"/>
      <c r="C1711" s="65" t="str">
        <f>IFERROR(VLOOKUP(B1711,منتجات!$A$3:$C$350,2,0),"")</f>
        <v/>
      </c>
      <c r="D1711" s="65" t="str">
        <f>IFERROR(VLOOKUP(B1711,منتجات!$A$3:$C$350,3,0),"")</f>
        <v/>
      </c>
      <c r="E1711" s="65"/>
      <c r="F1711" s="65" t="str">
        <f>IFERROR(INDEX(منتجات!$G$3:$G$350,MATCH(B1711,منتجات!$A$3:$A$115,0)),"")</f>
        <v/>
      </c>
      <c r="G1711" s="65" t="str">
        <f t="shared" si="28"/>
        <v/>
      </c>
      <c r="H1711" s="70"/>
    </row>
    <row r="1712" spans="1:8" x14ac:dyDescent="0.35">
      <c r="A1712" s="62"/>
      <c r="B1712" s="63"/>
      <c r="C1712" s="63" t="str">
        <f>IFERROR(VLOOKUP(B1712,منتجات!$A$3:$C$350,2,0),"")</f>
        <v/>
      </c>
      <c r="D1712" s="63" t="str">
        <f>IFERROR(VLOOKUP(B1712,منتجات!$A$3:$C$350,3,0),"")</f>
        <v/>
      </c>
      <c r="E1712" s="63"/>
      <c r="F1712" s="63" t="str">
        <f>IFERROR(INDEX(منتجات!$G$3:$G$350,MATCH(B1712,منتجات!$A$3:$A$115,0)),"")</f>
        <v/>
      </c>
      <c r="G1712" s="63" t="str">
        <f t="shared" si="28"/>
        <v/>
      </c>
      <c r="H1712" s="69"/>
    </row>
    <row r="1713" spans="1:8" x14ac:dyDescent="0.35">
      <c r="A1713" s="64"/>
      <c r="B1713" s="65"/>
      <c r="C1713" s="65" t="str">
        <f>IFERROR(VLOOKUP(B1713,منتجات!$A$3:$C$350,2,0),"")</f>
        <v/>
      </c>
      <c r="D1713" s="65" t="str">
        <f>IFERROR(VLOOKUP(B1713,منتجات!$A$3:$C$350,3,0),"")</f>
        <v/>
      </c>
      <c r="E1713" s="65"/>
      <c r="F1713" s="65" t="str">
        <f>IFERROR(INDEX(منتجات!$G$3:$G$350,MATCH(B1713,منتجات!$A$3:$A$115,0)),"")</f>
        <v/>
      </c>
      <c r="G1713" s="65" t="str">
        <f t="shared" si="28"/>
        <v/>
      </c>
      <c r="H1713" s="70"/>
    </row>
    <row r="1714" spans="1:8" x14ac:dyDescent="0.35">
      <c r="A1714" s="62"/>
      <c r="B1714" s="63"/>
      <c r="C1714" s="63" t="str">
        <f>IFERROR(VLOOKUP(B1714,منتجات!$A$3:$C$350,2,0),"")</f>
        <v/>
      </c>
      <c r="D1714" s="63" t="str">
        <f>IFERROR(VLOOKUP(B1714,منتجات!$A$3:$C$350,3,0),"")</f>
        <v/>
      </c>
      <c r="E1714" s="63"/>
      <c r="F1714" s="63" t="str">
        <f>IFERROR(INDEX(منتجات!$G$3:$G$350,MATCH(B1714,منتجات!$A$3:$A$115,0)),"")</f>
        <v/>
      </c>
      <c r="G1714" s="63" t="str">
        <f t="shared" si="28"/>
        <v/>
      </c>
      <c r="H1714" s="69"/>
    </row>
    <row r="1715" spans="1:8" x14ac:dyDescent="0.35">
      <c r="A1715" s="64"/>
      <c r="B1715" s="65"/>
      <c r="C1715" s="65" t="str">
        <f>IFERROR(VLOOKUP(B1715,منتجات!$A$3:$C$350,2,0),"")</f>
        <v/>
      </c>
      <c r="D1715" s="65" t="str">
        <f>IFERROR(VLOOKUP(B1715,منتجات!$A$3:$C$350,3,0),"")</f>
        <v/>
      </c>
      <c r="E1715" s="65"/>
      <c r="F1715" s="65" t="str">
        <f>IFERROR(INDEX(منتجات!$G$3:$G$350,MATCH(B1715,منتجات!$A$3:$A$115,0)),"")</f>
        <v/>
      </c>
      <c r="G1715" s="65" t="str">
        <f t="shared" si="28"/>
        <v/>
      </c>
      <c r="H1715" s="70"/>
    </row>
    <row r="1716" spans="1:8" x14ac:dyDescent="0.35">
      <c r="A1716" s="62"/>
      <c r="B1716" s="63"/>
      <c r="C1716" s="63" t="str">
        <f>IFERROR(VLOOKUP(B1716,منتجات!$A$3:$C$350,2,0),"")</f>
        <v/>
      </c>
      <c r="D1716" s="63" t="str">
        <f>IFERROR(VLOOKUP(B1716,منتجات!$A$3:$C$350,3,0),"")</f>
        <v/>
      </c>
      <c r="E1716" s="63"/>
      <c r="F1716" s="63" t="str">
        <f>IFERROR(INDEX(منتجات!$G$3:$G$350,MATCH(B1716,منتجات!$A$3:$A$115,0)),"")</f>
        <v/>
      </c>
      <c r="G1716" s="63" t="str">
        <f t="shared" si="28"/>
        <v/>
      </c>
      <c r="H1716" s="69"/>
    </row>
    <row r="1717" spans="1:8" x14ac:dyDescent="0.35">
      <c r="A1717" s="64"/>
      <c r="B1717" s="65"/>
      <c r="C1717" s="65" t="str">
        <f>IFERROR(VLOOKUP(B1717,منتجات!$A$3:$C$350,2,0),"")</f>
        <v/>
      </c>
      <c r="D1717" s="65" t="str">
        <f>IFERROR(VLOOKUP(B1717,منتجات!$A$3:$C$350,3,0),"")</f>
        <v/>
      </c>
      <c r="E1717" s="65"/>
      <c r="F1717" s="65" t="str">
        <f>IFERROR(INDEX(منتجات!$G$3:$G$350,MATCH(B1717,منتجات!$A$3:$A$115,0)),"")</f>
        <v/>
      </c>
      <c r="G1717" s="65" t="str">
        <f t="shared" si="28"/>
        <v/>
      </c>
      <c r="H1717" s="70"/>
    </row>
    <row r="1718" spans="1:8" x14ac:dyDescent="0.35">
      <c r="A1718" s="62"/>
      <c r="B1718" s="63"/>
      <c r="C1718" s="63" t="str">
        <f>IFERROR(VLOOKUP(B1718,منتجات!$A$3:$C$350,2,0),"")</f>
        <v/>
      </c>
      <c r="D1718" s="63" t="str">
        <f>IFERROR(VLOOKUP(B1718,منتجات!$A$3:$C$350,3,0),"")</f>
        <v/>
      </c>
      <c r="E1718" s="63"/>
      <c r="F1718" s="63" t="str">
        <f>IFERROR(INDEX(منتجات!$G$3:$G$350,MATCH(B1718,منتجات!$A$3:$A$115,0)),"")</f>
        <v/>
      </c>
      <c r="G1718" s="63" t="str">
        <f t="shared" si="28"/>
        <v/>
      </c>
      <c r="H1718" s="69"/>
    </row>
    <row r="1719" spans="1:8" x14ac:dyDescent="0.35">
      <c r="A1719" s="64"/>
      <c r="B1719" s="65"/>
      <c r="C1719" s="65" t="str">
        <f>IFERROR(VLOOKUP(B1719,منتجات!$A$3:$C$350,2,0),"")</f>
        <v/>
      </c>
      <c r="D1719" s="65" t="str">
        <f>IFERROR(VLOOKUP(B1719,منتجات!$A$3:$C$350,3,0),"")</f>
        <v/>
      </c>
      <c r="E1719" s="65"/>
      <c r="F1719" s="65" t="str">
        <f>IFERROR(INDEX(منتجات!$G$3:$G$350,MATCH(B1719,منتجات!$A$3:$A$115,0)),"")</f>
        <v/>
      </c>
      <c r="G1719" s="65" t="str">
        <f t="shared" si="28"/>
        <v/>
      </c>
      <c r="H1719" s="70"/>
    </row>
    <row r="1720" spans="1:8" x14ac:dyDescent="0.35">
      <c r="A1720" s="62"/>
      <c r="B1720" s="63"/>
      <c r="C1720" s="63" t="str">
        <f>IFERROR(VLOOKUP(B1720,منتجات!$A$3:$C$350,2,0),"")</f>
        <v/>
      </c>
      <c r="D1720" s="63" t="str">
        <f>IFERROR(VLOOKUP(B1720,منتجات!$A$3:$C$350,3,0),"")</f>
        <v/>
      </c>
      <c r="E1720" s="63"/>
      <c r="F1720" s="63" t="str">
        <f>IFERROR(INDEX(منتجات!$G$3:$G$350,MATCH(B1720,منتجات!$A$3:$A$115,0)),"")</f>
        <v/>
      </c>
      <c r="G1720" s="63" t="str">
        <f t="shared" si="28"/>
        <v/>
      </c>
      <c r="H1720" s="69"/>
    </row>
    <row r="1721" spans="1:8" x14ac:dyDescent="0.35">
      <c r="A1721" s="64"/>
      <c r="B1721" s="65"/>
      <c r="C1721" s="65" t="str">
        <f>IFERROR(VLOOKUP(B1721,منتجات!$A$3:$C$350,2,0),"")</f>
        <v/>
      </c>
      <c r="D1721" s="65" t="str">
        <f>IFERROR(VLOOKUP(B1721,منتجات!$A$3:$C$350,3,0),"")</f>
        <v/>
      </c>
      <c r="E1721" s="65"/>
      <c r="F1721" s="65" t="str">
        <f>IFERROR(INDEX(منتجات!$G$3:$G$350,MATCH(B1721,منتجات!$A$3:$A$115,0)),"")</f>
        <v/>
      </c>
      <c r="G1721" s="65" t="str">
        <f t="shared" si="28"/>
        <v/>
      </c>
      <c r="H1721" s="70"/>
    </row>
    <row r="1722" spans="1:8" x14ac:dyDescent="0.35">
      <c r="A1722" s="62"/>
      <c r="B1722" s="63"/>
      <c r="C1722" s="63" t="str">
        <f>IFERROR(VLOOKUP(B1722,منتجات!$A$3:$C$350,2,0),"")</f>
        <v/>
      </c>
      <c r="D1722" s="63" t="str">
        <f>IFERROR(VLOOKUP(B1722,منتجات!$A$3:$C$350,3,0),"")</f>
        <v/>
      </c>
      <c r="E1722" s="63"/>
      <c r="F1722" s="63" t="str">
        <f>IFERROR(INDEX(منتجات!$G$3:$G$350,MATCH(B1722,منتجات!$A$3:$A$115,0)),"")</f>
        <v/>
      </c>
      <c r="G1722" s="63" t="str">
        <f t="shared" si="28"/>
        <v/>
      </c>
      <c r="H1722" s="69"/>
    </row>
    <row r="1723" spans="1:8" x14ac:dyDescent="0.35">
      <c r="A1723" s="64"/>
      <c r="B1723" s="65"/>
      <c r="C1723" s="65" t="str">
        <f>IFERROR(VLOOKUP(B1723,منتجات!$A$3:$C$350,2,0),"")</f>
        <v/>
      </c>
      <c r="D1723" s="65" t="str">
        <f>IFERROR(VLOOKUP(B1723,منتجات!$A$3:$C$350,3,0),"")</f>
        <v/>
      </c>
      <c r="E1723" s="65"/>
      <c r="F1723" s="65" t="str">
        <f>IFERROR(INDEX(منتجات!$G$3:$G$350,MATCH(B1723,منتجات!$A$3:$A$115,0)),"")</f>
        <v/>
      </c>
      <c r="G1723" s="65" t="str">
        <f t="shared" si="28"/>
        <v/>
      </c>
      <c r="H1723" s="70"/>
    </row>
    <row r="1724" spans="1:8" x14ac:dyDescent="0.35">
      <c r="A1724" s="62"/>
      <c r="B1724" s="63"/>
      <c r="C1724" s="63" t="str">
        <f>IFERROR(VLOOKUP(B1724,منتجات!$A$3:$C$350,2,0),"")</f>
        <v/>
      </c>
      <c r="D1724" s="63" t="str">
        <f>IFERROR(VLOOKUP(B1724,منتجات!$A$3:$C$350,3,0),"")</f>
        <v/>
      </c>
      <c r="E1724" s="63"/>
      <c r="F1724" s="63" t="str">
        <f>IFERROR(INDEX(منتجات!$G$3:$G$350,MATCH(B1724,منتجات!$A$3:$A$115,0)),"")</f>
        <v/>
      </c>
      <c r="G1724" s="63" t="str">
        <f t="shared" si="28"/>
        <v/>
      </c>
      <c r="H1724" s="69"/>
    </row>
    <row r="1725" spans="1:8" x14ac:dyDescent="0.35">
      <c r="A1725" s="64"/>
      <c r="B1725" s="65"/>
      <c r="C1725" s="65" t="str">
        <f>IFERROR(VLOOKUP(B1725,منتجات!$A$3:$C$350,2,0),"")</f>
        <v/>
      </c>
      <c r="D1725" s="65" t="str">
        <f>IFERROR(VLOOKUP(B1725,منتجات!$A$3:$C$350,3,0),"")</f>
        <v/>
      </c>
      <c r="E1725" s="65"/>
      <c r="F1725" s="65" t="str">
        <f>IFERROR(INDEX(منتجات!$G$3:$G$350,MATCH(B1725,منتجات!$A$3:$A$115,0)),"")</f>
        <v/>
      </c>
      <c r="G1725" s="65" t="str">
        <f t="shared" si="28"/>
        <v/>
      </c>
      <c r="H1725" s="70"/>
    </row>
    <row r="1726" spans="1:8" x14ac:dyDescent="0.35">
      <c r="A1726" s="62"/>
      <c r="B1726" s="63"/>
      <c r="C1726" s="63" t="str">
        <f>IFERROR(VLOOKUP(B1726,منتجات!$A$3:$C$350,2,0),"")</f>
        <v/>
      </c>
      <c r="D1726" s="63" t="str">
        <f>IFERROR(VLOOKUP(B1726,منتجات!$A$3:$C$350,3,0),"")</f>
        <v/>
      </c>
      <c r="E1726" s="63"/>
      <c r="F1726" s="63" t="str">
        <f>IFERROR(INDEX(منتجات!$G$3:$G$350,MATCH(B1726,منتجات!$A$3:$A$115,0)),"")</f>
        <v/>
      </c>
      <c r="G1726" s="63" t="str">
        <f t="shared" si="28"/>
        <v/>
      </c>
      <c r="H1726" s="69"/>
    </row>
    <row r="1727" spans="1:8" x14ac:dyDescent="0.35">
      <c r="A1727" s="64"/>
      <c r="B1727" s="65"/>
      <c r="C1727" s="65" t="str">
        <f>IFERROR(VLOOKUP(B1727,منتجات!$A$3:$C$350,2,0),"")</f>
        <v/>
      </c>
      <c r="D1727" s="65" t="str">
        <f>IFERROR(VLOOKUP(B1727,منتجات!$A$3:$C$350,3,0),"")</f>
        <v/>
      </c>
      <c r="E1727" s="65"/>
      <c r="F1727" s="65" t="str">
        <f>IFERROR(INDEX(منتجات!$G$3:$G$350,MATCH(B1727,منتجات!$A$3:$A$115,0)),"")</f>
        <v/>
      </c>
      <c r="G1727" s="65" t="str">
        <f t="shared" si="28"/>
        <v/>
      </c>
      <c r="H1727" s="70"/>
    </row>
    <row r="1728" spans="1:8" x14ac:dyDescent="0.35">
      <c r="A1728" s="62"/>
      <c r="B1728" s="63"/>
      <c r="C1728" s="63" t="str">
        <f>IFERROR(VLOOKUP(B1728,منتجات!$A$3:$C$350,2,0),"")</f>
        <v/>
      </c>
      <c r="D1728" s="63" t="str">
        <f>IFERROR(VLOOKUP(B1728,منتجات!$A$3:$C$350,3,0),"")</f>
        <v/>
      </c>
      <c r="E1728" s="63"/>
      <c r="F1728" s="63" t="str">
        <f>IFERROR(INDEX(منتجات!$G$3:$G$350,MATCH(B1728,منتجات!$A$3:$A$115,0)),"")</f>
        <v/>
      </c>
      <c r="G1728" s="63" t="str">
        <f t="shared" si="28"/>
        <v/>
      </c>
      <c r="H1728" s="69"/>
    </row>
    <row r="1729" spans="1:8" x14ac:dyDescent="0.35">
      <c r="A1729" s="64"/>
      <c r="B1729" s="65"/>
      <c r="C1729" s="65" t="str">
        <f>IFERROR(VLOOKUP(B1729,منتجات!$A$3:$C$350,2,0),"")</f>
        <v/>
      </c>
      <c r="D1729" s="65" t="str">
        <f>IFERROR(VLOOKUP(B1729,منتجات!$A$3:$C$350,3,0),"")</f>
        <v/>
      </c>
      <c r="E1729" s="65"/>
      <c r="F1729" s="65" t="str">
        <f>IFERROR(INDEX(منتجات!$G$3:$G$350,MATCH(B1729,منتجات!$A$3:$A$115,0)),"")</f>
        <v/>
      </c>
      <c r="G1729" s="65" t="str">
        <f t="shared" si="28"/>
        <v/>
      </c>
      <c r="H1729" s="70"/>
    </row>
    <row r="1730" spans="1:8" x14ac:dyDescent="0.35">
      <c r="A1730" s="62"/>
      <c r="B1730" s="63"/>
      <c r="C1730" s="63" t="str">
        <f>IFERROR(VLOOKUP(B1730,منتجات!$A$3:$C$350,2,0),"")</f>
        <v/>
      </c>
      <c r="D1730" s="63" t="str">
        <f>IFERROR(VLOOKUP(B1730,منتجات!$A$3:$C$350,3,0),"")</f>
        <v/>
      </c>
      <c r="E1730" s="63"/>
      <c r="F1730" s="63" t="str">
        <f>IFERROR(INDEX(منتجات!$G$3:$G$350,MATCH(B1730,منتجات!$A$3:$A$115,0)),"")</f>
        <v/>
      </c>
      <c r="G1730" s="63" t="str">
        <f t="shared" si="28"/>
        <v/>
      </c>
      <c r="H1730" s="69"/>
    </row>
    <row r="1731" spans="1:8" x14ac:dyDescent="0.35">
      <c r="A1731" s="64"/>
      <c r="B1731" s="65"/>
      <c r="C1731" s="65" t="str">
        <f>IFERROR(VLOOKUP(B1731,منتجات!$A$3:$C$350,2,0),"")</f>
        <v/>
      </c>
      <c r="D1731" s="65" t="str">
        <f>IFERROR(VLOOKUP(B1731,منتجات!$A$3:$C$350,3,0),"")</f>
        <v/>
      </c>
      <c r="E1731" s="65"/>
      <c r="F1731" s="65" t="str">
        <f>IFERROR(INDEX(منتجات!$G$3:$G$350,MATCH(B1731,منتجات!$A$3:$A$115,0)),"")</f>
        <v/>
      </c>
      <c r="G1731" s="65" t="str">
        <f t="shared" si="28"/>
        <v/>
      </c>
      <c r="H1731" s="70"/>
    </row>
    <row r="1732" spans="1:8" x14ac:dyDescent="0.35">
      <c r="A1732" s="62"/>
      <c r="B1732" s="63"/>
      <c r="C1732" s="63" t="str">
        <f>IFERROR(VLOOKUP(B1732,منتجات!$A$3:$C$350,2,0),"")</f>
        <v/>
      </c>
      <c r="D1732" s="63" t="str">
        <f>IFERROR(VLOOKUP(B1732,منتجات!$A$3:$C$350,3,0),"")</f>
        <v/>
      </c>
      <c r="E1732" s="63"/>
      <c r="F1732" s="63" t="str">
        <f>IFERROR(INDEX(منتجات!$G$3:$G$350,MATCH(B1732,منتجات!$A$3:$A$115,0)),"")</f>
        <v/>
      </c>
      <c r="G1732" s="63" t="str">
        <f t="shared" si="28"/>
        <v/>
      </c>
      <c r="H1732" s="69"/>
    </row>
    <row r="1733" spans="1:8" x14ac:dyDescent="0.35">
      <c r="A1733" s="64"/>
      <c r="B1733" s="65"/>
      <c r="C1733" s="65" t="str">
        <f>IFERROR(VLOOKUP(B1733,منتجات!$A$3:$C$350,2,0),"")</f>
        <v/>
      </c>
      <c r="D1733" s="65" t="str">
        <f>IFERROR(VLOOKUP(B1733,منتجات!$A$3:$C$350,3,0),"")</f>
        <v/>
      </c>
      <c r="E1733" s="65"/>
      <c r="F1733" s="65" t="str">
        <f>IFERROR(INDEX(منتجات!$G$3:$G$350,MATCH(B1733,منتجات!$A$3:$A$115,0)),"")</f>
        <v/>
      </c>
      <c r="G1733" s="65" t="str">
        <f t="shared" si="28"/>
        <v/>
      </c>
      <c r="H1733" s="70"/>
    </row>
    <row r="1734" spans="1:8" x14ac:dyDescent="0.35">
      <c r="A1734" s="62"/>
      <c r="B1734" s="63"/>
      <c r="C1734" s="63" t="str">
        <f>IFERROR(VLOOKUP(B1734,منتجات!$A$3:$C$350,2,0),"")</f>
        <v/>
      </c>
      <c r="D1734" s="63" t="str">
        <f>IFERROR(VLOOKUP(B1734,منتجات!$A$3:$C$350,3,0),"")</f>
        <v/>
      </c>
      <c r="E1734" s="63"/>
      <c r="F1734" s="63" t="str">
        <f>IFERROR(INDEX(منتجات!$G$3:$G$350,MATCH(B1734,منتجات!$A$3:$A$115,0)),"")</f>
        <v/>
      </c>
      <c r="G1734" s="63" t="str">
        <f t="shared" ref="G1734:G1797" si="29">IFERROR(E1734*F1734*D1734,"")</f>
        <v/>
      </c>
      <c r="H1734" s="69"/>
    </row>
    <row r="1735" spans="1:8" x14ac:dyDescent="0.35">
      <c r="A1735" s="64"/>
      <c r="B1735" s="65"/>
      <c r="C1735" s="65" t="str">
        <f>IFERROR(VLOOKUP(B1735,منتجات!$A$3:$C$350,2,0),"")</f>
        <v/>
      </c>
      <c r="D1735" s="65" t="str">
        <f>IFERROR(VLOOKUP(B1735,منتجات!$A$3:$C$350,3,0),"")</f>
        <v/>
      </c>
      <c r="E1735" s="65"/>
      <c r="F1735" s="65" t="str">
        <f>IFERROR(INDEX(منتجات!$G$3:$G$350,MATCH(B1735,منتجات!$A$3:$A$115,0)),"")</f>
        <v/>
      </c>
      <c r="G1735" s="65" t="str">
        <f t="shared" si="29"/>
        <v/>
      </c>
      <c r="H1735" s="70"/>
    </row>
    <row r="1736" spans="1:8" x14ac:dyDescent="0.35">
      <c r="A1736" s="62"/>
      <c r="B1736" s="63"/>
      <c r="C1736" s="63" t="str">
        <f>IFERROR(VLOOKUP(B1736,منتجات!$A$3:$C$350,2,0),"")</f>
        <v/>
      </c>
      <c r="D1736" s="63" t="str">
        <f>IFERROR(VLOOKUP(B1736,منتجات!$A$3:$C$350,3,0),"")</f>
        <v/>
      </c>
      <c r="E1736" s="63"/>
      <c r="F1736" s="63" t="str">
        <f>IFERROR(INDEX(منتجات!$G$3:$G$350,MATCH(B1736,منتجات!$A$3:$A$115,0)),"")</f>
        <v/>
      </c>
      <c r="G1736" s="63" t="str">
        <f t="shared" si="29"/>
        <v/>
      </c>
      <c r="H1736" s="69"/>
    </row>
    <row r="1737" spans="1:8" x14ac:dyDescent="0.35">
      <c r="A1737" s="64"/>
      <c r="B1737" s="65"/>
      <c r="C1737" s="65" t="str">
        <f>IFERROR(VLOOKUP(B1737,منتجات!$A$3:$C$350,2,0),"")</f>
        <v/>
      </c>
      <c r="D1737" s="65" t="str">
        <f>IFERROR(VLOOKUP(B1737,منتجات!$A$3:$C$350,3,0),"")</f>
        <v/>
      </c>
      <c r="E1737" s="65"/>
      <c r="F1737" s="65" t="str">
        <f>IFERROR(INDEX(منتجات!$G$3:$G$350,MATCH(B1737,منتجات!$A$3:$A$115,0)),"")</f>
        <v/>
      </c>
      <c r="G1737" s="65" t="str">
        <f t="shared" si="29"/>
        <v/>
      </c>
      <c r="H1737" s="70"/>
    </row>
    <row r="1738" spans="1:8" x14ac:dyDescent="0.35">
      <c r="A1738" s="62"/>
      <c r="B1738" s="63"/>
      <c r="C1738" s="63" t="str">
        <f>IFERROR(VLOOKUP(B1738,منتجات!$A$3:$C$350,2,0),"")</f>
        <v/>
      </c>
      <c r="D1738" s="63" t="str">
        <f>IFERROR(VLOOKUP(B1738,منتجات!$A$3:$C$350,3,0),"")</f>
        <v/>
      </c>
      <c r="E1738" s="63"/>
      <c r="F1738" s="63" t="str">
        <f>IFERROR(INDEX(منتجات!$G$3:$G$350,MATCH(B1738,منتجات!$A$3:$A$115,0)),"")</f>
        <v/>
      </c>
      <c r="G1738" s="63" t="str">
        <f t="shared" si="29"/>
        <v/>
      </c>
      <c r="H1738" s="69"/>
    </row>
    <row r="1739" spans="1:8" x14ac:dyDescent="0.35">
      <c r="A1739" s="64"/>
      <c r="B1739" s="65"/>
      <c r="C1739" s="65" t="str">
        <f>IFERROR(VLOOKUP(B1739,منتجات!$A$3:$C$350,2,0),"")</f>
        <v/>
      </c>
      <c r="D1739" s="65" t="str">
        <f>IFERROR(VLOOKUP(B1739,منتجات!$A$3:$C$350,3,0),"")</f>
        <v/>
      </c>
      <c r="E1739" s="65"/>
      <c r="F1739" s="65" t="str">
        <f>IFERROR(INDEX(منتجات!$G$3:$G$350,MATCH(B1739,منتجات!$A$3:$A$115,0)),"")</f>
        <v/>
      </c>
      <c r="G1739" s="65" t="str">
        <f t="shared" si="29"/>
        <v/>
      </c>
      <c r="H1739" s="70"/>
    </row>
    <row r="1740" spans="1:8" x14ac:dyDescent="0.35">
      <c r="A1740" s="62"/>
      <c r="B1740" s="63"/>
      <c r="C1740" s="63" t="str">
        <f>IFERROR(VLOOKUP(B1740,منتجات!$A$3:$C$350,2,0),"")</f>
        <v/>
      </c>
      <c r="D1740" s="63" t="str">
        <f>IFERROR(VLOOKUP(B1740,منتجات!$A$3:$C$350,3,0),"")</f>
        <v/>
      </c>
      <c r="E1740" s="63"/>
      <c r="F1740" s="63" t="str">
        <f>IFERROR(INDEX(منتجات!$G$3:$G$350,MATCH(B1740,منتجات!$A$3:$A$115,0)),"")</f>
        <v/>
      </c>
      <c r="G1740" s="63" t="str">
        <f t="shared" si="29"/>
        <v/>
      </c>
      <c r="H1740" s="69"/>
    </row>
    <row r="1741" spans="1:8" x14ac:dyDescent="0.35">
      <c r="A1741" s="64"/>
      <c r="B1741" s="65"/>
      <c r="C1741" s="65" t="str">
        <f>IFERROR(VLOOKUP(B1741,منتجات!$A$3:$C$350,2,0),"")</f>
        <v/>
      </c>
      <c r="D1741" s="65" t="str">
        <f>IFERROR(VLOOKUP(B1741,منتجات!$A$3:$C$350,3,0),"")</f>
        <v/>
      </c>
      <c r="E1741" s="65"/>
      <c r="F1741" s="65" t="str">
        <f>IFERROR(INDEX(منتجات!$G$3:$G$350,MATCH(B1741,منتجات!$A$3:$A$115,0)),"")</f>
        <v/>
      </c>
      <c r="G1741" s="65" t="str">
        <f t="shared" si="29"/>
        <v/>
      </c>
      <c r="H1741" s="70"/>
    </row>
    <row r="1742" spans="1:8" x14ac:dyDescent="0.35">
      <c r="A1742" s="62"/>
      <c r="B1742" s="63"/>
      <c r="C1742" s="63" t="str">
        <f>IFERROR(VLOOKUP(B1742,منتجات!$A$3:$C$350,2,0),"")</f>
        <v/>
      </c>
      <c r="D1742" s="63" t="str">
        <f>IFERROR(VLOOKUP(B1742,منتجات!$A$3:$C$350,3,0),"")</f>
        <v/>
      </c>
      <c r="E1742" s="63"/>
      <c r="F1742" s="63" t="str">
        <f>IFERROR(INDEX(منتجات!$G$3:$G$350,MATCH(B1742,منتجات!$A$3:$A$115,0)),"")</f>
        <v/>
      </c>
      <c r="G1742" s="63" t="str">
        <f t="shared" si="29"/>
        <v/>
      </c>
      <c r="H1742" s="69"/>
    </row>
    <row r="1743" spans="1:8" x14ac:dyDescent="0.35">
      <c r="A1743" s="64"/>
      <c r="B1743" s="65"/>
      <c r="C1743" s="65" t="str">
        <f>IFERROR(VLOOKUP(B1743,منتجات!$A$3:$C$350,2,0),"")</f>
        <v/>
      </c>
      <c r="D1743" s="65" t="str">
        <f>IFERROR(VLOOKUP(B1743,منتجات!$A$3:$C$350,3,0),"")</f>
        <v/>
      </c>
      <c r="E1743" s="65"/>
      <c r="F1743" s="65" t="str">
        <f>IFERROR(INDEX(منتجات!$G$3:$G$350,MATCH(B1743,منتجات!$A$3:$A$115,0)),"")</f>
        <v/>
      </c>
      <c r="G1743" s="65" t="str">
        <f t="shared" si="29"/>
        <v/>
      </c>
      <c r="H1743" s="70"/>
    </row>
    <row r="1744" spans="1:8" x14ac:dyDescent="0.35">
      <c r="A1744" s="62"/>
      <c r="B1744" s="63"/>
      <c r="C1744" s="63" t="str">
        <f>IFERROR(VLOOKUP(B1744,منتجات!$A$3:$C$350,2,0),"")</f>
        <v/>
      </c>
      <c r="D1744" s="63" t="str">
        <f>IFERROR(VLOOKUP(B1744,منتجات!$A$3:$C$350,3,0),"")</f>
        <v/>
      </c>
      <c r="E1744" s="63"/>
      <c r="F1744" s="63" t="str">
        <f>IFERROR(INDEX(منتجات!$G$3:$G$350,MATCH(B1744,منتجات!$A$3:$A$115,0)),"")</f>
        <v/>
      </c>
      <c r="G1744" s="63" t="str">
        <f t="shared" si="29"/>
        <v/>
      </c>
      <c r="H1744" s="69"/>
    </row>
    <row r="1745" spans="1:8" x14ac:dyDescent="0.35">
      <c r="A1745" s="64"/>
      <c r="B1745" s="65"/>
      <c r="C1745" s="65" t="str">
        <f>IFERROR(VLOOKUP(B1745,منتجات!$A$3:$C$350,2,0),"")</f>
        <v/>
      </c>
      <c r="D1745" s="65" t="str">
        <f>IFERROR(VLOOKUP(B1745,منتجات!$A$3:$C$350,3,0),"")</f>
        <v/>
      </c>
      <c r="E1745" s="65"/>
      <c r="F1745" s="65" t="str">
        <f>IFERROR(INDEX(منتجات!$G$3:$G$350,MATCH(B1745,منتجات!$A$3:$A$115,0)),"")</f>
        <v/>
      </c>
      <c r="G1745" s="65" t="str">
        <f t="shared" si="29"/>
        <v/>
      </c>
      <c r="H1745" s="70"/>
    </row>
    <row r="1746" spans="1:8" x14ac:dyDescent="0.35">
      <c r="A1746" s="62"/>
      <c r="B1746" s="63"/>
      <c r="C1746" s="63" t="str">
        <f>IFERROR(VLOOKUP(B1746,منتجات!$A$3:$C$350,2,0),"")</f>
        <v/>
      </c>
      <c r="D1746" s="63" t="str">
        <f>IFERROR(VLOOKUP(B1746,منتجات!$A$3:$C$350,3,0),"")</f>
        <v/>
      </c>
      <c r="E1746" s="63"/>
      <c r="F1746" s="63" t="str">
        <f>IFERROR(INDEX(منتجات!$G$3:$G$350,MATCH(B1746,منتجات!$A$3:$A$115,0)),"")</f>
        <v/>
      </c>
      <c r="G1746" s="63" t="str">
        <f t="shared" si="29"/>
        <v/>
      </c>
      <c r="H1746" s="69"/>
    </row>
    <row r="1747" spans="1:8" x14ac:dyDescent="0.35">
      <c r="A1747" s="64"/>
      <c r="B1747" s="65"/>
      <c r="C1747" s="65" t="str">
        <f>IFERROR(VLOOKUP(B1747,منتجات!$A$3:$C$350,2,0),"")</f>
        <v/>
      </c>
      <c r="D1747" s="65" t="str">
        <f>IFERROR(VLOOKUP(B1747,منتجات!$A$3:$C$350,3,0),"")</f>
        <v/>
      </c>
      <c r="E1747" s="65"/>
      <c r="F1747" s="65" t="str">
        <f>IFERROR(INDEX(منتجات!$G$3:$G$350,MATCH(B1747,منتجات!$A$3:$A$115,0)),"")</f>
        <v/>
      </c>
      <c r="G1747" s="65" t="str">
        <f t="shared" si="29"/>
        <v/>
      </c>
      <c r="H1747" s="70"/>
    </row>
    <row r="1748" spans="1:8" x14ac:dyDescent="0.35">
      <c r="A1748" s="62"/>
      <c r="B1748" s="63"/>
      <c r="C1748" s="63" t="str">
        <f>IFERROR(VLOOKUP(B1748,منتجات!$A$3:$C$350,2,0),"")</f>
        <v/>
      </c>
      <c r="D1748" s="63" t="str">
        <f>IFERROR(VLOOKUP(B1748,منتجات!$A$3:$C$350,3,0),"")</f>
        <v/>
      </c>
      <c r="E1748" s="63"/>
      <c r="F1748" s="63" t="str">
        <f>IFERROR(INDEX(منتجات!$G$3:$G$350,MATCH(B1748,منتجات!$A$3:$A$115,0)),"")</f>
        <v/>
      </c>
      <c r="G1748" s="63" t="str">
        <f t="shared" si="29"/>
        <v/>
      </c>
      <c r="H1748" s="69"/>
    </row>
    <row r="1749" spans="1:8" x14ac:dyDescent="0.35">
      <c r="A1749" s="64"/>
      <c r="B1749" s="65"/>
      <c r="C1749" s="65" t="str">
        <f>IFERROR(VLOOKUP(B1749,منتجات!$A$3:$C$350,2,0),"")</f>
        <v/>
      </c>
      <c r="D1749" s="65" t="str">
        <f>IFERROR(VLOOKUP(B1749,منتجات!$A$3:$C$350,3,0),"")</f>
        <v/>
      </c>
      <c r="E1749" s="65"/>
      <c r="F1749" s="65" t="str">
        <f>IFERROR(INDEX(منتجات!$G$3:$G$350,MATCH(B1749,منتجات!$A$3:$A$115,0)),"")</f>
        <v/>
      </c>
      <c r="G1749" s="65" t="str">
        <f t="shared" si="29"/>
        <v/>
      </c>
      <c r="H1749" s="70"/>
    </row>
    <row r="1750" spans="1:8" x14ac:dyDescent="0.35">
      <c r="A1750" s="62"/>
      <c r="B1750" s="63"/>
      <c r="C1750" s="63" t="str">
        <f>IFERROR(VLOOKUP(B1750,منتجات!$A$3:$C$350,2,0),"")</f>
        <v/>
      </c>
      <c r="D1750" s="63" t="str">
        <f>IFERROR(VLOOKUP(B1750,منتجات!$A$3:$C$350,3,0),"")</f>
        <v/>
      </c>
      <c r="E1750" s="63"/>
      <c r="F1750" s="63" t="str">
        <f>IFERROR(INDEX(منتجات!$G$3:$G$350,MATCH(B1750,منتجات!$A$3:$A$115,0)),"")</f>
        <v/>
      </c>
      <c r="G1750" s="63" t="str">
        <f t="shared" si="29"/>
        <v/>
      </c>
      <c r="H1750" s="69"/>
    </row>
    <row r="1751" spans="1:8" x14ac:dyDescent="0.35">
      <c r="A1751" s="64"/>
      <c r="B1751" s="65"/>
      <c r="C1751" s="65" t="str">
        <f>IFERROR(VLOOKUP(B1751,منتجات!$A$3:$C$350,2,0),"")</f>
        <v/>
      </c>
      <c r="D1751" s="65" t="str">
        <f>IFERROR(VLOOKUP(B1751,منتجات!$A$3:$C$350,3,0),"")</f>
        <v/>
      </c>
      <c r="E1751" s="65"/>
      <c r="F1751" s="65" t="str">
        <f>IFERROR(INDEX(منتجات!$G$3:$G$350,MATCH(B1751,منتجات!$A$3:$A$115,0)),"")</f>
        <v/>
      </c>
      <c r="G1751" s="65" t="str">
        <f t="shared" si="29"/>
        <v/>
      </c>
      <c r="H1751" s="70"/>
    </row>
    <row r="1752" spans="1:8" x14ac:dyDescent="0.35">
      <c r="A1752" s="62"/>
      <c r="B1752" s="63"/>
      <c r="C1752" s="63" t="str">
        <f>IFERROR(VLOOKUP(B1752,منتجات!$A$3:$C$350,2,0),"")</f>
        <v/>
      </c>
      <c r="D1752" s="63" t="str">
        <f>IFERROR(VLOOKUP(B1752,منتجات!$A$3:$C$350,3,0),"")</f>
        <v/>
      </c>
      <c r="E1752" s="63"/>
      <c r="F1752" s="63" t="str">
        <f>IFERROR(INDEX(منتجات!$G$3:$G$350,MATCH(B1752,منتجات!$A$3:$A$115,0)),"")</f>
        <v/>
      </c>
      <c r="G1752" s="63" t="str">
        <f t="shared" si="29"/>
        <v/>
      </c>
      <c r="H1752" s="69"/>
    </row>
    <row r="1753" spans="1:8" x14ac:dyDescent="0.35">
      <c r="A1753" s="64"/>
      <c r="B1753" s="65"/>
      <c r="C1753" s="65" t="str">
        <f>IFERROR(VLOOKUP(B1753,منتجات!$A$3:$C$350,2,0),"")</f>
        <v/>
      </c>
      <c r="D1753" s="65" t="str">
        <f>IFERROR(VLOOKUP(B1753,منتجات!$A$3:$C$350,3,0),"")</f>
        <v/>
      </c>
      <c r="E1753" s="65"/>
      <c r="F1753" s="65" t="str">
        <f>IFERROR(INDEX(منتجات!$G$3:$G$350,MATCH(B1753,منتجات!$A$3:$A$115,0)),"")</f>
        <v/>
      </c>
      <c r="G1753" s="65" t="str">
        <f t="shared" si="29"/>
        <v/>
      </c>
      <c r="H1753" s="70"/>
    </row>
    <row r="1754" spans="1:8" x14ac:dyDescent="0.35">
      <c r="A1754" s="62"/>
      <c r="B1754" s="63"/>
      <c r="C1754" s="63" t="str">
        <f>IFERROR(VLOOKUP(B1754,منتجات!$A$3:$C$350,2,0),"")</f>
        <v/>
      </c>
      <c r="D1754" s="63" t="str">
        <f>IFERROR(VLOOKUP(B1754,منتجات!$A$3:$C$350,3,0),"")</f>
        <v/>
      </c>
      <c r="E1754" s="63"/>
      <c r="F1754" s="63" t="str">
        <f>IFERROR(INDEX(منتجات!$G$3:$G$350,MATCH(B1754,منتجات!$A$3:$A$115,0)),"")</f>
        <v/>
      </c>
      <c r="G1754" s="63" t="str">
        <f t="shared" si="29"/>
        <v/>
      </c>
      <c r="H1754" s="69"/>
    </row>
    <row r="1755" spans="1:8" x14ac:dyDescent="0.35">
      <c r="A1755" s="64"/>
      <c r="B1755" s="65"/>
      <c r="C1755" s="65" t="str">
        <f>IFERROR(VLOOKUP(B1755,منتجات!$A$3:$C$350,2,0),"")</f>
        <v/>
      </c>
      <c r="D1755" s="65" t="str">
        <f>IFERROR(VLOOKUP(B1755,منتجات!$A$3:$C$350,3,0),"")</f>
        <v/>
      </c>
      <c r="E1755" s="65"/>
      <c r="F1755" s="65" t="str">
        <f>IFERROR(INDEX(منتجات!$G$3:$G$350,MATCH(B1755,منتجات!$A$3:$A$115,0)),"")</f>
        <v/>
      </c>
      <c r="G1755" s="65" t="str">
        <f t="shared" si="29"/>
        <v/>
      </c>
      <c r="H1755" s="70"/>
    </row>
    <row r="1756" spans="1:8" x14ac:dyDescent="0.35">
      <c r="A1756" s="62"/>
      <c r="B1756" s="63"/>
      <c r="C1756" s="63" t="str">
        <f>IFERROR(VLOOKUP(B1756,منتجات!$A$3:$C$350,2,0),"")</f>
        <v/>
      </c>
      <c r="D1756" s="63" t="str">
        <f>IFERROR(VLOOKUP(B1756,منتجات!$A$3:$C$350,3,0),"")</f>
        <v/>
      </c>
      <c r="E1756" s="63"/>
      <c r="F1756" s="63" t="str">
        <f>IFERROR(INDEX(منتجات!$G$3:$G$350,MATCH(B1756,منتجات!$A$3:$A$115,0)),"")</f>
        <v/>
      </c>
      <c r="G1756" s="63" t="str">
        <f t="shared" si="29"/>
        <v/>
      </c>
      <c r="H1756" s="69"/>
    </row>
    <row r="1757" spans="1:8" x14ac:dyDescent="0.35">
      <c r="A1757" s="64"/>
      <c r="B1757" s="65"/>
      <c r="C1757" s="65" t="str">
        <f>IFERROR(VLOOKUP(B1757,منتجات!$A$3:$C$350,2,0),"")</f>
        <v/>
      </c>
      <c r="D1757" s="65" t="str">
        <f>IFERROR(VLOOKUP(B1757,منتجات!$A$3:$C$350,3,0),"")</f>
        <v/>
      </c>
      <c r="E1757" s="65"/>
      <c r="F1757" s="65" t="str">
        <f>IFERROR(INDEX(منتجات!$G$3:$G$350,MATCH(B1757,منتجات!$A$3:$A$115,0)),"")</f>
        <v/>
      </c>
      <c r="G1757" s="65" t="str">
        <f t="shared" si="29"/>
        <v/>
      </c>
      <c r="H1757" s="70"/>
    </row>
    <row r="1758" spans="1:8" x14ac:dyDescent="0.35">
      <c r="A1758" s="62"/>
      <c r="B1758" s="63"/>
      <c r="C1758" s="63" t="str">
        <f>IFERROR(VLOOKUP(B1758,منتجات!$A$3:$C$350,2,0),"")</f>
        <v/>
      </c>
      <c r="D1758" s="63" t="str">
        <f>IFERROR(VLOOKUP(B1758,منتجات!$A$3:$C$350,3,0),"")</f>
        <v/>
      </c>
      <c r="E1758" s="63"/>
      <c r="F1758" s="63" t="str">
        <f>IFERROR(INDEX(منتجات!$G$3:$G$350,MATCH(B1758,منتجات!$A$3:$A$115,0)),"")</f>
        <v/>
      </c>
      <c r="G1758" s="63" t="str">
        <f t="shared" si="29"/>
        <v/>
      </c>
      <c r="H1758" s="69"/>
    </row>
    <row r="1759" spans="1:8" x14ac:dyDescent="0.35">
      <c r="A1759" s="64"/>
      <c r="B1759" s="65"/>
      <c r="C1759" s="65" t="str">
        <f>IFERROR(VLOOKUP(B1759,منتجات!$A$3:$C$350,2,0),"")</f>
        <v/>
      </c>
      <c r="D1759" s="65" t="str">
        <f>IFERROR(VLOOKUP(B1759,منتجات!$A$3:$C$350,3,0),"")</f>
        <v/>
      </c>
      <c r="E1759" s="65"/>
      <c r="F1759" s="65" t="str">
        <f>IFERROR(INDEX(منتجات!$G$3:$G$350,MATCH(B1759,منتجات!$A$3:$A$115,0)),"")</f>
        <v/>
      </c>
      <c r="G1759" s="65" t="str">
        <f t="shared" si="29"/>
        <v/>
      </c>
      <c r="H1759" s="70"/>
    </row>
    <row r="1760" spans="1:8" x14ac:dyDescent="0.35">
      <c r="A1760" s="62"/>
      <c r="B1760" s="63"/>
      <c r="C1760" s="63" t="str">
        <f>IFERROR(VLOOKUP(B1760,منتجات!$A$3:$C$350,2,0),"")</f>
        <v/>
      </c>
      <c r="D1760" s="63" t="str">
        <f>IFERROR(VLOOKUP(B1760,منتجات!$A$3:$C$350,3,0),"")</f>
        <v/>
      </c>
      <c r="E1760" s="63"/>
      <c r="F1760" s="63" t="str">
        <f>IFERROR(INDEX(منتجات!$G$3:$G$350,MATCH(B1760,منتجات!$A$3:$A$115,0)),"")</f>
        <v/>
      </c>
      <c r="G1760" s="63" t="str">
        <f t="shared" si="29"/>
        <v/>
      </c>
      <c r="H1760" s="69"/>
    </row>
    <row r="1761" spans="1:8" x14ac:dyDescent="0.35">
      <c r="A1761" s="64"/>
      <c r="B1761" s="65"/>
      <c r="C1761" s="65" t="str">
        <f>IFERROR(VLOOKUP(B1761,منتجات!$A$3:$C$350,2,0),"")</f>
        <v/>
      </c>
      <c r="D1761" s="65" t="str">
        <f>IFERROR(VLOOKUP(B1761,منتجات!$A$3:$C$350,3,0),"")</f>
        <v/>
      </c>
      <c r="E1761" s="65"/>
      <c r="F1761" s="65" t="str">
        <f>IFERROR(INDEX(منتجات!$G$3:$G$350,MATCH(B1761,منتجات!$A$3:$A$115,0)),"")</f>
        <v/>
      </c>
      <c r="G1761" s="65" t="str">
        <f t="shared" si="29"/>
        <v/>
      </c>
      <c r="H1761" s="70"/>
    </row>
    <row r="1762" spans="1:8" x14ac:dyDescent="0.35">
      <c r="A1762" s="62"/>
      <c r="B1762" s="63"/>
      <c r="C1762" s="63" t="str">
        <f>IFERROR(VLOOKUP(B1762,منتجات!$A$3:$C$350,2,0),"")</f>
        <v/>
      </c>
      <c r="D1762" s="63" t="str">
        <f>IFERROR(VLOOKUP(B1762,منتجات!$A$3:$C$350,3,0),"")</f>
        <v/>
      </c>
      <c r="E1762" s="63"/>
      <c r="F1762" s="63" t="str">
        <f>IFERROR(INDEX(منتجات!$G$3:$G$350,MATCH(B1762,منتجات!$A$3:$A$115,0)),"")</f>
        <v/>
      </c>
      <c r="G1762" s="63" t="str">
        <f t="shared" si="29"/>
        <v/>
      </c>
      <c r="H1762" s="69"/>
    </row>
    <row r="1763" spans="1:8" x14ac:dyDescent="0.35">
      <c r="A1763" s="64"/>
      <c r="B1763" s="65"/>
      <c r="C1763" s="65" t="str">
        <f>IFERROR(VLOOKUP(B1763,منتجات!$A$3:$C$350,2,0),"")</f>
        <v/>
      </c>
      <c r="D1763" s="65" t="str">
        <f>IFERROR(VLOOKUP(B1763,منتجات!$A$3:$C$350,3,0),"")</f>
        <v/>
      </c>
      <c r="E1763" s="65"/>
      <c r="F1763" s="65" t="str">
        <f>IFERROR(INDEX(منتجات!$G$3:$G$350,MATCH(B1763,منتجات!$A$3:$A$115,0)),"")</f>
        <v/>
      </c>
      <c r="G1763" s="65" t="str">
        <f t="shared" si="29"/>
        <v/>
      </c>
      <c r="H1763" s="70"/>
    </row>
    <row r="1764" spans="1:8" x14ac:dyDescent="0.35">
      <c r="A1764" s="62"/>
      <c r="B1764" s="63"/>
      <c r="C1764" s="63" t="str">
        <f>IFERROR(VLOOKUP(B1764,منتجات!$A$3:$C$350,2,0),"")</f>
        <v/>
      </c>
      <c r="D1764" s="63" t="str">
        <f>IFERROR(VLOOKUP(B1764,منتجات!$A$3:$C$350,3,0),"")</f>
        <v/>
      </c>
      <c r="E1764" s="63"/>
      <c r="F1764" s="63" t="str">
        <f>IFERROR(INDEX(منتجات!$G$3:$G$350,MATCH(B1764,منتجات!$A$3:$A$115,0)),"")</f>
        <v/>
      </c>
      <c r="G1764" s="63" t="str">
        <f t="shared" si="29"/>
        <v/>
      </c>
      <c r="H1764" s="69"/>
    </row>
    <row r="1765" spans="1:8" x14ac:dyDescent="0.35">
      <c r="A1765" s="64"/>
      <c r="B1765" s="65"/>
      <c r="C1765" s="65" t="str">
        <f>IFERROR(VLOOKUP(B1765,منتجات!$A$3:$C$350,2,0),"")</f>
        <v/>
      </c>
      <c r="D1765" s="65" t="str">
        <f>IFERROR(VLOOKUP(B1765,منتجات!$A$3:$C$350,3,0),"")</f>
        <v/>
      </c>
      <c r="E1765" s="65"/>
      <c r="F1765" s="65" t="str">
        <f>IFERROR(INDEX(منتجات!$G$3:$G$350,MATCH(B1765,منتجات!$A$3:$A$115,0)),"")</f>
        <v/>
      </c>
      <c r="G1765" s="65" t="str">
        <f t="shared" si="29"/>
        <v/>
      </c>
      <c r="H1765" s="70"/>
    </row>
    <row r="1766" spans="1:8" x14ac:dyDescent="0.35">
      <c r="A1766" s="62"/>
      <c r="B1766" s="63"/>
      <c r="C1766" s="63" t="str">
        <f>IFERROR(VLOOKUP(B1766,منتجات!$A$3:$C$350,2,0),"")</f>
        <v/>
      </c>
      <c r="D1766" s="63" t="str">
        <f>IFERROR(VLOOKUP(B1766,منتجات!$A$3:$C$350,3,0),"")</f>
        <v/>
      </c>
      <c r="E1766" s="63"/>
      <c r="F1766" s="63" t="str">
        <f>IFERROR(INDEX(منتجات!$G$3:$G$350,MATCH(B1766,منتجات!$A$3:$A$115,0)),"")</f>
        <v/>
      </c>
      <c r="G1766" s="63" t="str">
        <f t="shared" si="29"/>
        <v/>
      </c>
      <c r="H1766" s="69"/>
    </row>
    <row r="1767" spans="1:8" x14ac:dyDescent="0.35">
      <c r="A1767" s="64"/>
      <c r="B1767" s="65"/>
      <c r="C1767" s="65" t="str">
        <f>IFERROR(VLOOKUP(B1767,منتجات!$A$3:$C$350,2,0),"")</f>
        <v/>
      </c>
      <c r="D1767" s="65" t="str">
        <f>IFERROR(VLOOKUP(B1767,منتجات!$A$3:$C$350,3,0),"")</f>
        <v/>
      </c>
      <c r="E1767" s="65"/>
      <c r="F1767" s="65" t="str">
        <f>IFERROR(INDEX(منتجات!$G$3:$G$350,MATCH(B1767,منتجات!$A$3:$A$115,0)),"")</f>
        <v/>
      </c>
      <c r="G1767" s="65" t="str">
        <f t="shared" si="29"/>
        <v/>
      </c>
      <c r="H1767" s="70"/>
    </row>
    <row r="1768" spans="1:8" x14ac:dyDescent="0.35">
      <c r="A1768" s="62"/>
      <c r="B1768" s="63"/>
      <c r="C1768" s="63" t="str">
        <f>IFERROR(VLOOKUP(B1768,منتجات!$A$3:$C$350,2,0),"")</f>
        <v/>
      </c>
      <c r="D1768" s="63" t="str">
        <f>IFERROR(VLOOKUP(B1768,منتجات!$A$3:$C$350,3,0),"")</f>
        <v/>
      </c>
      <c r="E1768" s="63"/>
      <c r="F1768" s="63" t="str">
        <f>IFERROR(INDEX(منتجات!$G$3:$G$350,MATCH(B1768,منتجات!$A$3:$A$115,0)),"")</f>
        <v/>
      </c>
      <c r="G1768" s="63" t="str">
        <f t="shared" si="29"/>
        <v/>
      </c>
      <c r="H1768" s="69"/>
    </row>
    <row r="1769" spans="1:8" x14ac:dyDescent="0.35">
      <c r="A1769" s="64"/>
      <c r="B1769" s="65"/>
      <c r="C1769" s="65" t="str">
        <f>IFERROR(VLOOKUP(B1769,منتجات!$A$3:$C$350,2,0),"")</f>
        <v/>
      </c>
      <c r="D1769" s="65" t="str">
        <f>IFERROR(VLOOKUP(B1769,منتجات!$A$3:$C$350,3,0),"")</f>
        <v/>
      </c>
      <c r="E1769" s="65"/>
      <c r="F1769" s="65" t="str">
        <f>IFERROR(INDEX(منتجات!$G$3:$G$350,MATCH(B1769,منتجات!$A$3:$A$115,0)),"")</f>
        <v/>
      </c>
      <c r="G1769" s="65" t="str">
        <f t="shared" si="29"/>
        <v/>
      </c>
      <c r="H1769" s="70"/>
    </row>
    <row r="1770" spans="1:8" x14ac:dyDescent="0.35">
      <c r="A1770" s="62"/>
      <c r="B1770" s="63"/>
      <c r="C1770" s="63" t="str">
        <f>IFERROR(VLOOKUP(B1770,منتجات!$A$3:$C$350,2,0),"")</f>
        <v/>
      </c>
      <c r="D1770" s="63" t="str">
        <f>IFERROR(VLOOKUP(B1770,منتجات!$A$3:$C$350,3,0),"")</f>
        <v/>
      </c>
      <c r="E1770" s="63"/>
      <c r="F1770" s="63" t="str">
        <f>IFERROR(INDEX(منتجات!$G$3:$G$350,MATCH(B1770,منتجات!$A$3:$A$115,0)),"")</f>
        <v/>
      </c>
      <c r="G1770" s="63" t="str">
        <f t="shared" si="29"/>
        <v/>
      </c>
      <c r="H1770" s="69"/>
    </row>
    <row r="1771" spans="1:8" x14ac:dyDescent="0.35">
      <c r="A1771" s="64"/>
      <c r="B1771" s="65"/>
      <c r="C1771" s="65" t="str">
        <f>IFERROR(VLOOKUP(B1771,منتجات!$A$3:$C$350,2,0),"")</f>
        <v/>
      </c>
      <c r="D1771" s="65" t="str">
        <f>IFERROR(VLOOKUP(B1771,منتجات!$A$3:$C$350,3,0),"")</f>
        <v/>
      </c>
      <c r="E1771" s="65"/>
      <c r="F1771" s="65" t="str">
        <f>IFERROR(INDEX(منتجات!$G$3:$G$350,MATCH(B1771,منتجات!$A$3:$A$115,0)),"")</f>
        <v/>
      </c>
      <c r="G1771" s="65" t="str">
        <f t="shared" si="29"/>
        <v/>
      </c>
      <c r="H1771" s="70"/>
    </row>
    <row r="1772" spans="1:8" x14ac:dyDescent="0.35">
      <c r="A1772" s="62"/>
      <c r="B1772" s="63"/>
      <c r="C1772" s="63" t="str">
        <f>IFERROR(VLOOKUP(B1772,منتجات!$A$3:$C$350,2,0),"")</f>
        <v/>
      </c>
      <c r="D1772" s="63" t="str">
        <f>IFERROR(VLOOKUP(B1772,منتجات!$A$3:$C$350,3,0),"")</f>
        <v/>
      </c>
      <c r="E1772" s="63"/>
      <c r="F1772" s="63" t="str">
        <f>IFERROR(INDEX(منتجات!$G$3:$G$350,MATCH(B1772,منتجات!$A$3:$A$115,0)),"")</f>
        <v/>
      </c>
      <c r="G1772" s="63" t="str">
        <f t="shared" si="29"/>
        <v/>
      </c>
      <c r="H1772" s="69"/>
    </row>
    <row r="1773" spans="1:8" x14ac:dyDescent="0.35">
      <c r="A1773" s="64"/>
      <c r="B1773" s="65"/>
      <c r="C1773" s="65" t="str">
        <f>IFERROR(VLOOKUP(B1773,منتجات!$A$3:$C$350,2,0),"")</f>
        <v/>
      </c>
      <c r="D1773" s="65" t="str">
        <f>IFERROR(VLOOKUP(B1773,منتجات!$A$3:$C$350,3,0),"")</f>
        <v/>
      </c>
      <c r="E1773" s="65"/>
      <c r="F1773" s="65" t="str">
        <f>IFERROR(INDEX(منتجات!$G$3:$G$350,MATCH(B1773,منتجات!$A$3:$A$115,0)),"")</f>
        <v/>
      </c>
      <c r="G1773" s="65" t="str">
        <f t="shared" si="29"/>
        <v/>
      </c>
      <c r="H1773" s="70"/>
    </row>
    <row r="1774" spans="1:8" x14ac:dyDescent="0.35">
      <c r="A1774" s="62"/>
      <c r="B1774" s="63"/>
      <c r="C1774" s="63" t="str">
        <f>IFERROR(VLOOKUP(B1774,منتجات!$A$3:$C$350,2,0),"")</f>
        <v/>
      </c>
      <c r="D1774" s="63" t="str">
        <f>IFERROR(VLOOKUP(B1774,منتجات!$A$3:$C$350,3,0),"")</f>
        <v/>
      </c>
      <c r="E1774" s="63"/>
      <c r="F1774" s="63" t="str">
        <f>IFERROR(INDEX(منتجات!$G$3:$G$350,MATCH(B1774,منتجات!$A$3:$A$115,0)),"")</f>
        <v/>
      </c>
      <c r="G1774" s="63" t="str">
        <f t="shared" si="29"/>
        <v/>
      </c>
      <c r="H1774" s="69"/>
    </row>
    <row r="1775" spans="1:8" x14ac:dyDescent="0.35">
      <c r="A1775" s="64"/>
      <c r="B1775" s="65"/>
      <c r="C1775" s="65" t="str">
        <f>IFERROR(VLOOKUP(B1775,منتجات!$A$3:$C$350,2,0),"")</f>
        <v/>
      </c>
      <c r="D1775" s="65" t="str">
        <f>IFERROR(VLOOKUP(B1775,منتجات!$A$3:$C$350,3,0),"")</f>
        <v/>
      </c>
      <c r="E1775" s="65"/>
      <c r="F1775" s="65" t="str">
        <f>IFERROR(INDEX(منتجات!$G$3:$G$350,MATCH(B1775,منتجات!$A$3:$A$115,0)),"")</f>
        <v/>
      </c>
      <c r="G1775" s="65" t="str">
        <f t="shared" si="29"/>
        <v/>
      </c>
      <c r="H1775" s="70"/>
    </row>
    <row r="1776" spans="1:8" x14ac:dyDescent="0.35">
      <c r="A1776" s="62"/>
      <c r="B1776" s="63"/>
      <c r="C1776" s="63" t="str">
        <f>IFERROR(VLOOKUP(B1776,منتجات!$A$3:$C$350,2,0),"")</f>
        <v/>
      </c>
      <c r="D1776" s="63" t="str">
        <f>IFERROR(VLOOKUP(B1776,منتجات!$A$3:$C$350,3,0),"")</f>
        <v/>
      </c>
      <c r="E1776" s="63"/>
      <c r="F1776" s="63" t="str">
        <f>IFERROR(INDEX(منتجات!$G$3:$G$350,MATCH(B1776,منتجات!$A$3:$A$115,0)),"")</f>
        <v/>
      </c>
      <c r="G1776" s="63" t="str">
        <f t="shared" si="29"/>
        <v/>
      </c>
      <c r="H1776" s="69"/>
    </row>
    <row r="1777" spans="1:8" x14ac:dyDescent="0.35">
      <c r="A1777" s="64"/>
      <c r="B1777" s="65"/>
      <c r="C1777" s="65" t="str">
        <f>IFERROR(VLOOKUP(B1777,منتجات!$A$3:$C$350,2,0),"")</f>
        <v/>
      </c>
      <c r="D1777" s="65" t="str">
        <f>IFERROR(VLOOKUP(B1777,منتجات!$A$3:$C$350,3,0),"")</f>
        <v/>
      </c>
      <c r="E1777" s="65"/>
      <c r="F1777" s="65" t="str">
        <f>IFERROR(INDEX(منتجات!$G$3:$G$350,MATCH(B1777,منتجات!$A$3:$A$115,0)),"")</f>
        <v/>
      </c>
      <c r="G1777" s="65" t="str">
        <f t="shared" si="29"/>
        <v/>
      </c>
      <c r="H1777" s="70"/>
    </row>
    <row r="1778" spans="1:8" x14ac:dyDescent="0.35">
      <c r="A1778" s="62"/>
      <c r="B1778" s="63"/>
      <c r="C1778" s="63" t="str">
        <f>IFERROR(VLOOKUP(B1778,منتجات!$A$3:$C$350,2,0),"")</f>
        <v/>
      </c>
      <c r="D1778" s="63" t="str">
        <f>IFERROR(VLOOKUP(B1778,منتجات!$A$3:$C$350,3,0),"")</f>
        <v/>
      </c>
      <c r="E1778" s="63"/>
      <c r="F1778" s="63" t="str">
        <f>IFERROR(INDEX(منتجات!$G$3:$G$350,MATCH(B1778,منتجات!$A$3:$A$115,0)),"")</f>
        <v/>
      </c>
      <c r="G1778" s="63" t="str">
        <f t="shared" si="29"/>
        <v/>
      </c>
      <c r="H1778" s="69"/>
    </row>
    <row r="1779" spans="1:8" x14ac:dyDescent="0.35">
      <c r="A1779" s="64"/>
      <c r="B1779" s="65"/>
      <c r="C1779" s="65" t="str">
        <f>IFERROR(VLOOKUP(B1779,منتجات!$A$3:$C$350,2,0),"")</f>
        <v/>
      </c>
      <c r="D1779" s="65" t="str">
        <f>IFERROR(VLOOKUP(B1779,منتجات!$A$3:$C$350,3,0),"")</f>
        <v/>
      </c>
      <c r="E1779" s="65"/>
      <c r="F1779" s="65" t="str">
        <f>IFERROR(INDEX(منتجات!$G$3:$G$350,MATCH(B1779,منتجات!$A$3:$A$115,0)),"")</f>
        <v/>
      </c>
      <c r="G1779" s="65" t="str">
        <f t="shared" si="29"/>
        <v/>
      </c>
      <c r="H1779" s="70"/>
    </row>
    <row r="1780" spans="1:8" x14ac:dyDescent="0.35">
      <c r="A1780" s="62"/>
      <c r="B1780" s="63"/>
      <c r="C1780" s="63" t="str">
        <f>IFERROR(VLOOKUP(B1780,منتجات!$A$3:$C$350,2,0),"")</f>
        <v/>
      </c>
      <c r="D1780" s="63" t="str">
        <f>IFERROR(VLOOKUP(B1780,منتجات!$A$3:$C$350,3,0),"")</f>
        <v/>
      </c>
      <c r="E1780" s="63"/>
      <c r="F1780" s="63" t="str">
        <f>IFERROR(INDEX(منتجات!$G$3:$G$350,MATCH(B1780,منتجات!$A$3:$A$115,0)),"")</f>
        <v/>
      </c>
      <c r="G1780" s="63" t="str">
        <f t="shared" si="29"/>
        <v/>
      </c>
      <c r="H1780" s="69"/>
    </row>
    <row r="1781" spans="1:8" x14ac:dyDescent="0.35">
      <c r="A1781" s="64"/>
      <c r="B1781" s="65"/>
      <c r="C1781" s="65" t="str">
        <f>IFERROR(VLOOKUP(B1781,منتجات!$A$3:$C$350,2,0),"")</f>
        <v/>
      </c>
      <c r="D1781" s="65" t="str">
        <f>IFERROR(VLOOKUP(B1781,منتجات!$A$3:$C$350,3,0),"")</f>
        <v/>
      </c>
      <c r="E1781" s="65"/>
      <c r="F1781" s="65" t="str">
        <f>IFERROR(INDEX(منتجات!$G$3:$G$350,MATCH(B1781,منتجات!$A$3:$A$115,0)),"")</f>
        <v/>
      </c>
      <c r="G1781" s="65" t="str">
        <f t="shared" si="29"/>
        <v/>
      </c>
      <c r="H1781" s="70"/>
    </row>
    <row r="1782" spans="1:8" x14ac:dyDescent="0.35">
      <c r="A1782" s="62"/>
      <c r="B1782" s="63"/>
      <c r="C1782" s="63" t="str">
        <f>IFERROR(VLOOKUP(B1782,منتجات!$A$3:$C$350,2,0),"")</f>
        <v/>
      </c>
      <c r="D1782" s="63" t="str">
        <f>IFERROR(VLOOKUP(B1782,منتجات!$A$3:$C$350,3,0),"")</f>
        <v/>
      </c>
      <c r="E1782" s="63"/>
      <c r="F1782" s="63" t="str">
        <f>IFERROR(INDEX(منتجات!$G$3:$G$350,MATCH(B1782,منتجات!$A$3:$A$115,0)),"")</f>
        <v/>
      </c>
      <c r="G1782" s="63" t="str">
        <f t="shared" si="29"/>
        <v/>
      </c>
      <c r="H1782" s="69"/>
    </row>
    <row r="1783" spans="1:8" x14ac:dyDescent="0.35">
      <c r="A1783" s="64"/>
      <c r="B1783" s="65"/>
      <c r="C1783" s="65" t="str">
        <f>IFERROR(VLOOKUP(B1783,منتجات!$A$3:$C$350,2,0),"")</f>
        <v/>
      </c>
      <c r="D1783" s="65" t="str">
        <f>IFERROR(VLOOKUP(B1783,منتجات!$A$3:$C$350,3,0),"")</f>
        <v/>
      </c>
      <c r="E1783" s="65"/>
      <c r="F1783" s="65" t="str">
        <f>IFERROR(INDEX(منتجات!$G$3:$G$350,MATCH(B1783,منتجات!$A$3:$A$115,0)),"")</f>
        <v/>
      </c>
      <c r="G1783" s="65" t="str">
        <f t="shared" si="29"/>
        <v/>
      </c>
      <c r="H1783" s="70"/>
    </row>
    <row r="1784" spans="1:8" x14ac:dyDescent="0.35">
      <c r="A1784" s="62"/>
      <c r="B1784" s="63"/>
      <c r="C1784" s="63" t="str">
        <f>IFERROR(VLOOKUP(B1784,منتجات!$A$3:$C$350,2,0),"")</f>
        <v/>
      </c>
      <c r="D1784" s="63" t="str">
        <f>IFERROR(VLOOKUP(B1784,منتجات!$A$3:$C$350,3,0),"")</f>
        <v/>
      </c>
      <c r="E1784" s="63"/>
      <c r="F1784" s="63" t="str">
        <f>IFERROR(INDEX(منتجات!$G$3:$G$350,MATCH(B1784,منتجات!$A$3:$A$115,0)),"")</f>
        <v/>
      </c>
      <c r="G1784" s="63" t="str">
        <f t="shared" si="29"/>
        <v/>
      </c>
      <c r="H1784" s="69"/>
    </row>
    <row r="1785" spans="1:8" x14ac:dyDescent="0.35">
      <c r="A1785" s="64"/>
      <c r="B1785" s="65"/>
      <c r="C1785" s="65" t="str">
        <f>IFERROR(VLOOKUP(B1785,منتجات!$A$3:$C$350,2,0),"")</f>
        <v/>
      </c>
      <c r="D1785" s="65" t="str">
        <f>IFERROR(VLOOKUP(B1785,منتجات!$A$3:$C$350,3,0),"")</f>
        <v/>
      </c>
      <c r="E1785" s="65"/>
      <c r="F1785" s="65" t="str">
        <f>IFERROR(INDEX(منتجات!$G$3:$G$350,MATCH(B1785,منتجات!$A$3:$A$115,0)),"")</f>
        <v/>
      </c>
      <c r="G1785" s="65" t="str">
        <f t="shared" si="29"/>
        <v/>
      </c>
      <c r="H1785" s="70"/>
    </row>
    <row r="1786" spans="1:8" x14ac:dyDescent="0.35">
      <c r="A1786" s="62"/>
      <c r="B1786" s="63"/>
      <c r="C1786" s="63" t="str">
        <f>IFERROR(VLOOKUP(B1786,منتجات!$A$3:$C$350,2,0),"")</f>
        <v/>
      </c>
      <c r="D1786" s="63" t="str">
        <f>IFERROR(VLOOKUP(B1786,منتجات!$A$3:$C$350,3,0),"")</f>
        <v/>
      </c>
      <c r="E1786" s="63"/>
      <c r="F1786" s="63" t="str">
        <f>IFERROR(INDEX(منتجات!$G$3:$G$350,MATCH(B1786,منتجات!$A$3:$A$115,0)),"")</f>
        <v/>
      </c>
      <c r="G1786" s="63" t="str">
        <f t="shared" si="29"/>
        <v/>
      </c>
      <c r="H1786" s="69"/>
    </row>
    <row r="1787" spans="1:8" x14ac:dyDescent="0.35">
      <c r="A1787" s="64"/>
      <c r="B1787" s="65"/>
      <c r="C1787" s="65" t="str">
        <f>IFERROR(VLOOKUP(B1787,منتجات!$A$3:$C$350,2,0),"")</f>
        <v/>
      </c>
      <c r="D1787" s="65" t="str">
        <f>IFERROR(VLOOKUP(B1787,منتجات!$A$3:$C$350,3,0),"")</f>
        <v/>
      </c>
      <c r="E1787" s="65"/>
      <c r="F1787" s="65" t="str">
        <f>IFERROR(INDEX(منتجات!$G$3:$G$350,MATCH(B1787,منتجات!$A$3:$A$115,0)),"")</f>
        <v/>
      </c>
      <c r="G1787" s="65" t="str">
        <f t="shared" si="29"/>
        <v/>
      </c>
      <c r="H1787" s="70"/>
    </row>
    <row r="1788" spans="1:8" x14ac:dyDescent="0.35">
      <c r="A1788" s="62"/>
      <c r="B1788" s="63"/>
      <c r="C1788" s="63" t="str">
        <f>IFERROR(VLOOKUP(B1788,منتجات!$A$3:$C$350,2,0),"")</f>
        <v/>
      </c>
      <c r="D1788" s="63" t="str">
        <f>IFERROR(VLOOKUP(B1788,منتجات!$A$3:$C$350,3,0),"")</f>
        <v/>
      </c>
      <c r="E1788" s="63"/>
      <c r="F1788" s="63" t="str">
        <f>IFERROR(INDEX(منتجات!$G$3:$G$350,MATCH(B1788,منتجات!$A$3:$A$115,0)),"")</f>
        <v/>
      </c>
      <c r="G1788" s="63" t="str">
        <f t="shared" si="29"/>
        <v/>
      </c>
      <c r="H1788" s="69"/>
    </row>
    <row r="1789" spans="1:8" x14ac:dyDescent="0.35">
      <c r="A1789" s="64"/>
      <c r="B1789" s="65"/>
      <c r="C1789" s="65" t="str">
        <f>IFERROR(VLOOKUP(B1789,منتجات!$A$3:$C$350,2,0),"")</f>
        <v/>
      </c>
      <c r="D1789" s="65" t="str">
        <f>IFERROR(VLOOKUP(B1789,منتجات!$A$3:$C$350,3,0),"")</f>
        <v/>
      </c>
      <c r="E1789" s="65"/>
      <c r="F1789" s="65" t="str">
        <f>IFERROR(INDEX(منتجات!$G$3:$G$350,MATCH(B1789,منتجات!$A$3:$A$115,0)),"")</f>
        <v/>
      </c>
      <c r="G1789" s="65" t="str">
        <f t="shared" si="29"/>
        <v/>
      </c>
      <c r="H1789" s="70"/>
    </row>
    <row r="1790" spans="1:8" x14ac:dyDescent="0.35">
      <c r="A1790" s="62"/>
      <c r="B1790" s="63"/>
      <c r="C1790" s="63" t="str">
        <f>IFERROR(VLOOKUP(B1790,منتجات!$A$3:$C$350,2,0),"")</f>
        <v/>
      </c>
      <c r="D1790" s="63" t="str">
        <f>IFERROR(VLOOKUP(B1790,منتجات!$A$3:$C$350,3,0),"")</f>
        <v/>
      </c>
      <c r="E1790" s="63"/>
      <c r="F1790" s="63" t="str">
        <f>IFERROR(INDEX(منتجات!$G$3:$G$350,MATCH(B1790,منتجات!$A$3:$A$115,0)),"")</f>
        <v/>
      </c>
      <c r="G1790" s="63" t="str">
        <f t="shared" si="29"/>
        <v/>
      </c>
      <c r="H1790" s="69"/>
    </row>
    <row r="1791" spans="1:8" x14ac:dyDescent="0.35">
      <c r="A1791" s="64"/>
      <c r="B1791" s="65"/>
      <c r="C1791" s="65" t="str">
        <f>IFERROR(VLOOKUP(B1791,منتجات!$A$3:$C$350,2,0),"")</f>
        <v/>
      </c>
      <c r="D1791" s="65" t="str">
        <f>IFERROR(VLOOKUP(B1791,منتجات!$A$3:$C$350,3,0),"")</f>
        <v/>
      </c>
      <c r="E1791" s="65"/>
      <c r="F1791" s="65" t="str">
        <f>IFERROR(INDEX(منتجات!$G$3:$G$350,MATCH(B1791,منتجات!$A$3:$A$115,0)),"")</f>
        <v/>
      </c>
      <c r="G1791" s="65" t="str">
        <f t="shared" si="29"/>
        <v/>
      </c>
      <c r="H1791" s="70"/>
    </row>
    <row r="1792" spans="1:8" x14ac:dyDescent="0.35">
      <c r="A1792" s="62"/>
      <c r="B1792" s="63"/>
      <c r="C1792" s="63" t="str">
        <f>IFERROR(VLOOKUP(B1792,منتجات!$A$3:$C$350,2,0),"")</f>
        <v/>
      </c>
      <c r="D1792" s="63" t="str">
        <f>IFERROR(VLOOKUP(B1792,منتجات!$A$3:$C$350,3,0),"")</f>
        <v/>
      </c>
      <c r="E1792" s="63"/>
      <c r="F1792" s="63" t="str">
        <f>IFERROR(INDEX(منتجات!$G$3:$G$350,MATCH(B1792,منتجات!$A$3:$A$115,0)),"")</f>
        <v/>
      </c>
      <c r="G1792" s="63" t="str">
        <f t="shared" si="29"/>
        <v/>
      </c>
      <c r="H1792" s="69"/>
    </row>
    <row r="1793" spans="1:8" x14ac:dyDescent="0.35">
      <c r="A1793" s="64"/>
      <c r="B1793" s="65"/>
      <c r="C1793" s="65" t="str">
        <f>IFERROR(VLOOKUP(B1793,منتجات!$A$3:$C$350,2,0),"")</f>
        <v/>
      </c>
      <c r="D1793" s="65" t="str">
        <f>IFERROR(VLOOKUP(B1793,منتجات!$A$3:$C$350,3,0),"")</f>
        <v/>
      </c>
      <c r="E1793" s="65"/>
      <c r="F1793" s="65" t="str">
        <f>IFERROR(INDEX(منتجات!$G$3:$G$350,MATCH(B1793,منتجات!$A$3:$A$115,0)),"")</f>
        <v/>
      </c>
      <c r="G1793" s="65" t="str">
        <f t="shared" si="29"/>
        <v/>
      </c>
      <c r="H1793" s="70"/>
    </row>
    <row r="1794" spans="1:8" x14ac:dyDescent="0.35">
      <c r="A1794" s="62"/>
      <c r="B1794" s="63"/>
      <c r="C1794" s="63" t="str">
        <f>IFERROR(VLOOKUP(B1794,منتجات!$A$3:$C$350,2,0),"")</f>
        <v/>
      </c>
      <c r="D1794" s="63" t="str">
        <f>IFERROR(VLOOKUP(B1794,منتجات!$A$3:$C$350,3,0),"")</f>
        <v/>
      </c>
      <c r="E1794" s="63"/>
      <c r="F1794" s="63" t="str">
        <f>IFERROR(INDEX(منتجات!$G$3:$G$350,MATCH(B1794,منتجات!$A$3:$A$115,0)),"")</f>
        <v/>
      </c>
      <c r="G1794" s="63" t="str">
        <f t="shared" si="29"/>
        <v/>
      </c>
      <c r="H1794" s="69"/>
    </row>
    <row r="1795" spans="1:8" x14ac:dyDescent="0.35">
      <c r="A1795" s="64"/>
      <c r="B1795" s="65"/>
      <c r="C1795" s="65" t="str">
        <f>IFERROR(VLOOKUP(B1795,منتجات!$A$3:$C$350,2,0),"")</f>
        <v/>
      </c>
      <c r="D1795" s="65" t="str">
        <f>IFERROR(VLOOKUP(B1795,منتجات!$A$3:$C$350,3,0),"")</f>
        <v/>
      </c>
      <c r="E1795" s="65"/>
      <c r="F1795" s="65" t="str">
        <f>IFERROR(INDEX(منتجات!$G$3:$G$350,MATCH(B1795,منتجات!$A$3:$A$115,0)),"")</f>
        <v/>
      </c>
      <c r="G1795" s="65" t="str">
        <f t="shared" si="29"/>
        <v/>
      </c>
      <c r="H1795" s="70"/>
    </row>
    <row r="1796" spans="1:8" x14ac:dyDescent="0.35">
      <c r="A1796" s="62"/>
      <c r="B1796" s="63"/>
      <c r="C1796" s="63" t="str">
        <f>IFERROR(VLOOKUP(B1796,منتجات!$A$3:$C$350,2,0),"")</f>
        <v/>
      </c>
      <c r="D1796" s="63" t="str">
        <f>IFERROR(VLOOKUP(B1796,منتجات!$A$3:$C$350,3,0),"")</f>
        <v/>
      </c>
      <c r="E1796" s="63"/>
      <c r="F1796" s="63" t="str">
        <f>IFERROR(INDEX(منتجات!$G$3:$G$350,MATCH(B1796,منتجات!$A$3:$A$115,0)),"")</f>
        <v/>
      </c>
      <c r="G1796" s="63" t="str">
        <f t="shared" si="29"/>
        <v/>
      </c>
      <c r="H1796" s="69"/>
    </row>
    <row r="1797" spans="1:8" x14ac:dyDescent="0.35">
      <c r="A1797" s="64"/>
      <c r="B1797" s="65"/>
      <c r="C1797" s="65" t="str">
        <f>IFERROR(VLOOKUP(B1797,منتجات!$A$3:$C$350,2,0),"")</f>
        <v/>
      </c>
      <c r="D1797" s="65" t="str">
        <f>IFERROR(VLOOKUP(B1797,منتجات!$A$3:$C$350,3,0),"")</f>
        <v/>
      </c>
      <c r="E1797" s="65"/>
      <c r="F1797" s="65" t="str">
        <f>IFERROR(INDEX(منتجات!$G$3:$G$350,MATCH(B1797,منتجات!$A$3:$A$115,0)),"")</f>
        <v/>
      </c>
      <c r="G1797" s="65" t="str">
        <f t="shared" si="29"/>
        <v/>
      </c>
      <c r="H1797" s="70"/>
    </row>
    <row r="1798" spans="1:8" x14ac:dyDescent="0.35">
      <c r="A1798" s="62"/>
      <c r="B1798" s="63"/>
      <c r="C1798" s="63" t="str">
        <f>IFERROR(VLOOKUP(B1798,منتجات!$A$3:$C$350,2,0),"")</f>
        <v/>
      </c>
      <c r="D1798" s="63" t="str">
        <f>IFERROR(VLOOKUP(B1798,منتجات!$A$3:$C$350,3,0),"")</f>
        <v/>
      </c>
      <c r="E1798" s="63"/>
      <c r="F1798" s="63" t="str">
        <f>IFERROR(INDEX(منتجات!$G$3:$G$350,MATCH(B1798,منتجات!$A$3:$A$115,0)),"")</f>
        <v/>
      </c>
      <c r="G1798" s="63" t="str">
        <f t="shared" ref="G1798:G1861" si="30">IFERROR(E1798*F1798*D1798,"")</f>
        <v/>
      </c>
      <c r="H1798" s="69"/>
    </row>
    <row r="1799" spans="1:8" x14ac:dyDescent="0.35">
      <c r="A1799" s="64"/>
      <c r="B1799" s="65"/>
      <c r="C1799" s="65" t="str">
        <f>IFERROR(VLOOKUP(B1799,منتجات!$A$3:$C$350,2,0),"")</f>
        <v/>
      </c>
      <c r="D1799" s="65" t="str">
        <f>IFERROR(VLOOKUP(B1799,منتجات!$A$3:$C$350,3,0),"")</f>
        <v/>
      </c>
      <c r="E1799" s="65"/>
      <c r="F1799" s="65" t="str">
        <f>IFERROR(INDEX(منتجات!$G$3:$G$350,MATCH(B1799,منتجات!$A$3:$A$115,0)),"")</f>
        <v/>
      </c>
      <c r="G1799" s="65" t="str">
        <f t="shared" si="30"/>
        <v/>
      </c>
      <c r="H1799" s="70"/>
    </row>
    <row r="1800" spans="1:8" x14ac:dyDescent="0.35">
      <c r="A1800" s="62"/>
      <c r="B1800" s="63"/>
      <c r="C1800" s="63" t="str">
        <f>IFERROR(VLOOKUP(B1800,منتجات!$A$3:$C$350,2,0),"")</f>
        <v/>
      </c>
      <c r="D1800" s="63" t="str">
        <f>IFERROR(VLOOKUP(B1800,منتجات!$A$3:$C$350,3,0),"")</f>
        <v/>
      </c>
      <c r="E1800" s="63"/>
      <c r="F1800" s="63" t="str">
        <f>IFERROR(INDEX(منتجات!$G$3:$G$350,MATCH(B1800,منتجات!$A$3:$A$115,0)),"")</f>
        <v/>
      </c>
      <c r="G1800" s="63" t="str">
        <f t="shared" si="30"/>
        <v/>
      </c>
      <c r="H1800" s="69"/>
    </row>
    <row r="1801" spans="1:8" x14ac:dyDescent="0.35">
      <c r="A1801" s="64"/>
      <c r="B1801" s="65"/>
      <c r="C1801" s="65" t="str">
        <f>IFERROR(VLOOKUP(B1801,منتجات!$A$3:$C$350,2,0),"")</f>
        <v/>
      </c>
      <c r="D1801" s="65" t="str">
        <f>IFERROR(VLOOKUP(B1801,منتجات!$A$3:$C$350,3,0),"")</f>
        <v/>
      </c>
      <c r="E1801" s="65"/>
      <c r="F1801" s="65" t="str">
        <f>IFERROR(INDEX(منتجات!$G$3:$G$350,MATCH(B1801,منتجات!$A$3:$A$115,0)),"")</f>
        <v/>
      </c>
      <c r="G1801" s="65" t="str">
        <f t="shared" si="30"/>
        <v/>
      </c>
      <c r="H1801" s="70"/>
    </row>
    <row r="1802" spans="1:8" x14ac:dyDescent="0.35">
      <c r="A1802" s="62"/>
      <c r="B1802" s="63"/>
      <c r="C1802" s="63" t="str">
        <f>IFERROR(VLOOKUP(B1802,منتجات!$A$3:$C$350,2,0),"")</f>
        <v/>
      </c>
      <c r="D1802" s="63" t="str">
        <f>IFERROR(VLOOKUP(B1802,منتجات!$A$3:$C$350,3,0),"")</f>
        <v/>
      </c>
      <c r="E1802" s="63"/>
      <c r="F1802" s="63" t="str">
        <f>IFERROR(INDEX(منتجات!$G$3:$G$350,MATCH(B1802,منتجات!$A$3:$A$115,0)),"")</f>
        <v/>
      </c>
      <c r="G1802" s="63" t="str">
        <f t="shared" si="30"/>
        <v/>
      </c>
      <c r="H1802" s="69"/>
    </row>
    <row r="1803" spans="1:8" x14ac:dyDescent="0.35">
      <c r="A1803" s="64"/>
      <c r="B1803" s="65"/>
      <c r="C1803" s="65" t="str">
        <f>IFERROR(VLOOKUP(B1803,منتجات!$A$3:$C$350,2,0),"")</f>
        <v/>
      </c>
      <c r="D1803" s="65" t="str">
        <f>IFERROR(VLOOKUP(B1803,منتجات!$A$3:$C$350,3,0),"")</f>
        <v/>
      </c>
      <c r="E1803" s="65"/>
      <c r="F1803" s="65" t="str">
        <f>IFERROR(INDEX(منتجات!$G$3:$G$350,MATCH(B1803,منتجات!$A$3:$A$115,0)),"")</f>
        <v/>
      </c>
      <c r="G1803" s="65" t="str">
        <f t="shared" si="30"/>
        <v/>
      </c>
      <c r="H1803" s="70"/>
    </row>
    <row r="1804" spans="1:8" x14ac:dyDescent="0.35">
      <c r="A1804" s="62"/>
      <c r="B1804" s="63"/>
      <c r="C1804" s="63" t="str">
        <f>IFERROR(VLOOKUP(B1804,منتجات!$A$3:$C$350,2,0),"")</f>
        <v/>
      </c>
      <c r="D1804" s="63" t="str">
        <f>IFERROR(VLOOKUP(B1804,منتجات!$A$3:$C$350,3,0),"")</f>
        <v/>
      </c>
      <c r="E1804" s="63"/>
      <c r="F1804" s="63" t="str">
        <f>IFERROR(INDEX(منتجات!$G$3:$G$350,MATCH(B1804,منتجات!$A$3:$A$115,0)),"")</f>
        <v/>
      </c>
      <c r="G1804" s="63" t="str">
        <f t="shared" si="30"/>
        <v/>
      </c>
      <c r="H1804" s="69"/>
    </row>
    <row r="1805" spans="1:8" x14ac:dyDescent="0.35">
      <c r="A1805" s="64"/>
      <c r="B1805" s="65"/>
      <c r="C1805" s="65" t="str">
        <f>IFERROR(VLOOKUP(B1805,منتجات!$A$3:$C$350,2,0),"")</f>
        <v/>
      </c>
      <c r="D1805" s="65" t="str">
        <f>IFERROR(VLOOKUP(B1805,منتجات!$A$3:$C$350,3,0),"")</f>
        <v/>
      </c>
      <c r="E1805" s="65"/>
      <c r="F1805" s="65" t="str">
        <f>IFERROR(INDEX(منتجات!$G$3:$G$350,MATCH(B1805,منتجات!$A$3:$A$115,0)),"")</f>
        <v/>
      </c>
      <c r="G1805" s="65" t="str">
        <f t="shared" si="30"/>
        <v/>
      </c>
      <c r="H1805" s="70"/>
    </row>
    <row r="1806" spans="1:8" x14ac:dyDescent="0.35">
      <c r="A1806" s="62"/>
      <c r="B1806" s="63"/>
      <c r="C1806" s="63" t="str">
        <f>IFERROR(VLOOKUP(B1806,منتجات!$A$3:$C$350,2,0),"")</f>
        <v/>
      </c>
      <c r="D1806" s="63" t="str">
        <f>IFERROR(VLOOKUP(B1806,منتجات!$A$3:$C$350,3,0),"")</f>
        <v/>
      </c>
      <c r="E1806" s="63"/>
      <c r="F1806" s="63" t="str">
        <f>IFERROR(INDEX(منتجات!$G$3:$G$350,MATCH(B1806,منتجات!$A$3:$A$115,0)),"")</f>
        <v/>
      </c>
      <c r="G1806" s="63" t="str">
        <f t="shared" si="30"/>
        <v/>
      </c>
      <c r="H1806" s="69"/>
    </row>
    <row r="1807" spans="1:8" x14ac:dyDescent="0.35">
      <c r="A1807" s="64"/>
      <c r="B1807" s="65"/>
      <c r="C1807" s="65" t="str">
        <f>IFERROR(VLOOKUP(B1807,منتجات!$A$3:$C$350,2,0),"")</f>
        <v/>
      </c>
      <c r="D1807" s="65" t="str">
        <f>IFERROR(VLOOKUP(B1807,منتجات!$A$3:$C$350,3,0),"")</f>
        <v/>
      </c>
      <c r="E1807" s="65"/>
      <c r="F1807" s="65" t="str">
        <f>IFERROR(INDEX(منتجات!$G$3:$G$350,MATCH(B1807,منتجات!$A$3:$A$115,0)),"")</f>
        <v/>
      </c>
      <c r="G1807" s="65" t="str">
        <f t="shared" si="30"/>
        <v/>
      </c>
      <c r="H1807" s="70"/>
    </row>
    <row r="1808" spans="1:8" x14ac:dyDescent="0.35">
      <c r="A1808" s="62"/>
      <c r="B1808" s="63"/>
      <c r="C1808" s="63" t="str">
        <f>IFERROR(VLOOKUP(B1808,منتجات!$A$3:$C$350,2,0),"")</f>
        <v/>
      </c>
      <c r="D1808" s="63" t="str">
        <f>IFERROR(VLOOKUP(B1808,منتجات!$A$3:$C$350,3,0),"")</f>
        <v/>
      </c>
      <c r="E1808" s="63"/>
      <c r="F1808" s="63" t="str">
        <f>IFERROR(INDEX(منتجات!$G$3:$G$350,MATCH(B1808,منتجات!$A$3:$A$115,0)),"")</f>
        <v/>
      </c>
      <c r="G1808" s="63" t="str">
        <f t="shared" si="30"/>
        <v/>
      </c>
      <c r="H1808" s="69"/>
    </row>
    <row r="1809" spans="1:8" x14ac:dyDescent="0.35">
      <c r="A1809" s="64"/>
      <c r="B1809" s="65"/>
      <c r="C1809" s="65" t="str">
        <f>IFERROR(VLOOKUP(B1809,منتجات!$A$3:$C$350,2,0),"")</f>
        <v/>
      </c>
      <c r="D1809" s="65" t="str">
        <f>IFERROR(VLOOKUP(B1809,منتجات!$A$3:$C$350,3,0),"")</f>
        <v/>
      </c>
      <c r="E1809" s="65"/>
      <c r="F1809" s="65" t="str">
        <f>IFERROR(INDEX(منتجات!$G$3:$G$350,MATCH(B1809,منتجات!$A$3:$A$115,0)),"")</f>
        <v/>
      </c>
      <c r="G1809" s="65" t="str">
        <f t="shared" si="30"/>
        <v/>
      </c>
      <c r="H1809" s="70"/>
    </row>
    <row r="1810" spans="1:8" x14ac:dyDescent="0.35">
      <c r="A1810" s="62"/>
      <c r="B1810" s="63"/>
      <c r="C1810" s="63" t="str">
        <f>IFERROR(VLOOKUP(B1810,منتجات!$A$3:$C$350,2,0),"")</f>
        <v/>
      </c>
      <c r="D1810" s="63" t="str">
        <f>IFERROR(VLOOKUP(B1810,منتجات!$A$3:$C$350,3,0),"")</f>
        <v/>
      </c>
      <c r="E1810" s="63"/>
      <c r="F1810" s="63" t="str">
        <f>IFERROR(INDEX(منتجات!$G$3:$G$350,MATCH(B1810,منتجات!$A$3:$A$115,0)),"")</f>
        <v/>
      </c>
      <c r="G1810" s="63" t="str">
        <f t="shared" si="30"/>
        <v/>
      </c>
      <c r="H1810" s="69"/>
    </row>
    <row r="1811" spans="1:8" x14ac:dyDescent="0.35">
      <c r="A1811" s="64"/>
      <c r="B1811" s="65"/>
      <c r="C1811" s="65" t="str">
        <f>IFERROR(VLOOKUP(B1811,منتجات!$A$3:$C$350,2,0),"")</f>
        <v/>
      </c>
      <c r="D1811" s="65" t="str">
        <f>IFERROR(VLOOKUP(B1811,منتجات!$A$3:$C$350,3,0),"")</f>
        <v/>
      </c>
      <c r="E1811" s="65"/>
      <c r="F1811" s="65" t="str">
        <f>IFERROR(INDEX(منتجات!$G$3:$G$350,MATCH(B1811,منتجات!$A$3:$A$115,0)),"")</f>
        <v/>
      </c>
      <c r="G1811" s="65" t="str">
        <f t="shared" si="30"/>
        <v/>
      </c>
      <c r="H1811" s="70"/>
    </row>
    <row r="1812" spans="1:8" x14ac:dyDescent="0.35">
      <c r="A1812" s="62"/>
      <c r="B1812" s="63"/>
      <c r="C1812" s="63" t="str">
        <f>IFERROR(VLOOKUP(B1812,منتجات!$A$3:$C$350,2,0),"")</f>
        <v/>
      </c>
      <c r="D1812" s="63" t="str">
        <f>IFERROR(VLOOKUP(B1812,منتجات!$A$3:$C$350,3,0),"")</f>
        <v/>
      </c>
      <c r="E1812" s="63"/>
      <c r="F1812" s="63" t="str">
        <f>IFERROR(INDEX(منتجات!$G$3:$G$350,MATCH(B1812,منتجات!$A$3:$A$115,0)),"")</f>
        <v/>
      </c>
      <c r="G1812" s="63" t="str">
        <f t="shared" si="30"/>
        <v/>
      </c>
      <c r="H1812" s="69"/>
    </row>
    <row r="1813" spans="1:8" x14ac:dyDescent="0.35">
      <c r="A1813" s="64"/>
      <c r="B1813" s="65"/>
      <c r="C1813" s="65" t="str">
        <f>IFERROR(VLOOKUP(B1813,منتجات!$A$3:$C$350,2,0),"")</f>
        <v/>
      </c>
      <c r="D1813" s="65" t="str">
        <f>IFERROR(VLOOKUP(B1813,منتجات!$A$3:$C$350,3,0),"")</f>
        <v/>
      </c>
      <c r="E1813" s="65"/>
      <c r="F1813" s="65" t="str">
        <f>IFERROR(INDEX(منتجات!$G$3:$G$350,MATCH(B1813,منتجات!$A$3:$A$115,0)),"")</f>
        <v/>
      </c>
      <c r="G1813" s="65" t="str">
        <f t="shared" si="30"/>
        <v/>
      </c>
      <c r="H1813" s="70"/>
    </row>
    <row r="1814" spans="1:8" x14ac:dyDescent="0.35">
      <c r="A1814" s="62"/>
      <c r="B1814" s="63"/>
      <c r="C1814" s="63" t="str">
        <f>IFERROR(VLOOKUP(B1814,منتجات!$A$3:$C$350,2,0),"")</f>
        <v/>
      </c>
      <c r="D1814" s="63" t="str">
        <f>IFERROR(VLOOKUP(B1814,منتجات!$A$3:$C$350,3,0),"")</f>
        <v/>
      </c>
      <c r="E1814" s="63"/>
      <c r="F1814" s="63" t="str">
        <f>IFERROR(INDEX(منتجات!$G$3:$G$350,MATCH(B1814,منتجات!$A$3:$A$115,0)),"")</f>
        <v/>
      </c>
      <c r="G1814" s="63" t="str">
        <f t="shared" si="30"/>
        <v/>
      </c>
      <c r="H1814" s="69"/>
    </row>
    <row r="1815" spans="1:8" x14ac:dyDescent="0.35">
      <c r="A1815" s="64"/>
      <c r="B1815" s="65"/>
      <c r="C1815" s="65" t="str">
        <f>IFERROR(VLOOKUP(B1815,منتجات!$A$3:$C$350,2,0),"")</f>
        <v/>
      </c>
      <c r="D1815" s="65" t="str">
        <f>IFERROR(VLOOKUP(B1815,منتجات!$A$3:$C$350,3,0),"")</f>
        <v/>
      </c>
      <c r="E1815" s="65"/>
      <c r="F1815" s="65" t="str">
        <f>IFERROR(INDEX(منتجات!$G$3:$G$350,MATCH(B1815,منتجات!$A$3:$A$115,0)),"")</f>
        <v/>
      </c>
      <c r="G1815" s="65" t="str">
        <f t="shared" si="30"/>
        <v/>
      </c>
      <c r="H1815" s="70"/>
    </row>
    <row r="1816" spans="1:8" x14ac:dyDescent="0.35">
      <c r="A1816" s="62"/>
      <c r="B1816" s="63"/>
      <c r="C1816" s="63" t="str">
        <f>IFERROR(VLOOKUP(B1816,منتجات!$A$3:$C$350,2,0),"")</f>
        <v/>
      </c>
      <c r="D1816" s="63" t="str">
        <f>IFERROR(VLOOKUP(B1816,منتجات!$A$3:$C$350,3,0),"")</f>
        <v/>
      </c>
      <c r="E1816" s="63"/>
      <c r="F1816" s="63" t="str">
        <f>IFERROR(INDEX(منتجات!$G$3:$G$350,MATCH(B1816,منتجات!$A$3:$A$115,0)),"")</f>
        <v/>
      </c>
      <c r="G1816" s="63" t="str">
        <f t="shared" si="30"/>
        <v/>
      </c>
      <c r="H1816" s="69"/>
    </row>
    <row r="1817" spans="1:8" x14ac:dyDescent="0.35">
      <c r="A1817" s="64"/>
      <c r="B1817" s="65"/>
      <c r="C1817" s="65" t="str">
        <f>IFERROR(VLOOKUP(B1817,منتجات!$A$3:$C$350,2,0),"")</f>
        <v/>
      </c>
      <c r="D1817" s="65" t="str">
        <f>IFERROR(VLOOKUP(B1817,منتجات!$A$3:$C$350,3,0),"")</f>
        <v/>
      </c>
      <c r="E1817" s="65"/>
      <c r="F1817" s="65" t="str">
        <f>IFERROR(INDEX(منتجات!$G$3:$G$350,MATCH(B1817,منتجات!$A$3:$A$115,0)),"")</f>
        <v/>
      </c>
      <c r="G1817" s="65" t="str">
        <f t="shared" si="30"/>
        <v/>
      </c>
      <c r="H1817" s="70"/>
    </row>
    <row r="1818" spans="1:8" x14ac:dyDescent="0.35">
      <c r="A1818" s="62"/>
      <c r="B1818" s="63"/>
      <c r="C1818" s="63" t="str">
        <f>IFERROR(VLOOKUP(B1818,منتجات!$A$3:$C$350,2,0),"")</f>
        <v/>
      </c>
      <c r="D1818" s="63" t="str">
        <f>IFERROR(VLOOKUP(B1818,منتجات!$A$3:$C$350,3,0),"")</f>
        <v/>
      </c>
      <c r="E1818" s="63"/>
      <c r="F1818" s="63" t="str">
        <f>IFERROR(INDEX(منتجات!$G$3:$G$350,MATCH(B1818,منتجات!$A$3:$A$115,0)),"")</f>
        <v/>
      </c>
      <c r="G1818" s="63" t="str">
        <f t="shared" si="30"/>
        <v/>
      </c>
      <c r="H1818" s="69"/>
    </row>
    <row r="1819" spans="1:8" x14ac:dyDescent="0.35">
      <c r="A1819" s="64"/>
      <c r="B1819" s="65"/>
      <c r="C1819" s="65" t="str">
        <f>IFERROR(VLOOKUP(B1819,منتجات!$A$3:$C$350,2,0),"")</f>
        <v/>
      </c>
      <c r="D1819" s="65" t="str">
        <f>IFERROR(VLOOKUP(B1819,منتجات!$A$3:$C$350,3,0),"")</f>
        <v/>
      </c>
      <c r="E1819" s="65"/>
      <c r="F1819" s="65" t="str">
        <f>IFERROR(INDEX(منتجات!$G$3:$G$350,MATCH(B1819,منتجات!$A$3:$A$115,0)),"")</f>
        <v/>
      </c>
      <c r="G1819" s="65" t="str">
        <f t="shared" si="30"/>
        <v/>
      </c>
      <c r="H1819" s="70"/>
    </row>
    <row r="1820" spans="1:8" x14ac:dyDescent="0.35">
      <c r="A1820" s="62"/>
      <c r="B1820" s="63"/>
      <c r="C1820" s="63" t="str">
        <f>IFERROR(VLOOKUP(B1820,منتجات!$A$3:$C$350,2,0),"")</f>
        <v/>
      </c>
      <c r="D1820" s="63" t="str">
        <f>IFERROR(VLOOKUP(B1820,منتجات!$A$3:$C$350,3,0),"")</f>
        <v/>
      </c>
      <c r="E1820" s="63"/>
      <c r="F1820" s="63" t="str">
        <f>IFERROR(INDEX(منتجات!$G$3:$G$350,MATCH(B1820,منتجات!$A$3:$A$115,0)),"")</f>
        <v/>
      </c>
      <c r="G1820" s="63" t="str">
        <f t="shared" si="30"/>
        <v/>
      </c>
      <c r="H1820" s="69"/>
    </row>
    <row r="1821" spans="1:8" x14ac:dyDescent="0.35">
      <c r="A1821" s="64"/>
      <c r="B1821" s="65"/>
      <c r="C1821" s="65" t="str">
        <f>IFERROR(VLOOKUP(B1821,منتجات!$A$3:$C$350,2,0),"")</f>
        <v/>
      </c>
      <c r="D1821" s="65" t="str">
        <f>IFERROR(VLOOKUP(B1821,منتجات!$A$3:$C$350,3,0),"")</f>
        <v/>
      </c>
      <c r="E1821" s="65"/>
      <c r="F1821" s="65" t="str">
        <f>IFERROR(INDEX(منتجات!$G$3:$G$350,MATCH(B1821,منتجات!$A$3:$A$115,0)),"")</f>
        <v/>
      </c>
      <c r="G1821" s="65" t="str">
        <f t="shared" si="30"/>
        <v/>
      </c>
      <c r="H1821" s="70"/>
    </row>
    <row r="1822" spans="1:8" x14ac:dyDescent="0.35">
      <c r="A1822" s="62"/>
      <c r="B1822" s="63"/>
      <c r="C1822" s="63" t="str">
        <f>IFERROR(VLOOKUP(B1822,منتجات!$A$3:$C$350,2,0),"")</f>
        <v/>
      </c>
      <c r="D1822" s="63" t="str">
        <f>IFERROR(VLOOKUP(B1822,منتجات!$A$3:$C$350,3,0),"")</f>
        <v/>
      </c>
      <c r="E1822" s="63"/>
      <c r="F1822" s="63" t="str">
        <f>IFERROR(INDEX(منتجات!$G$3:$G$350,MATCH(B1822,منتجات!$A$3:$A$115,0)),"")</f>
        <v/>
      </c>
      <c r="G1822" s="63" t="str">
        <f t="shared" si="30"/>
        <v/>
      </c>
      <c r="H1822" s="69"/>
    </row>
    <row r="1823" spans="1:8" x14ac:dyDescent="0.35">
      <c r="A1823" s="64"/>
      <c r="B1823" s="65"/>
      <c r="C1823" s="65" t="str">
        <f>IFERROR(VLOOKUP(B1823,منتجات!$A$3:$C$350,2,0),"")</f>
        <v/>
      </c>
      <c r="D1823" s="65" t="str">
        <f>IFERROR(VLOOKUP(B1823,منتجات!$A$3:$C$350,3,0),"")</f>
        <v/>
      </c>
      <c r="E1823" s="65"/>
      <c r="F1823" s="65" t="str">
        <f>IFERROR(INDEX(منتجات!$G$3:$G$350,MATCH(B1823,منتجات!$A$3:$A$115,0)),"")</f>
        <v/>
      </c>
      <c r="G1823" s="65" t="str">
        <f t="shared" si="30"/>
        <v/>
      </c>
      <c r="H1823" s="70"/>
    </row>
    <row r="1824" spans="1:8" x14ac:dyDescent="0.35">
      <c r="A1824" s="62"/>
      <c r="B1824" s="63"/>
      <c r="C1824" s="63" t="str">
        <f>IFERROR(VLOOKUP(B1824,منتجات!$A$3:$C$350,2,0),"")</f>
        <v/>
      </c>
      <c r="D1824" s="63" t="str">
        <f>IFERROR(VLOOKUP(B1824,منتجات!$A$3:$C$350,3,0),"")</f>
        <v/>
      </c>
      <c r="E1824" s="63"/>
      <c r="F1824" s="63" t="str">
        <f>IFERROR(INDEX(منتجات!$G$3:$G$350,MATCH(B1824,منتجات!$A$3:$A$115,0)),"")</f>
        <v/>
      </c>
      <c r="G1824" s="63" t="str">
        <f t="shared" si="30"/>
        <v/>
      </c>
      <c r="H1824" s="69"/>
    </row>
    <row r="1825" spans="1:8" x14ac:dyDescent="0.35">
      <c r="A1825" s="64"/>
      <c r="B1825" s="65"/>
      <c r="C1825" s="65" t="str">
        <f>IFERROR(VLOOKUP(B1825,منتجات!$A$3:$C$350,2,0),"")</f>
        <v/>
      </c>
      <c r="D1825" s="65" t="str">
        <f>IFERROR(VLOOKUP(B1825,منتجات!$A$3:$C$350,3,0),"")</f>
        <v/>
      </c>
      <c r="E1825" s="65"/>
      <c r="F1825" s="65" t="str">
        <f>IFERROR(INDEX(منتجات!$G$3:$G$350,MATCH(B1825,منتجات!$A$3:$A$115,0)),"")</f>
        <v/>
      </c>
      <c r="G1825" s="65" t="str">
        <f t="shared" si="30"/>
        <v/>
      </c>
      <c r="H1825" s="70"/>
    </row>
    <row r="1826" spans="1:8" x14ac:dyDescent="0.35">
      <c r="A1826" s="62"/>
      <c r="B1826" s="63"/>
      <c r="C1826" s="63" t="str">
        <f>IFERROR(VLOOKUP(B1826,منتجات!$A$3:$C$350,2,0),"")</f>
        <v/>
      </c>
      <c r="D1826" s="63" t="str">
        <f>IFERROR(VLOOKUP(B1826,منتجات!$A$3:$C$350,3,0),"")</f>
        <v/>
      </c>
      <c r="E1826" s="63"/>
      <c r="F1826" s="63" t="str">
        <f>IFERROR(INDEX(منتجات!$G$3:$G$350,MATCH(B1826,منتجات!$A$3:$A$115,0)),"")</f>
        <v/>
      </c>
      <c r="G1826" s="63" t="str">
        <f t="shared" si="30"/>
        <v/>
      </c>
      <c r="H1826" s="69"/>
    </row>
    <row r="1827" spans="1:8" x14ac:dyDescent="0.35">
      <c r="A1827" s="64"/>
      <c r="B1827" s="65"/>
      <c r="C1827" s="65" t="str">
        <f>IFERROR(VLOOKUP(B1827,منتجات!$A$3:$C$350,2,0),"")</f>
        <v/>
      </c>
      <c r="D1827" s="65" t="str">
        <f>IFERROR(VLOOKUP(B1827,منتجات!$A$3:$C$350,3,0),"")</f>
        <v/>
      </c>
      <c r="E1827" s="65"/>
      <c r="F1827" s="65" t="str">
        <f>IFERROR(INDEX(منتجات!$G$3:$G$350,MATCH(B1827,منتجات!$A$3:$A$115,0)),"")</f>
        <v/>
      </c>
      <c r="G1827" s="65" t="str">
        <f t="shared" si="30"/>
        <v/>
      </c>
      <c r="H1827" s="70"/>
    </row>
    <row r="1828" spans="1:8" x14ac:dyDescent="0.35">
      <c r="A1828" s="62"/>
      <c r="B1828" s="63"/>
      <c r="C1828" s="63" t="str">
        <f>IFERROR(VLOOKUP(B1828,منتجات!$A$3:$C$350,2,0),"")</f>
        <v/>
      </c>
      <c r="D1828" s="63" t="str">
        <f>IFERROR(VLOOKUP(B1828,منتجات!$A$3:$C$350,3,0),"")</f>
        <v/>
      </c>
      <c r="E1828" s="63"/>
      <c r="F1828" s="63" t="str">
        <f>IFERROR(INDEX(منتجات!$G$3:$G$350,MATCH(B1828,منتجات!$A$3:$A$115,0)),"")</f>
        <v/>
      </c>
      <c r="G1828" s="63" t="str">
        <f t="shared" si="30"/>
        <v/>
      </c>
      <c r="H1828" s="69"/>
    </row>
    <row r="1829" spans="1:8" x14ac:dyDescent="0.35">
      <c r="A1829" s="64"/>
      <c r="B1829" s="65"/>
      <c r="C1829" s="65" t="str">
        <f>IFERROR(VLOOKUP(B1829,منتجات!$A$3:$C$350,2,0),"")</f>
        <v/>
      </c>
      <c r="D1829" s="65" t="str">
        <f>IFERROR(VLOOKUP(B1829,منتجات!$A$3:$C$350,3,0),"")</f>
        <v/>
      </c>
      <c r="E1829" s="65"/>
      <c r="F1829" s="65" t="str">
        <f>IFERROR(INDEX(منتجات!$G$3:$G$350,MATCH(B1829,منتجات!$A$3:$A$115,0)),"")</f>
        <v/>
      </c>
      <c r="G1829" s="65" t="str">
        <f t="shared" si="30"/>
        <v/>
      </c>
      <c r="H1829" s="70"/>
    </row>
    <row r="1830" spans="1:8" x14ac:dyDescent="0.35">
      <c r="A1830" s="62"/>
      <c r="B1830" s="63"/>
      <c r="C1830" s="63" t="str">
        <f>IFERROR(VLOOKUP(B1830,منتجات!$A$3:$C$350,2,0),"")</f>
        <v/>
      </c>
      <c r="D1830" s="63" t="str">
        <f>IFERROR(VLOOKUP(B1830,منتجات!$A$3:$C$350,3,0),"")</f>
        <v/>
      </c>
      <c r="E1830" s="63"/>
      <c r="F1830" s="63" t="str">
        <f>IFERROR(INDEX(منتجات!$G$3:$G$350,MATCH(B1830,منتجات!$A$3:$A$115,0)),"")</f>
        <v/>
      </c>
      <c r="G1830" s="63" t="str">
        <f t="shared" si="30"/>
        <v/>
      </c>
      <c r="H1830" s="69"/>
    </row>
    <row r="1831" spans="1:8" x14ac:dyDescent="0.35">
      <c r="A1831" s="64"/>
      <c r="B1831" s="65"/>
      <c r="C1831" s="65" t="str">
        <f>IFERROR(VLOOKUP(B1831,منتجات!$A$3:$C$350,2,0),"")</f>
        <v/>
      </c>
      <c r="D1831" s="65" t="str">
        <f>IFERROR(VLOOKUP(B1831,منتجات!$A$3:$C$350,3,0),"")</f>
        <v/>
      </c>
      <c r="E1831" s="65"/>
      <c r="F1831" s="65" t="str">
        <f>IFERROR(INDEX(منتجات!$G$3:$G$350,MATCH(B1831,منتجات!$A$3:$A$115,0)),"")</f>
        <v/>
      </c>
      <c r="G1831" s="65" t="str">
        <f t="shared" si="30"/>
        <v/>
      </c>
      <c r="H1831" s="70"/>
    </row>
    <row r="1832" spans="1:8" x14ac:dyDescent="0.35">
      <c r="A1832" s="62"/>
      <c r="B1832" s="63"/>
      <c r="C1832" s="63" t="str">
        <f>IFERROR(VLOOKUP(B1832,منتجات!$A$3:$C$350,2,0),"")</f>
        <v/>
      </c>
      <c r="D1832" s="63" t="str">
        <f>IFERROR(VLOOKUP(B1832,منتجات!$A$3:$C$350,3,0),"")</f>
        <v/>
      </c>
      <c r="E1832" s="63"/>
      <c r="F1832" s="63" t="str">
        <f>IFERROR(INDEX(منتجات!$G$3:$G$350,MATCH(B1832,منتجات!$A$3:$A$115,0)),"")</f>
        <v/>
      </c>
      <c r="G1832" s="63" t="str">
        <f t="shared" si="30"/>
        <v/>
      </c>
      <c r="H1832" s="69"/>
    </row>
    <row r="1833" spans="1:8" x14ac:dyDescent="0.35">
      <c r="A1833" s="64"/>
      <c r="B1833" s="65"/>
      <c r="C1833" s="65" t="str">
        <f>IFERROR(VLOOKUP(B1833,منتجات!$A$3:$C$350,2,0),"")</f>
        <v/>
      </c>
      <c r="D1833" s="65" t="str">
        <f>IFERROR(VLOOKUP(B1833,منتجات!$A$3:$C$350,3,0),"")</f>
        <v/>
      </c>
      <c r="E1833" s="65"/>
      <c r="F1833" s="65" t="str">
        <f>IFERROR(INDEX(منتجات!$G$3:$G$350,MATCH(B1833,منتجات!$A$3:$A$115,0)),"")</f>
        <v/>
      </c>
      <c r="G1833" s="65" t="str">
        <f t="shared" si="30"/>
        <v/>
      </c>
      <c r="H1833" s="70"/>
    </row>
    <row r="1834" spans="1:8" x14ac:dyDescent="0.35">
      <c r="A1834" s="62"/>
      <c r="B1834" s="63"/>
      <c r="C1834" s="63" t="str">
        <f>IFERROR(VLOOKUP(B1834,منتجات!$A$3:$C$350,2,0),"")</f>
        <v/>
      </c>
      <c r="D1834" s="63" t="str">
        <f>IFERROR(VLOOKUP(B1834,منتجات!$A$3:$C$350,3,0),"")</f>
        <v/>
      </c>
      <c r="E1834" s="63"/>
      <c r="F1834" s="63" t="str">
        <f>IFERROR(INDEX(منتجات!$G$3:$G$350,MATCH(B1834,منتجات!$A$3:$A$115,0)),"")</f>
        <v/>
      </c>
      <c r="G1834" s="63" t="str">
        <f t="shared" si="30"/>
        <v/>
      </c>
      <c r="H1834" s="69"/>
    </row>
    <row r="1835" spans="1:8" x14ac:dyDescent="0.35">
      <c r="A1835" s="64"/>
      <c r="B1835" s="65"/>
      <c r="C1835" s="65" t="str">
        <f>IFERROR(VLOOKUP(B1835,منتجات!$A$3:$C$350,2,0),"")</f>
        <v/>
      </c>
      <c r="D1835" s="65" t="str">
        <f>IFERROR(VLOOKUP(B1835,منتجات!$A$3:$C$350,3,0),"")</f>
        <v/>
      </c>
      <c r="E1835" s="65"/>
      <c r="F1835" s="65" t="str">
        <f>IFERROR(INDEX(منتجات!$G$3:$G$350,MATCH(B1835,منتجات!$A$3:$A$115,0)),"")</f>
        <v/>
      </c>
      <c r="G1835" s="65" t="str">
        <f t="shared" si="30"/>
        <v/>
      </c>
      <c r="H1835" s="70"/>
    </row>
    <row r="1836" spans="1:8" x14ac:dyDescent="0.35">
      <c r="A1836" s="62"/>
      <c r="B1836" s="63"/>
      <c r="C1836" s="63" t="str">
        <f>IFERROR(VLOOKUP(B1836,منتجات!$A$3:$C$350,2,0),"")</f>
        <v/>
      </c>
      <c r="D1836" s="63" t="str">
        <f>IFERROR(VLOOKUP(B1836,منتجات!$A$3:$C$350,3,0),"")</f>
        <v/>
      </c>
      <c r="E1836" s="63"/>
      <c r="F1836" s="63" t="str">
        <f>IFERROR(INDEX(منتجات!$G$3:$G$350,MATCH(B1836,منتجات!$A$3:$A$115,0)),"")</f>
        <v/>
      </c>
      <c r="G1836" s="63" t="str">
        <f t="shared" si="30"/>
        <v/>
      </c>
      <c r="H1836" s="69"/>
    </row>
    <row r="1837" spans="1:8" x14ac:dyDescent="0.35">
      <c r="A1837" s="64"/>
      <c r="B1837" s="65"/>
      <c r="C1837" s="65" t="str">
        <f>IFERROR(VLOOKUP(B1837,منتجات!$A$3:$C$350,2,0),"")</f>
        <v/>
      </c>
      <c r="D1837" s="65" t="str">
        <f>IFERROR(VLOOKUP(B1837,منتجات!$A$3:$C$350,3,0),"")</f>
        <v/>
      </c>
      <c r="E1837" s="65"/>
      <c r="F1837" s="65" t="str">
        <f>IFERROR(INDEX(منتجات!$G$3:$G$350,MATCH(B1837,منتجات!$A$3:$A$115,0)),"")</f>
        <v/>
      </c>
      <c r="G1837" s="65" t="str">
        <f t="shared" si="30"/>
        <v/>
      </c>
      <c r="H1837" s="70"/>
    </row>
    <row r="1838" spans="1:8" x14ac:dyDescent="0.35">
      <c r="A1838" s="62"/>
      <c r="B1838" s="63"/>
      <c r="C1838" s="63" t="str">
        <f>IFERROR(VLOOKUP(B1838,منتجات!$A$3:$C$350,2,0),"")</f>
        <v/>
      </c>
      <c r="D1838" s="63" t="str">
        <f>IFERROR(VLOOKUP(B1838,منتجات!$A$3:$C$350,3,0),"")</f>
        <v/>
      </c>
      <c r="E1838" s="63"/>
      <c r="F1838" s="63" t="str">
        <f>IFERROR(INDEX(منتجات!$G$3:$G$350,MATCH(B1838,منتجات!$A$3:$A$115,0)),"")</f>
        <v/>
      </c>
      <c r="G1838" s="63" t="str">
        <f t="shared" si="30"/>
        <v/>
      </c>
      <c r="H1838" s="69"/>
    </row>
    <row r="1839" spans="1:8" x14ac:dyDescent="0.35">
      <c r="A1839" s="64"/>
      <c r="B1839" s="65"/>
      <c r="C1839" s="65" t="str">
        <f>IFERROR(VLOOKUP(B1839,منتجات!$A$3:$C$350,2,0),"")</f>
        <v/>
      </c>
      <c r="D1839" s="65" t="str">
        <f>IFERROR(VLOOKUP(B1839,منتجات!$A$3:$C$350,3,0),"")</f>
        <v/>
      </c>
      <c r="E1839" s="65"/>
      <c r="F1839" s="65" t="str">
        <f>IFERROR(INDEX(منتجات!$G$3:$G$350,MATCH(B1839,منتجات!$A$3:$A$115,0)),"")</f>
        <v/>
      </c>
      <c r="G1839" s="65" t="str">
        <f t="shared" si="30"/>
        <v/>
      </c>
      <c r="H1839" s="70"/>
    </row>
    <row r="1840" spans="1:8" x14ac:dyDescent="0.35">
      <c r="A1840" s="62"/>
      <c r="B1840" s="63"/>
      <c r="C1840" s="63" t="str">
        <f>IFERROR(VLOOKUP(B1840,منتجات!$A$3:$C$350,2,0),"")</f>
        <v/>
      </c>
      <c r="D1840" s="63" t="str">
        <f>IFERROR(VLOOKUP(B1840,منتجات!$A$3:$C$350,3,0),"")</f>
        <v/>
      </c>
      <c r="E1840" s="63"/>
      <c r="F1840" s="63" t="str">
        <f>IFERROR(INDEX(منتجات!$G$3:$G$350,MATCH(B1840,منتجات!$A$3:$A$115,0)),"")</f>
        <v/>
      </c>
      <c r="G1840" s="63" t="str">
        <f t="shared" si="30"/>
        <v/>
      </c>
      <c r="H1840" s="69"/>
    </row>
    <row r="1841" spans="1:8" x14ac:dyDescent="0.35">
      <c r="A1841" s="64"/>
      <c r="B1841" s="65"/>
      <c r="C1841" s="65" t="str">
        <f>IFERROR(VLOOKUP(B1841,منتجات!$A$3:$C$350,2,0),"")</f>
        <v/>
      </c>
      <c r="D1841" s="65" t="str">
        <f>IFERROR(VLOOKUP(B1841,منتجات!$A$3:$C$350,3,0),"")</f>
        <v/>
      </c>
      <c r="E1841" s="65"/>
      <c r="F1841" s="65" t="str">
        <f>IFERROR(INDEX(منتجات!$G$3:$G$350,MATCH(B1841,منتجات!$A$3:$A$115,0)),"")</f>
        <v/>
      </c>
      <c r="G1841" s="65" t="str">
        <f t="shared" si="30"/>
        <v/>
      </c>
      <c r="H1841" s="70"/>
    </row>
    <row r="1842" spans="1:8" x14ac:dyDescent="0.35">
      <c r="A1842" s="62"/>
      <c r="B1842" s="63"/>
      <c r="C1842" s="63" t="str">
        <f>IFERROR(VLOOKUP(B1842,منتجات!$A$3:$C$350,2,0),"")</f>
        <v/>
      </c>
      <c r="D1842" s="63" t="str">
        <f>IFERROR(VLOOKUP(B1842,منتجات!$A$3:$C$350,3,0),"")</f>
        <v/>
      </c>
      <c r="E1842" s="63"/>
      <c r="F1842" s="63" t="str">
        <f>IFERROR(INDEX(منتجات!$G$3:$G$350,MATCH(B1842,منتجات!$A$3:$A$115,0)),"")</f>
        <v/>
      </c>
      <c r="G1842" s="63" t="str">
        <f t="shared" si="30"/>
        <v/>
      </c>
      <c r="H1842" s="69"/>
    </row>
    <row r="1843" spans="1:8" x14ac:dyDescent="0.35">
      <c r="A1843" s="64"/>
      <c r="B1843" s="65"/>
      <c r="C1843" s="65" t="str">
        <f>IFERROR(VLOOKUP(B1843,منتجات!$A$3:$C$350,2,0),"")</f>
        <v/>
      </c>
      <c r="D1843" s="65" t="str">
        <f>IFERROR(VLOOKUP(B1843,منتجات!$A$3:$C$350,3,0),"")</f>
        <v/>
      </c>
      <c r="E1843" s="65"/>
      <c r="F1843" s="65" t="str">
        <f>IFERROR(INDEX(منتجات!$G$3:$G$350,MATCH(B1843,منتجات!$A$3:$A$115,0)),"")</f>
        <v/>
      </c>
      <c r="G1843" s="65" t="str">
        <f t="shared" si="30"/>
        <v/>
      </c>
      <c r="H1843" s="70"/>
    </row>
    <row r="1844" spans="1:8" x14ac:dyDescent="0.35">
      <c r="A1844" s="62"/>
      <c r="B1844" s="63"/>
      <c r="C1844" s="63" t="str">
        <f>IFERROR(VLOOKUP(B1844,منتجات!$A$3:$C$350,2,0),"")</f>
        <v/>
      </c>
      <c r="D1844" s="63" t="str">
        <f>IFERROR(VLOOKUP(B1844,منتجات!$A$3:$C$350,3,0),"")</f>
        <v/>
      </c>
      <c r="E1844" s="63"/>
      <c r="F1844" s="63" t="str">
        <f>IFERROR(INDEX(منتجات!$G$3:$G$350,MATCH(B1844,منتجات!$A$3:$A$115,0)),"")</f>
        <v/>
      </c>
      <c r="G1844" s="63" t="str">
        <f t="shared" si="30"/>
        <v/>
      </c>
      <c r="H1844" s="69"/>
    </row>
    <row r="1845" spans="1:8" x14ac:dyDescent="0.35">
      <c r="A1845" s="64"/>
      <c r="B1845" s="65"/>
      <c r="C1845" s="65" t="str">
        <f>IFERROR(VLOOKUP(B1845,منتجات!$A$3:$C$350,2,0),"")</f>
        <v/>
      </c>
      <c r="D1845" s="65" t="str">
        <f>IFERROR(VLOOKUP(B1845,منتجات!$A$3:$C$350,3,0),"")</f>
        <v/>
      </c>
      <c r="E1845" s="65"/>
      <c r="F1845" s="65" t="str">
        <f>IFERROR(INDEX(منتجات!$G$3:$G$350,MATCH(B1845,منتجات!$A$3:$A$115,0)),"")</f>
        <v/>
      </c>
      <c r="G1845" s="65" t="str">
        <f t="shared" si="30"/>
        <v/>
      </c>
      <c r="H1845" s="70"/>
    </row>
    <row r="1846" spans="1:8" x14ac:dyDescent="0.35">
      <c r="A1846" s="62"/>
      <c r="B1846" s="63"/>
      <c r="C1846" s="63" t="str">
        <f>IFERROR(VLOOKUP(B1846,منتجات!$A$3:$C$350,2,0),"")</f>
        <v/>
      </c>
      <c r="D1846" s="63" t="str">
        <f>IFERROR(VLOOKUP(B1846,منتجات!$A$3:$C$350,3,0),"")</f>
        <v/>
      </c>
      <c r="E1846" s="63"/>
      <c r="F1846" s="63" t="str">
        <f>IFERROR(INDEX(منتجات!$G$3:$G$350,MATCH(B1846,منتجات!$A$3:$A$115,0)),"")</f>
        <v/>
      </c>
      <c r="G1846" s="63" t="str">
        <f t="shared" si="30"/>
        <v/>
      </c>
      <c r="H1846" s="69"/>
    </row>
    <row r="1847" spans="1:8" x14ac:dyDescent="0.35">
      <c r="A1847" s="64"/>
      <c r="B1847" s="65"/>
      <c r="C1847" s="65" t="str">
        <f>IFERROR(VLOOKUP(B1847,منتجات!$A$3:$C$350,2,0),"")</f>
        <v/>
      </c>
      <c r="D1847" s="65" t="str">
        <f>IFERROR(VLOOKUP(B1847,منتجات!$A$3:$C$350,3,0),"")</f>
        <v/>
      </c>
      <c r="E1847" s="65"/>
      <c r="F1847" s="65" t="str">
        <f>IFERROR(INDEX(منتجات!$G$3:$G$350,MATCH(B1847,منتجات!$A$3:$A$115,0)),"")</f>
        <v/>
      </c>
      <c r="G1847" s="65" t="str">
        <f t="shared" si="30"/>
        <v/>
      </c>
      <c r="H1847" s="70"/>
    </row>
    <row r="1848" spans="1:8" x14ac:dyDescent="0.35">
      <c r="A1848" s="62"/>
      <c r="B1848" s="63"/>
      <c r="C1848" s="63" t="str">
        <f>IFERROR(VLOOKUP(B1848,منتجات!$A$3:$C$350,2,0),"")</f>
        <v/>
      </c>
      <c r="D1848" s="63" t="str">
        <f>IFERROR(VLOOKUP(B1848,منتجات!$A$3:$C$350,3,0),"")</f>
        <v/>
      </c>
      <c r="E1848" s="63"/>
      <c r="F1848" s="63" t="str">
        <f>IFERROR(INDEX(منتجات!$G$3:$G$350,MATCH(B1848,منتجات!$A$3:$A$115,0)),"")</f>
        <v/>
      </c>
      <c r="G1848" s="63" t="str">
        <f t="shared" si="30"/>
        <v/>
      </c>
      <c r="H1848" s="69"/>
    </row>
    <row r="1849" spans="1:8" x14ac:dyDescent="0.35">
      <c r="A1849" s="64"/>
      <c r="B1849" s="65"/>
      <c r="C1849" s="65" t="str">
        <f>IFERROR(VLOOKUP(B1849,منتجات!$A$3:$C$350,2,0),"")</f>
        <v/>
      </c>
      <c r="D1849" s="65" t="str">
        <f>IFERROR(VLOOKUP(B1849,منتجات!$A$3:$C$350,3,0),"")</f>
        <v/>
      </c>
      <c r="E1849" s="65"/>
      <c r="F1849" s="65" t="str">
        <f>IFERROR(INDEX(منتجات!$G$3:$G$350,MATCH(B1849,منتجات!$A$3:$A$115,0)),"")</f>
        <v/>
      </c>
      <c r="G1849" s="65" t="str">
        <f t="shared" si="30"/>
        <v/>
      </c>
      <c r="H1849" s="70"/>
    </row>
    <row r="1850" spans="1:8" x14ac:dyDescent="0.35">
      <c r="A1850" s="62"/>
      <c r="B1850" s="63"/>
      <c r="C1850" s="63" t="str">
        <f>IFERROR(VLOOKUP(B1850,منتجات!$A$3:$C$350,2,0),"")</f>
        <v/>
      </c>
      <c r="D1850" s="63" t="str">
        <f>IFERROR(VLOOKUP(B1850,منتجات!$A$3:$C$350,3,0),"")</f>
        <v/>
      </c>
      <c r="E1850" s="63"/>
      <c r="F1850" s="63" t="str">
        <f>IFERROR(INDEX(منتجات!$G$3:$G$350,MATCH(B1850,منتجات!$A$3:$A$115,0)),"")</f>
        <v/>
      </c>
      <c r="G1850" s="63" t="str">
        <f t="shared" si="30"/>
        <v/>
      </c>
      <c r="H1850" s="69"/>
    </row>
    <row r="1851" spans="1:8" x14ac:dyDescent="0.35">
      <c r="A1851" s="64"/>
      <c r="B1851" s="65"/>
      <c r="C1851" s="65" t="str">
        <f>IFERROR(VLOOKUP(B1851,منتجات!$A$3:$C$350,2,0),"")</f>
        <v/>
      </c>
      <c r="D1851" s="65" t="str">
        <f>IFERROR(VLOOKUP(B1851,منتجات!$A$3:$C$350,3,0),"")</f>
        <v/>
      </c>
      <c r="E1851" s="65"/>
      <c r="F1851" s="65" t="str">
        <f>IFERROR(INDEX(منتجات!$G$3:$G$350,MATCH(B1851,منتجات!$A$3:$A$115,0)),"")</f>
        <v/>
      </c>
      <c r="G1851" s="65" t="str">
        <f t="shared" si="30"/>
        <v/>
      </c>
      <c r="H1851" s="70"/>
    </row>
    <row r="1852" spans="1:8" x14ac:dyDescent="0.35">
      <c r="A1852" s="62"/>
      <c r="B1852" s="63"/>
      <c r="C1852" s="63" t="str">
        <f>IFERROR(VLOOKUP(B1852,منتجات!$A$3:$C$350,2,0),"")</f>
        <v/>
      </c>
      <c r="D1852" s="63" t="str">
        <f>IFERROR(VLOOKUP(B1852,منتجات!$A$3:$C$350,3,0),"")</f>
        <v/>
      </c>
      <c r="E1852" s="63"/>
      <c r="F1852" s="63" t="str">
        <f>IFERROR(INDEX(منتجات!$G$3:$G$350,MATCH(B1852,منتجات!$A$3:$A$115,0)),"")</f>
        <v/>
      </c>
      <c r="G1852" s="63" t="str">
        <f t="shared" si="30"/>
        <v/>
      </c>
      <c r="H1852" s="69"/>
    </row>
    <row r="1853" spans="1:8" x14ac:dyDescent="0.35">
      <c r="A1853" s="64"/>
      <c r="B1853" s="65"/>
      <c r="C1853" s="65" t="str">
        <f>IFERROR(VLOOKUP(B1853,منتجات!$A$3:$C$350,2,0),"")</f>
        <v/>
      </c>
      <c r="D1853" s="65" t="str">
        <f>IFERROR(VLOOKUP(B1853,منتجات!$A$3:$C$350,3,0),"")</f>
        <v/>
      </c>
      <c r="E1853" s="65"/>
      <c r="F1853" s="65" t="str">
        <f>IFERROR(INDEX(منتجات!$G$3:$G$350,MATCH(B1853,منتجات!$A$3:$A$115,0)),"")</f>
        <v/>
      </c>
      <c r="G1853" s="65" t="str">
        <f t="shared" si="30"/>
        <v/>
      </c>
      <c r="H1853" s="70"/>
    </row>
    <row r="1854" spans="1:8" x14ac:dyDescent="0.35">
      <c r="A1854" s="62"/>
      <c r="B1854" s="63"/>
      <c r="C1854" s="63" t="str">
        <f>IFERROR(VLOOKUP(B1854,منتجات!$A$3:$C$350,2,0),"")</f>
        <v/>
      </c>
      <c r="D1854" s="63" t="str">
        <f>IFERROR(VLOOKUP(B1854,منتجات!$A$3:$C$350,3,0),"")</f>
        <v/>
      </c>
      <c r="E1854" s="63"/>
      <c r="F1854" s="63" t="str">
        <f>IFERROR(INDEX(منتجات!$G$3:$G$350,MATCH(B1854,منتجات!$A$3:$A$115,0)),"")</f>
        <v/>
      </c>
      <c r="G1854" s="63" t="str">
        <f t="shared" si="30"/>
        <v/>
      </c>
      <c r="H1854" s="69"/>
    </row>
    <row r="1855" spans="1:8" x14ac:dyDescent="0.35">
      <c r="A1855" s="64"/>
      <c r="B1855" s="65"/>
      <c r="C1855" s="65" t="str">
        <f>IFERROR(VLOOKUP(B1855,منتجات!$A$3:$C$350,2,0),"")</f>
        <v/>
      </c>
      <c r="D1855" s="65" t="str">
        <f>IFERROR(VLOOKUP(B1855,منتجات!$A$3:$C$350,3,0),"")</f>
        <v/>
      </c>
      <c r="E1855" s="65"/>
      <c r="F1855" s="65" t="str">
        <f>IFERROR(INDEX(منتجات!$G$3:$G$350,MATCH(B1855,منتجات!$A$3:$A$115,0)),"")</f>
        <v/>
      </c>
      <c r="G1855" s="65" t="str">
        <f t="shared" si="30"/>
        <v/>
      </c>
      <c r="H1855" s="70"/>
    </row>
    <row r="1856" spans="1:8" x14ac:dyDescent="0.35">
      <c r="A1856" s="62"/>
      <c r="B1856" s="63"/>
      <c r="C1856" s="63" t="str">
        <f>IFERROR(VLOOKUP(B1856,منتجات!$A$3:$C$350,2,0),"")</f>
        <v/>
      </c>
      <c r="D1856" s="63" t="str">
        <f>IFERROR(VLOOKUP(B1856,منتجات!$A$3:$C$350,3,0),"")</f>
        <v/>
      </c>
      <c r="E1856" s="63"/>
      <c r="F1856" s="63" t="str">
        <f>IFERROR(INDEX(منتجات!$G$3:$G$350,MATCH(B1856,منتجات!$A$3:$A$115,0)),"")</f>
        <v/>
      </c>
      <c r="G1856" s="63" t="str">
        <f t="shared" si="30"/>
        <v/>
      </c>
      <c r="H1856" s="69"/>
    </row>
    <row r="1857" spans="1:8" x14ac:dyDescent="0.35">
      <c r="A1857" s="64"/>
      <c r="B1857" s="65"/>
      <c r="C1857" s="65" t="str">
        <f>IFERROR(VLOOKUP(B1857,منتجات!$A$3:$C$350,2,0),"")</f>
        <v/>
      </c>
      <c r="D1857" s="65" t="str">
        <f>IFERROR(VLOOKUP(B1857,منتجات!$A$3:$C$350,3,0),"")</f>
        <v/>
      </c>
      <c r="E1857" s="65"/>
      <c r="F1857" s="65" t="str">
        <f>IFERROR(INDEX(منتجات!$G$3:$G$350,MATCH(B1857,منتجات!$A$3:$A$115,0)),"")</f>
        <v/>
      </c>
      <c r="G1857" s="65" t="str">
        <f t="shared" si="30"/>
        <v/>
      </c>
      <c r="H1857" s="70"/>
    </row>
    <row r="1858" spans="1:8" x14ac:dyDescent="0.35">
      <c r="A1858" s="62"/>
      <c r="B1858" s="63"/>
      <c r="C1858" s="63" t="str">
        <f>IFERROR(VLOOKUP(B1858,منتجات!$A$3:$C$350,2,0),"")</f>
        <v/>
      </c>
      <c r="D1858" s="63" t="str">
        <f>IFERROR(VLOOKUP(B1858,منتجات!$A$3:$C$350,3,0),"")</f>
        <v/>
      </c>
      <c r="E1858" s="63"/>
      <c r="F1858" s="63" t="str">
        <f>IFERROR(INDEX(منتجات!$G$3:$G$350,MATCH(B1858,منتجات!$A$3:$A$115,0)),"")</f>
        <v/>
      </c>
      <c r="G1858" s="63" t="str">
        <f t="shared" si="30"/>
        <v/>
      </c>
      <c r="H1858" s="69"/>
    </row>
    <row r="1859" spans="1:8" x14ac:dyDescent="0.35">
      <c r="A1859" s="64"/>
      <c r="B1859" s="65"/>
      <c r="C1859" s="65" t="str">
        <f>IFERROR(VLOOKUP(B1859,منتجات!$A$3:$C$350,2,0),"")</f>
        <v/>
      </c>
      <c r="D1859" s="65" t="str">
        <f>IFERROR(VLOOKUP(B1859,منتجات!$A$3:$C$350,3,0),"")</f>
        <v/>
      </c>
      <c r="E1859" s="65"/>
      <c r="F1859" s="65" t="str">
        <f>IFERROR(INDEX(منتجات!$G$3:$G$350,MATCH(B1859,منتجات!$A$3:$A$115,0)),"")</f>
        <v/>
      </c>
      <c r="G1859" s="65" t="str">
        <f t="shared" si="30"/>
        <v/>
      </c>
      <c r="H1859" s="70"/>
    </row>
    <row r="1860" spans="1:8" x14ac:dyDescent="0.35">
      <c r="A1860" s="62"/>
      <c r="B1860" s="63"/>
      <c r="C1860" s="63" t="str">
        <f>IFERROR(VLOOKUP(B1860,منتجات!$A$3:$C$350,2,0),"")</f>
        <v/>
      </c>
      <c r="D1860" s="63" t="str">
        <f>IFERROR(VLOOKUP(B1860,منتجات!$A$3:$C$350,3,0),"")</f>
        <v/>
      </c>
      <c r="E1860" s="63"/>
      <c r="F1860" s="63" t="str">
        <f>IFERROR(INDEX(منتجات!$G$3:$G$350,MATCH(B1860,منتجات!$A$3:$A$115,0)),"")</f>
        <v/>
      </c>
      <c r="G1860" s="63" t="str">
        <f t="shared" si="30"/>
        <v/>
      </c>
      <c r="H1860" s="69"/>
    </row>
    <row r="1861" spans="1:8" x14ac:dyDescent="0.35">
      <c r="A1861" s="64"/>
      <c r="B1861" s="65"/>
      <c r="C1861" s="65" t="str">
        <f>IFERROR(VLOOKUP(B1861,منتجات!$A$3:$C$350,2,0),"")</f>
        <v/>
      </c>
      <c r="D1861" s="65" t="str">
        <f>IFERROR(VLOOKUP(B1861,منتجات!$A$3:$C$350,3,0),"")</f>
        <v/>
      </c>
      <c r="E1861" s="65"/>
      <c r="F1861" s="65" t="str">
        <f>IFERROR(INDEX(منتجات!$G$3:$G$350,MATCH(B1861,منتجات!$A$3:$A$115,0)),"")</f>
        <v/>
      </c>
      <c r="G1861" s="65" t="str">
        <f t="shared" si="30"/>
        <v/>
      </c>
      <c r="H1861" s="70"/>
    </row>
    <row r="1862" spans="1:8" x14ac:dyDescent="0.35">
      <c r="A1862" s="62"/>
      <c r="B1862" s="63"/>
      <c r="C1862" s="63" t="str">
        <f>IFERROR(VLOOKUP(B1862,منتجات!$A$3:$C$350,2,0),"")</f>
        <v/>
      </c>
      <c r="D1862" s="63" t="str">
        <f>IFERROR(VLOOKUP(B1862,منتجات!$A$3:$C$350,3,0),"")</f>
        <v/>
      </c>
      <c r="E1862" s="63"/>
      <c r="F1862" s="63" t="str">
        <f>IFERROR(INDEX(منتجات!$G$3:$G$350,MATCH(B1862,منتجات!$A$3:$A$115,0)),"")</f>
        <v/>
      </c>
      <c r="G1862" s="63" t="str">
        <f t="shared" ref="G1862:G1925" si="31">IFERROR(E1862*F1862*D1862,"")</f>
        <v/>
      </c>
      <c r="H1862" s="69"/>
    </row>
    <row r="1863" spans="1:8" x14ac:dyDescent="0.35">
      <c r="A1863" s="64"/>
      <c r="B1863" s="65"/>
      <c r="C1863" s="65" t="str">
        <f>IFERROR(VLOOKUP(B1863,منتجات!$A$3:$C$350,2,0),"")</f>
        <v/>
      </c>
      <c r="D1863" s="65" t="str">
        <f>IFERROR(VLOOKUP(B1863,منتجات!$A$3:$C$350,3,0),"")</f>
        <v/>
      </c>
      <c r="E1863" s="65"/>
      <c r="F1863" s="65" t="str">
        <f>IFERROR(INDEX(منتجات!$G$3:$G$350,MATCH(B1863,منتجات!$A$3:$A$115,0)),"")</f>
        <v/>
      </c>
      <c r="G1863" s="65" t="str">
        <f t="shared" si="31"/>
        <v/>
      </c>
      <c r="H1863" s="70"/>
    </row>
    <row r="1864" spans="1:8" x14ac:dyDescent="0.35">
      <c r="A1864" s="62"/>
      <c r="B1864" s="63"/>
      <c r="C1864" s="63" t="str">
        <f>IFERROR(VLOOKUP(B1864,منتجات!$A$3:$C$350,2,0),"")</f>
        <v/>
      </c>
      <c r="D1864" s="63" t="str">
        <f>IFERROR(VLOOKUP(B1864,منتجات!$A$3:$C$350,3,0),"")</f>
        <v/>
      </c>
      <c r="E1864" s="63"/>
      <c r="F1864" s="63" t="str">
        <f>IFERROR(INDEX(منتجات!$G$3:$G$350,MATCH(B1864,منتجات!$A$3:$A$115,0)),"")</f>
        <v/>
      </c>
      <c r="G1864" s="63" t="str">
        <f t="shared" si="31"/>
        <v/>
      </c>
      <c r="H1864" s="69"/>
    </row>
    <row r="1865" spans="1:8" x14ac:dyDescent="0.35">
      <c r="A1865" s="64"/>
      <c r="B1865" s="65"/>
      <c r="C1865" s="65" t="str">
        <f>IFERROR(VLOOKUP(B1865,منتجات!$A$3:$C$350,2,0),"")</f>
        <v/>
      </c>
      <c r="D1865" s="65" t="str">
        <f>IFERROR(VLOOKUP(B1865,منتجات!$A$3:$C$350,3,0),"")</f>
        <v/>
      </c>
      <c r="E1865" s="65"/>
      <c r="F1865" s="65" t="str">
        <f>IFERROR(INDEX(منتجات!$G$3:$G$350,MATCH(B1865,منتجات!$A$3:$A$115,0)),"")</f>
        <v/>
      </c>
      <c r="G1865" s="65" t="str">
        <f t="shared" si="31"/>
        <v/>
      </c>
      <c r="H1865" s="70"/>
    </row>
    <row r="1866" spans="1:8" x14ac:dyDescent="0.35">
      <c r="A1866" s="62"/>
      <c r="B1866" s="63"/>
      <c r="C1866" s="63" t="str">
        <f>IFERROR(VLOOKUP(B1866,منتجات!$A$3:$C$350,2,0),"")</f>
        <v/>
      </c>
      <c r="D1866" s="63" t="str">
        <f>IFERROR(VLOOKUP(B1866,منتجات!$A$3:$C$350,3,0),"")</f>
        <v/>
      </c>
      <c r="E1866" s="63"/>
      <c r="F1866" s="63" t="str">
        <f>IFERROR(INDEX(منتجات!$G$3:$G$350,MATCH(B1866,منتجات!$A$3:$A$115,0)),"")</f>
        <v/>
      </c>
      <c r="G1866" s="63" t="str">
        <f t="shared" si="31"/>
        <v/>
      </c>
      <c r="H1866" s="69"/>
    </row>
    <row r="1867" spans="1:8" x14ac:dyDescent="0.35">
      <c r="A1867" s="64"/>
      <c r="B1867" s="65"/>
      <c r="C1867" s="65" t="str">
        <f>IFERROR(VLOOKUP(B1867,منتجات!$A$3:$C$350,2,0),"")</f>
        <v/>
      </c>
      <c r="D1867" s="65" t="str">
        <f>IFERROR(VLOOKUP(B1867,منتجات!$A$3:$C$350,3,0),"")</f>
        <v/>
      </c>
      <c r="E1867" s="65"/>
      <c r="F1867" s="65" t="str">
        <f>IFERROR(INDEX(منتجات!$G$3:$G$350,MATCH(B1867,منتجات!$A$3:$A$115,0)),"")</f>
        <v/>
      </c>
      <c r="G1867" s="65" t="str">
        <f t="shared" si="31"/>
        <v/>
      </c>
      <c r="H1867" s="70"/>
    </row>
    <row r="1868" spans="1:8" x14ac:dyDescent="0.35">
      <c r="A1868" s="62"/>
      <c r="B1868" s="63"/>
      <c r="C1868" s="63" t="str">
        <f>IFERROR(VLOOKUP(B1868,منتجات!$A$3:$C$350,2,0),"")</f>
        <v/>
      </c>
      <c r="D1868" s="63" t="str">
        <f>IFERROR(VLOOKUP(B1868,منتجات!$A$3:$C$350,3,0),"")</f>
        <v/>
      </c>
      <c r="E1868" s="63"/>
      <c r="F1868" s="63" t="str">
        <f>IFERROR(INDEX(منتجات!$G$3:$G$350,MATCH(B1868,منتجات!$A$3:$A$115,0)),"")</f>
        <v/>
      </c>
      <c r="G1868" s="63" t="str">
        <f t="shared" si="31"/>
        <v/>
      </c>
      <c r="H1868" s="69"/>
    </row>
    <row r="1869" spans="1:8" x14ac:dyDescent="0.35">
      <c r="A1869" s="64"/>
      <c r="B1869" s="65"/>
      <c r="C1869" s="65" t="str">
        <f>IFERROR(VLOOKUP(B1869,منتجات!$A$3:$C$350,2,0),"")</f>
        <v/>
      </c>
      <c r="D1869" s="65" t="str">
        <f>IFERROR(VLOOKUP(B1869,منتجات!$A$3:$C$350,3,0),"")</f>
        <v/>
      </c>
      <c r="E1869" s="65"/>
      <c r="F1869" s="65" t="str">
        <f>IFERROR(INDEX(منتجات!$G$3:$G$350,MATCH(B1869,منتجات!$A$3:$A$115,0)),"")</f>
        <v/>
      </c>
      <c r="G1869" s="65" t="str">
        <f t="shared" si="31"/>
        <v/>
      </c>
      <c r="H1869" s="70"/>
    </row>
    <row r="1870" spans="1:8" x14ac:dyDescent="0.35">
      <c r="A1870" s="62"/>
      <c r="B1870" s="63"/>
      <c r="C1870" s="63" t="str">
        <f>IFERROR(VLOOKUP(B1870,منتجات!$A$3:$C$350,2,0),"")</f>
        <v/>
      </c>
      <c r="D1870" s="63" t="str">
        <f>IFERROR(VLOOKUP(B1870,منتجات!$A$3:$C$350,3,0),"")</f>
        <v/>
      </c>
      <c r="E1870" s="63"/>
      <c r="F1870" s="63" t="str">
        <f>IFERROR(INDEX(منتجات!$G$3:$G$350,MATCH(B1870,منتجات!$A$3:$A$115,0)),"")</f>
        <v/>
      </c>
      <c r="G1870" s="63" t="str">
        <f t="shared" si="31"/>
        <v/>
      </c>
      <c r="H1870" s="69"/>
    </row>
    <row r="1871" spans="1:8" x14ac:dyDescent="0.35">
      <c r="A1871" s="64"/>
      <c r="B1871" s="65"/>
      <c r="C1871" s="65" t="str">
        <f>IFERROR(VLOOKUP(B1871,منتجات!$A$3:$C$350,2,0),"")</f>
        <v/>
      </c>
      <c r="D1871" s="65" t="str">
        <f>IFERROR(VLOOKUP(B1871,منتجات!$A$3:$C$350,3,0),"")</f>
        <v/>
      </c>
      <c r="E1871" s="65"/>
      <c r="F1871" s="65" t="str">
        <f>IFERROR(INDEX(منتجات!$G$3:$G$350,MATCH(B1871,منتجات!$A$3:$A$115,0)),"")</f>
        <v/>
      </c>
      <c r="G1871" s="65" t="str">
        <f t="shared" si="31"/>
        <v/>
      </c>
      <c r="H1871" s="70"/>
    </row>
    <row r="1872" spans="1:8" x14ac:dyDescent="0.35">
      <c r="A1872" s="62"/>
      <c r="B1872" s="63"/>
      <c r="C1872" s="63" t="str">
        <f>IFERROR(VLOOKUP(B1872,منتجات!$A$3:$C$350,2,0),"")</f>
        <v/>
      </c>
      <c r="D1872" s="63" t="str">
        <f>IFERROR(VLOOKUP(B1872,منتجات!$A$3:$C$350,3,0),"")</f>
        <v/>
      </c>
      <c r="E1872" s="63"/>
      <c r="F1872" s="63" t="str">
        <f>IFERROR(INDEX(منتجات!$G$3:$G$350,MATCH(B1872,منتجات!$A$3:$A$115,0)),"")</f>
        <v/>
      </c>
      <c r="G1872" s="63" t="str">
        <f t="shared" si="31"/>
        <v/>
      </c>
      <c r="H1872" s="69"/>
    </row>
    <row r="1873" spans="1:8" x14ac:dyDescent="0.35">
      <c r="A1873" s="64"/>
      <c r="B1873" s="65"/>
      <c r="C1873" s="65" t="str">
        <f>IFERROR(VLOOKUP(B1873,منتجات!$A$3:$C$350,2,0),"")</f>
        <v/>
      </c>
      <c r="D1873" s="65" t="str">
        <f>IFERROR(VLOOKUP(B1873,منتجات!$A$3:$C$350,3,0),"")</f>
        <v/>
      </c>
      <c r="E1873" s="65"/>
      <c r="F1873" s="65" t="str">
        <f>IFERROR(INDEX(منتجات!$G$3:$G$350,MATCH(B1873,منتجات!$A$3:$A$115,0)),"")</f>
        <v/>
      </c>
      <c r="G1873" s="65" t="str">
        <f t="shared" si="31"/>
        <v/>
      </c>
      <c r="H1873" s="70"/>
    </row>
    <row r="1874" spans="1:8" x14ac:dyDescent="0.35">
      <c r="A1874" s="62"/>
      <c r="B1874" s="63"/>
      <c r="C1874" s="63" t="str">
        <f>IFERROR(VLOOKUP(B1874,منتجات!$A$3:$C$350,2,0),"")</f>
        <v/>
      </c>
      <c r="D1874" s="63" t="str">
        <f>IFERROR(VLOOKUP(B1874,منتجات!$A$3:$C$350,3,0),"")</f>
        <v/>
      </c>
      <c r="E1874" s="63"/>
      <c r="F1874" s="63" t="str">
        <f>IFERROR(INDEX(منتجات!$G$3:$G$350,MATCH(B1874,منتجات!$A$3:$A$115,0)),"")</f>
        <v/>
      </c>
      <c r="G1874" s="63" t="str">
        <f t="shared" si="31"/>
        <v/>
      </c>
      <c r="H1874" s="69"/>
    </row>
    <row r="1875" spans="1:8" x14ac:dyDescent="0.35">
      <c r="A1875" s="64"/>
      <c r="B1875" s="65"/>
      <c r="C1875" s="65" t="str">
        <f>IFERROR(VLOOKUP(B1875,منتجات!$A$3:$C$350,2,0),"")</f>
        <v/>
      </c>
      <c r="D1875" s="65" t="str">
        <f>IFERROR(VLOOKUP(B1875,منتجات!$A$3:$C$350,3,0),"")</f>
        <v/>
      </c>
      <c r="E1875" s="65"/>
      <c r="F1875" s="65" t="str">
        <f>IFERROR(INDEX(منتجات!$G$3:$G$350,MATCH(B1875,منتجات!$A$3:$A$115,0)),"")</f>
        <v/>
      </c>
      <c r="G1875" s="65" t="str">
        <f t="shared" si="31"/>
        <v/>
      </c>
      <c r="H1875" s="70"/>
    </row>
    <row r="1876" spans="1:8" x14ac:dyDescent="0.35">
      <c r="A1876" s="62"/>
      <c r="B1876" s="63"/>
      <c r="C1876" s="63" t="str">
        <f>IFERROR(VLOOKUP(B1876,منتجات!$A$3:$C$350,2,0),"")</f>
        <v/>
      </c>
      <c r="D1876" s="63" t="str">
        <f>IFERROR(VLOOKUP(B1876,منتجات!$A$3:$C$350,3,0),"")</f>
        <v/>
      </c>
      <c r="E1876" s="63"/>
      <c r="F1876" s="63" t="str">
        <f>IFERROR(INDEX(منتجات!$G$3:$G$350,MATCH(B1876,منتجات!$A$3:$A$115,0)),"")</f>
        <v/>
      </c>
      <c r="G1876" s="63" t="str">
        <f t="shared" si="31"/>
        <v/>
      </c>
      <c r="H1876" s="69"/>
    </row>
    <row r="1877" spans="1:8" x14ac:dyDescent="0.35">
      <c r="A1877" s="64"/>
      <c r="B1877" s="65"/>
      <c r="C1877" s="65" t="str">
        <f>IFERROR(VLOOKUP(B1877,منتجات!$A$3:$C$350,2,0),"")</f>
        <v/>
      </c>
      <c r="D1877" s="65" t="str">
        <f>IFERROR(VLOOKUP(B1877,منتجات!$A$3:$C$350,3,0),"")</f>
        <v/>
      </c>
      <c r="E1877" s="65"/>
      <c r="F1877" s="65" t="str">
        <f>IFERROR(INDEX(منتجات!$G$3:$G$350,MATCH(B1877,منتجات!$A$3:$A$115,0)),"")</f>
        <v/>
      </c>
      <c r="G1877" s="65" t="str">
        <f t="shared" si="31"/>
        <v/>
      </c>
      <c r="H1877" s="70"/>
    </row>
    <row r="1878" spans="1:8" x14ac:dyDescent="0.35">
      <c r="A1878" s="62"/>
      <c r="B1878" s="63"/>
      <c r="C1878" s="63" t="str">
        <f>IFERROR(VLOOKUP(B1878,منتجات!$A$3:$C$350,2,0),"")</f>
        <v/>
      </c>
      <c r="D1878" s="63" t="str">
        <f>IFERROR(VLOOKUP(B1878,منتجات!$A$3:$C$350,3,0),"")</f>
        <v/>
      </c>
      <c r="E1878" s="63"/>
      <c r="F1878" s="63" t="str">
        <f>IFERROR(INDEX(منتجات!$G$3:$G$350,MATCH(B1878,منتجات!$A$3:$A$115,0)),"")</f>
        <v/>
      </c>
      <c r="G1878" s="63" t="str">
        <f t="shared" si="31"/>
        <v/>
      </c>
      <c r="H1878" s="69"/>
    </row>
    <row r="1879" spans="1:8" x14ac:dyDescent="0.35">
      <c r="A1879" s="64"/>
      <c r="B1879" s="65"/>
      <c r="C1879" s="65" t="str">
        <f>IFERROR(VLOOKUP(B1879,منتجات!$A$3:$C$350,2,0),"")</f>
        <v/>
      </c>
      <c r="D1879" s="65" t="str">
        <f>IFERROR(VLOOKUP(B1879,منتجات!$A$3:$C$350,3,0),"")</f>
        <v/>
      </c>
      <c r="E1879" s="65"/>
      <c r="F1879" s="65" t="str">
        <f>IFERROR(INDEX(منتجات!$G$3:$G$350,MATCH(B1879,منتجات!$A$3:$A$115,0)),"")</f>
        <v/>
      </c>
      <c r="G1879" s="65" t="str">
        <f t="shared" si="31"/>
        <v/>
      </c>
      <c r="H1879" s="70"/>
    </row>
    <row r="1880" spans="1:8" x14ac:dyDescent="0.35">
      <c r="A1880" s="62"/>
      <c r="B1880" s="63"/>
      <c r="C1880" s="63" t="str">
        <f>IFERROR(VLOOKUP(B1880,منتجات!$A$3:$C$350,2,0),"")</f>
        <v/>
      </c>
      <c r="D1880" s="63" t="str">
        <f>IFERROR(VLOOKUP(B1880,منتجات!$A$3:$C$350,3,0),"")</f>
        <v/>
      </c>
      <c r="E1880" s="63"/>
      <c r="F1880" s="63" t="str">
        <f>IFERROR(INDEX(منتجات!$G$3:$G$350,MATCH(B1880,منتجات!$A$3:$A$115,0)),"")</f>
        <v/>
      </c>
      <c r="G1880" s="63" t="str">
        <f t="shared" si="31"/>
        <v/>
      </c>
      <c r="H1880" s="69"/>
    </row>
    <row r="1881" spans="1:8" x14ac:dyDescent="0.35">
      <c r="A1881" s="64"/>
      <c r="B1881" s="65"/>
      <c r="C1881" s="65" t="str">
        <f>IFERROR(VLOOKUP(B1881,منتجات!$A$3:$C$350,2,0),"")</f>
        <v/>
      </c>
      <c r="D1881" s="65" t="str">
        <f>IFERROR(VLOOKUP(B1881,منتجات!$A$3:$C$350,3,0),"")</f>
        <v/>
      </c>
      <c r="E1881" s="65"/>
      <c r="F1881" s="65" t="str">
        <f>IFERROR(INDEX(منتجات!$G$3:$G$350,MATCH(B1881,منتجات!$A$3:$A$115,0)),"")</f>
        <v/>
      </c>
      <c r="G1881" s="65" t="str">
        <f t="shared" si="31"/>
        <v/>
      </c>
      <c r="H1881" s="70"/>
    </row>
    <row r="1882" spans="1:8" x14ac:dyDescent="0.35">
      <c r="A1882" s="62"/>
      <c r="B1882" s="63"/>
      <c r="C1882" s="63" t="str">
        <f>IFERROR(VLOOKUP(B1882,منتجات!$A$3:$C$350,2,0),"")</f>
        <v/>
      </c>
      <c r="D1882" s="63" t="str">
        <f>IFERROR(VLOOKUP(B1882,منتجات!$A$3:$C$350,3,0),"")</f>
        <v/>
      </c>
      <c r="E1882" s="63"/>
      <c r="F1882" s="63" t="str">
        <f>IFERROR(INDEX(منتجات!$G$3:$G$350,MATCH(B1882,منتجات!$A$3:$A$115,0)),"")</f>
        <v/>
      </c>
      <c r="G1882" s="63" t="str">
        <f t="shared" si="31"/>
        <v/>
      </c>
      <c r="H1882" s="69"/>
    </row>
    <row r="1883" spans="1:8" x14ac:dyDescent="0.35">
      <c r="A1883" s="64"/>
      <c r="B1883" s="65"/>
      <c r="C1883" s="65" t="str">
        <f>IFERROR(VLOOKUP(B1883,منتجات!$A$3:$C$350,2,0),"")</f>
        <v/>
      </c>
      <c r="D1883" s="65" t="str">
        <f>IFERROR(VLOOKUP(B1883,منتجات!$A$3:$C$350,3,0),"")</f>
        <v/>
      </c>
      <c r="E1883" s="65"/>
      <c r="F1883" s="65" t="str">
        <f>IFERROR(INDEX(منتجات!$G$3:$G$350,MATCH(B1883,منتجات!$A$3:$A$115,0)),"")</f>
        <v/>
      </c>
      <c r="G1883" s="65" t="str">
        <f t="shared" si="31"/>
        <v/>
      </c>
      <c r="H1883" s="70"/>
    </row>
    <row r="1884" spans="1:8" x14ac:dyDescent="0.35">
      <c r="A1884" s="62"/>
      <c r="B1884" s="63"/>
      <c r="C1884" s="63" t="str">
        <f>IFERROR(VLOOKUP(B1884,منتجات!$A$3:$C$350,2,0),"")</f>
        <v/>
      </c>
      <c r="D1884" s="63" t="str">
        <f>IFERROR(VLOOKUP(B1884,منتجات!$A$3:$C$350,3,0),"")</f>
        <v/>
      </c>
      <c r="E1884" s="63"/>
      <c r="F1884" s="63" t="str">
        <f>IFERROR(INDEX(منتجات!$G$3:$G$350,MATCH(B1884,منتجات!$A$3:$A$115,0)),"")</f>
        <v/>
      </c>
      <c r="G1884" s="63" t="str">
        <f t="shared" si="31"/>
        <v/>
      </c>
      <c r="H1884" s="69"/>
    </row>
    <row r="1885" spans="1:8" x14ac:dyDescent="0.35">
      <c r="A1885" s="64"/>
      <c r="B1885" s="65"/>
      <c r="C1885" s="65" t="str">
        <f>IFERROR(VLOOKUP(B1885,منتجات!$A$3:$C$350,2,0),"")</f>
        <v/>
      </c>
      <c r="D1885" s="65" t="str">
        <f>IFERROR(VLOOKUP(B1885,منتجات!$A$3:$C$350,3,0),"")</f>
        <v/>
      </c>
      <c r="E1885" s="65"/>
      <c r="F1885" s="65" t="str">
        <f>IFERROR(INDEX(منتجات!$G$3:$G$350,MATCH(B1885,منتجات!$A$3:$A$115,0)),"")</f>
        <v/>
      </c>
      <c r="G1885" s="65" t="str">
        <f t="shared" si="31"/>
        <v/>
      </c>
      <c r="H1885" s="70"/>
    </row>
    <row r="1886" spans="1:8" x14ac:dyDescent="0.35">
      <c r="A1886" s="62"/>
      <c r="B1886" s="63"/>
      <c r="C1886" s="63" t="str">
        <f>IFERROR(VLOOKUP(B1886,منتجات!$A$3:$C$350,2,0),"")</f>
        <v/>
      </c>
      <c r="D1886" s="63" t="str">
        <f>IFERROR(VLOOKUP(B1886,منتجات!$A$3:$C$350,3,0),"")</f>
        <v/>
      </c>
      <c r="E1886" s="63"/>
      <c r="F1886" s="63" t="str">
        <f>IFERROR(INDEX(منتجات!$G$3:$G$350,MATCH(B1886,منتجات!$A$3:$A$115,0)),"")</f>
        <v/>
      </c>
      <c r="G1886" s="63" t="str">
        <f t="shared" si="31"/>
        <v/>
      </c>
      <c r="H1886" s="69"/>
    </row>
    <row r="1887" spans="1:8" x14ac:dyDescent="0.35">
      <c r="A1887" s="64"/>
      <c r="B1887" s="65"/>
      <c r="C1887" s="65" t="str">
        <f>IFERROR(VLOOKUP(B1887,منتجات!$A$3:$C$350,2,0),"")</f>
        <v/>
      </c>
      <c r="D1887" s="65" t="str">
        <f>IFERROR(VLOOKUP(B1887,منتجات!$A$3:$C$350,3,0),"")</f>
        <v/>
      </c>
      <c r="E1887" s="65"/>
      <c r="F1887" s="65" t="str">
        <f>IFERROR(INDEX(منتجات!$G$3:$G$350,MATCH(B1887,منتجات!$A$3:$A$115,0)),"")</f>
        <v/>
      </c>
      <c r="G1887" s="65" t="str">
        <f t="shared" si="31"/>
        <v/>
      </c>
      <c r="H1887" s="70"/>
    </row>
    <row r="1888" spans="1:8" x14ac:dyDescent="0.35">
      <c r="A1888" s="62"/>
      <c r="B1888" s="63"/>
      <c r="C1888" s="63" t="str">
        <f>IFERROR(VLOOKUP(B1888,منتجات!$A$3:$C$350,2,0),"")</f>
        <v/>
      </c>
      <c r="D1888" s="63" t="str">
        <f>IFERROR(VLOOKUP(B1888,منتجات!$A$3:$C$350,3,0),"")</f>
        <v/>
      </c>
      <c r="E1888" s="63"/>
      <c r="F1888" s="63" t="str">
        <f>IFERROR(INDEX(منتجات!$G$3:$G$350,MATCH(B1888,منتجات!$A$3:$A$115,0)),"")</f>
        <v/>
      </c>
      <c r="G1888" s="63" t="str">
        <f t="shared" si="31"/>
        <v/>
      </c>
      <c r="H1888" s="69"/>
    </row>
    <row r="1889" spans="1:8" x14ac:dyDescent="0.35">
      <c r="A1889" s="64"/>
      <c r="B1889" s="65"/>
      <c r="C1889" s="65" t="str">
        <f>IFERROR(VLOOKUP(B1889,منتجات!$A$3:$C$350,2,0),"")</f>
        <v/>
      </c>
      <c r="D1889" s="65" t="str">
        <f>IFERROR(VLOOKUP(B1889,منتجات!$A$3:$C$350,3,0),"")</f>
        <v/>
      </c>
      <c r="E1889" s="65"/>
      <c r="F1889" s="65" t="str">
        <f>IFERROR(INDEX(منتجات!$G$3:$G$350,MATCH(B1889,منتجات!$A$3:$A$115,0)),"")</f>
        <v/>
      </c>
      <c r="G1889" s="65" t="str">
        <f t="shared" si="31"/>
        <v/>
      </c>
      <c r="H1889" s="70"/>
    </row>
    <row r="1890" spans="1:8" x14ac:dyDescent="0.35">
      <c r="A1890" s="62"/>
      <c r="B1890" s="63"/>
      <c r="C1890" s="63" t="str">
        <f>IFERROR(VLOOKUP(B1890,منتجات!$A$3:$C$350,2,0),"")</f>
        <v/>
      </c>
      <c r="D1890" s="63" t="str">
        <f>IFERROR(VLOOKUP(B1890,منتجات!$A$3:$C$350,3,0),"")</f>
        <v/>
      </c>
      <c r="E1890" s="63"/>
      <c r="F1890" s="63" t="str">
        <f>IFERROR(INDEX(منتجات!$G$3:$G$350,MATCH(B1890,منتجات!$A$3:$A$115,0)),"")</f>
        <v/>
      </c>
      <c r="G1890" s="63" t="str">
        <f t="shared" si="31"/>
        <v/>
      </c>
      <c r="H1890" s="69"/>
    </row>
    <row r="1891" spans="1:8" x14ac:dyDescent="0.35">
      <c r="A1891" s="64"/>
      <c r="B1891" s="65"/>
      <c r="C1891" s="65" t="str">
        <f>IFERROR(VLOOKUP(B1891,منتجات!$A$3:$C$350,2,0),"")</f>
        <v/>
      </c>
      <c r="D1891" s="65" t="str">
        <f>IFERROR(VLOOKUP(B1891,منتجات!$A$3:$C$350,3,0),"")</f>
        <v/>
      </c>
      <c r="E1891" s="65"/>
      <c r="F1891" s="65" t="str">
        <f>IFERROR(INDEX(منتجات!$G$3:$G$350,MATCH(B1891,منتجات!$A$3:$A$115,0)),"")</f>
        <v/>
      </c>
      <c r="G1891" s="65" t="str">
        <f t="shared" si="31"/>
        <v/>
      </c>
      <c r="H1891" s="70"/>
    </row>
    <row r="1892" spans="1:8" x14ac:dyDescent="0.35">
      <c r="A1892" s="62"/>
      <c r="B1892" s="63"/>
      <c r="C1892" s="63" t="str">
        <f>IFERROR(VLOOKUP(B1892,منتجات!$A$3:$C$350,2,0),"")</f>
        <v/>
      </c>
      <c r="D1892" s="63" t="str">
        <f>IFERROR(VLOOKUP(B1892,منتجات!$A$3:$C$350,3,0),"")</f>
        <v/>
      </c>
      <c r="E1892" s="63"/>
      <c r="F1892" s="63" t="str">
        <f>IFERROR(INDEX(منتجات!$G$3:$G$350,MATCH(B1892,منتجات!$A$3:$A$115,0)),"")</f>
        <v/>
      </c>
      <c r="G1892" s="63" t="str">
        <f t="shared" si="31"/>
        <v/>
      </c>
      <c r="H1892" s="69"/>
    </row>
    <row r="1893" spans="1:8" x14ac:dyDescent="0.35">
      <c r="A1893" s="64"/>
      <c r="B1893" s="65"/>
      <c r="C1893" s="65" t="str">
        <f>IFERROR(VLOOKUP(B1893,منتجات!$A$3:$C$350,2,0),"")</f>
        <v/>
      </c>
      <c r="D1893" s="65" t="str">
        <f>IFERROR(VLOOKUP(B1893,منتجات!$A$3:$C$350,3,0),"")</f>
        <v/>
      </c>
      <c r="E1893" s="65"/>
      <c r="F1893" s="65" t="str">
        <f>IFERROR(INDEX(منتجات!$G$3:$G$350,MATCH(B1893,منتجات!$A$3:$A$115,0)),"")</f>
        <v/>
      </c>
      <c r="G1893" s="65" t="str">
        <f t="shared" si="31"/>
        <v/>
      </c>
      <c r="H1893" s="70"/>
    </row>
    <row r="1894" spans="1:8" x14ac:dyDescent="0.35">
      <c r="A1894" s="62"/>
      <c r="B1894" s="63"/>
      <c r="C1894" s="63" t="str">
        <f>IFERROR(VLOOKUP(B1894,منتجات!$A$3:$C$350,2,0),"")</f>
        <v/>
      </c>
      <c r="D1894" s="63" t="str">
        <f>IFERROR(VLOOKUP(B1894,منتجات!$A$3:$C$350,3,0),"")</f>
        <v/>
      </c>
      <c r="E1894" s="63"/>
      <c r="F1894" s="63" t="str">
        <f>IFERROR(INDEX(منتجات!$G$3:$G$350,MATCH(B1894,منتجات!$A$3:$A$115,0)),"")</f>
        <v/>
      </c>
      <c r="G1894" s="63" t="str">
        <f t="shared" si="31"/>
        <v/>
      </c>
      <c r="H1894" s="69"/>
    </row>
    <row r="1895" spans="1:8" x14ac:dyDescent="0.35">
      <c r="A1895" s="64"/>
      <c r="B1895" s="65"/>
      <c r="C1895" s="65" t="str">
        <f>IFERROR(VLOOKUP(B1895,منتجات!$A$3:$C$350,2,0),"")</f>
        <v/>
      </c>
      <c r="D1895" s="65" t="str">
        <f>IFERROR(VLOOKUP(B1895,منتجات!$A$3:$C$350,3,0),"")</f>
        <v/>
      </c>
      <c r="E1895" s="65"/>
      <c r="F1895" s="65" t="str">
        <f>IFERROR(INDEX(منتجات!$G$3:$G$350,MATCH(B1895,منتجات!$A$3:$A$115,0)),"")</f>
        <v/>
      </c>
      <c r="G1895" s="65" t="str">
        <f t="shared" si="31"/>
        <v/>
      </c>
      <c r="H1895" s="70"/>
    </row>
    <row r="1896" spans="1:8" x14ac:dyDescent="0.35">
      <c r="A1896" s="62"/>
      <c r="B1896" s="63"/>
      <c r="C1896" s="63" t="str">
        <f>IFERROR(VLOOKUP(B1896,منتجات!$A$3:$C$350,2,0),"")</f>
        <v/>
      </c>
      <c r="D1896" s="63" t="str">
        <f>IFERROR(VLOOKUP(B1896,منتجات!$A$3:$C$350,3,0),"")</f>
        <v/>
      </c>
      <c r="E1896" s="63"/>
      <c r="F1896" s="63" t="str">
        <f>IFERROR(INDEX(منتجات!$G$3:$G$350,MATCH(B1896,منتجات!$A$3:$A$115,0)),"")</f>
        <v/>
      </c>
      <c r="G1896" s="63" t="str">
        <f t="shared" si="31"/>
        <v/>
      </c>
      <c r="H1896" s="69"/>
    </row>
    <row r="1897" spans="1:8" x14ac:dyDescent="0.35">
      <c r="A1897" s="64"/>
      <c r="B1897" s="65"/>
      <c r="C1897" s="65" t="str">
        <f>IFERROR(VLOOKUP(B1897,منتجات!$A$3:$C$350,2,0),"")</f>
        <v/>
      </c>
      <c r="D1897" s="65" t="str">
        <f>IFERROR(VLOOKUP(B1897,منتجات!$A$3:$C$350,3,0),"")</f>
        <v/>
      </c>
      <c r="E1897" s="65"/>
      <c r="F1897" s="65" t="str">
        <f>IFERROR(INDEX(منتجات!$G$3:$G$350,MATCH(B1897,منتجات!$A$3:$A$115,0)),"")</f>
        <v/>
      </c>
      <c r="G1897" s="65" t="str">
        <f t="shared" si="31"/>
        <v/>
      </c>
      <c r="H1897" s="70"/>
    </row>
    <row r="1898" spans="1:8" x14ac:dyDescent="0.35">
      <c r="A1898" s="62"/>
      <c r="B1898" s="63"/>
      <c r="C1898" s="63" t="str">
        <f>IFERROR(VLOOKUP(B1898,منتجات!$A$3:$C$350,2,0),"")</f>
        <v/>
      </c>
      <c r="D1898" s="63" t="str">
        <f>IFERROR(VLOOKUP(B1898,منتجات!$A$3:$C$350,3,0),"")</f>
        <v/>
      </c>
      <c r="E1898" s="63"/>
      <c r="F1898" s="63" t="str">
        <f>IFERROR(INDEX(منتجات!$G$3:$G$350,MATCH(B1898,منتجات!$A$3:$A$115,0)),"")</f>
        <v/>
      </c>
      <c r="G1898" s="63" t="str">
        <f t="shared" si="31"/>
        <v/>
      </c>
      <c r="H1898" s="69"/>
    </row>
    <row r="1899" spans="1:8" x14ac:dyDescent="0.35">
      <c r="A1899" s="64"/>
      <c r="B1899" s="65"/>
      <c r="C1899" s="65" t="str">
        <f>IFERROR(VLOOKUP(B1899,منتجات!$A$3:$C$350,2,0),"")</f>
        <v/>
      </c>
      <c r="D1899" s="65" t="str">
        <f>IFERROR(VLOOKUP(B1899,منتجات!$A$3:$C$350,3,0),"")</f>
        <v/>
      </c>
      <c r="E1899" s="65"/>
      <c r="F1899" s="65" t="str">
        <f>IFERROR(INDEX(منتجات!$G$3:$G$350,MATCH(B1899,منتجات!$A$3:$A$115,0)),"")</f>
        <v/>
      </c>
      <c r="G1899" s="65" t="str">
        <f t="shared" si="31"/>
        <v/>
      </c>
      <c r="H1899" s="70"/>
    </row>
    <row r="1900" spans="1:8" x14ac:dyDescent="0.35">
      <c r="A1900" s="62"/>
      <c r="B1900" s="63"/>
      <c r="C1900" s="63" t="str">
        <f>IFERROR(VLOOKUP(B1900,منتجات!$A$3:$C$350,2,0),"")</f>
        <v/>
      </c>
      <c r="D1900" s="63" t="str">
        <f>IFERROR(VLOOKUP(B1900,منتجات!$A$3:$C$350,3,0),"")</f>
        <v/>
      </c>
      <c r="E1900" s="63"/>
      <c r="F1900" s="63" t="str">
        <f>IFERROR(INDEX(منتجات!$G$3:$G$350,MATCH(B1900,منتجات!$A$3:$A$115,0)),"")</f>
        <v/>
      </c>
      <c r="G1900" s="63" t="str">
        <f t="shared" si="31"/>
        <v/>
      </c>
      <c r="H1900" s="69"/>
    </row>
    <row r="1901" spans="1:8" x14ac:dyDescent="0.35">
      <c r="A1901" s="64"/>
      <c r="B1901" s="65"/>
      <c r="C1901" s="65" t="str">
        <f>IFERROR(VLOOKUP(B1901,منتجات!$A$3:$C$350,2,0),"")</f>
        <v/>
      </c>
      <c r="D1901" s="65" t="str">
        <f>IFERROR(VLOOKUP(B1901,منتجات!$A$3:$C$350,3,0),"")</f>
        <v/>
      </c>
      <c r="E1901" s="65"/>
      <c r="F1901" s="65" t="str">
        <f>IFERROR(INDEX(منتجات!$G$3:$G$350,MATCH(B1901,منتجات!$A$3:$A$115,0)),"")</f>
        <v/>
      </c>
      <c r="G1901" s="65" t="str">
        <f t="shared" si="31"/>
        <v/>
      </c>
      <c r="H1901" s="70"/>
    </row>
    <row r="1902" spans="1:8" x14ac:dyDescent="0.35">
      <c r="A1902" s="62"/>
      <c r="B1902" s="63"/>
      <c r="C1902" s="63" t="str">
        <f>IFERROR(VLOOKUP(B1902,منتجات!$A$3:$C$350,2,0),"")</f>
        <v/>
      </c>
      <c r="D1902" s="63" t="str">
        <f>IFERROR(VLOOKUP(B1902,منتجات!$A$3:$C$350,3,0),"")</f>
        <v/>
      </c>
      <c r="E1902" s="63"/>
      <c r="F1902" s="63" t="str">
        <f>IFERROR(INDEX(منتجات!$G$3:$G$350,MATCH(B1902,منتجات!$A$3:$A$115,0)),"")</f>
        <v/>
      </c>
      <c r="G1902" s="63" t="str">
        <f t="shared" si="31"/>
        <v/>
      </c>
      <c r="H1902" s="69"/>
    </row>
    <row r="1903" spans="1:8" x14ac:dyDescent="0.35">
      <c r="A1903" s="64"/>
      <c r="B1903" s="65"/>
      <c r="C1903" s="65" t="str">
        <f>IFERROR(VLOOKUP(B1903,منتجات!$A$3:$C$350,2,0),"")</f>
        <v/>
      </c>
      <c r="D1903" s="65" t="str">
        <f>IFERROR(VLOOKUP(B1903,منتجات!$A$3:$C$350,3,0),"")</f>
        <v/>
      </c>
      <c r="E1903" s="65"/>
      <c r="F1903" s="65" t="str">
        <f>IFERROR(INDEX(منتجات!$G$3:$G$350,MATCH(B1903,منتجات!$A$3:$A$115,0)),"")</f>
        <v/>
      </c>
      <c r="G1903" s="65" t="str">
        <f t="shared" si="31"/>
        <v/>
      </c>
      <c r="H1903" s="70"/>
    </row>
    <row r="1904" spans="1:8" x14ac:dyDescent="0.35">
      <c r="A1904" s="62"/>
      <c r="B1904" s="63"/>
      <c r="C1904" s="63" t="str">
        <f>IFERROR(VLOOKUP(B1904,منتجات!$A$3:$C$350,2,0),"")</f>
        <v/>
      </c>
      <c r="D1904" s="63" t="str">
        <f>IFERROR(VLOOKUP(B1904,منتجات!$A$3:$C$350,3,0),"")</f>
        <v/>
      </c>
      <c r="E1904" s="63"/>
      <c r="F1904" s="63" t="str">
        <f>IFERROR(INDEX(منتجات!$G$3:$G$350,MATCH(B1904,منتجات!$A$3:$A$115,0)),"")</f>
        <v/>
      </c>
      <c r="G1904" s="63" t="str">
        <f t="shared" si="31"/>
        <v/>
      </c>
      <c r="H1904" s="69"/>
    </row>
    <row r="1905" spans="1:8" x14ac:dyDescent="0.35">
      <c r="A1905" s="64"/>
      <c r="B1905" s="65"/>
      <c r="C1905" s="65" t="str">
        <f>IFERROR(VLOOKUP(B1905,منتجات!$A$3:$C$350,2,0),"")</f>
        <v/>
      </c>
      <c r="D1905" s="65" t="str">
        <f>IFERROR(VLOOKUP(B1905,منتجات!$A$3:$C$350,3,0),"")</f>
        <v/>
      </c>
      <c r="E1905" s="65"/>
      <c r="F1905" s="65" t="str">
        <f>IFERROR(INDEX(منتجات!$G$3:$G$350,MATCH(B1905,منتجات!$A$3:$A$115,0)),"")</f>
        <v/>
      </c>
      <c r="G1905" s="65" t="str">
        <f t="shared" si="31"/>
        <v/>
      </c>
      <c r="H1905" s="70"/>
    </row>
    <row r="1906" spans="1:8" x14ac:dyDescent="0.35">
      <c r="A1906" s="62"/>
      <c r="B1906" s="63"/>
      <c r="C1906" s="63" t="str">
        <f>IFERROR(VLOOKUP(B1906,منتجات!$A$3:$C$350,2,0),"")</f>
        <v/>
      </c>
      <c r="D1906" s="63" t="str">
        <f>IFERROR(VLOOKUP(B1906,منتجات!$A$3:$C$350,3,0),"")</f>
        <v/>
      </c>
      <c r="E1906" s="63"/>
      <c r="F1906" s="63" t="str">
        <f>IFERROR(INDEX(منتجات!$G$3:$G$350,MATCH(B1906,منتجات!$A$3:$A$115,0)),"")</f>
        <v/>
      </c>
      <c r="G1906" s="63" t="str">
        <f t="shared" si="31"/>
        <v/>
      </c>
      <c r="H1906" s="69"/>
    </row>
    <row r="1907" spans="1:8" x14ac:dyDescent="0.35">
      <c r="A1907" s="64"/>
      <c r="B1907" s="65"/>
      <c r="C1907" s="65" t="str">
        <f>IFERROR(VLOOKUP(B1907,منتجات!$A$3:$C$350,2,0),"")</f>
        <v/>
      </c>
      <c r="D1907" s="65" t="str">
        <f>IFERROR(VLOOKUP(B1907,منتجات!$A$3:$C$350,3,0),"")</f>
        <v/>
      </c>
      <c r="E1907" s="65"/>
      <c r="F1907" s="65" t="str">
        <f>IFERROR(INDEX(منتجات!$G$3:$G$350,MATCH(B1907,منتجات!$A$3:$A$115,0)),"")</f>
        <v/>
      </c>
      <c r="G1907" s="65" t="str">
        <f t="shared" si="31"/>
        <v/>
      </c>
      <c r="H1907" s="70"/>
    </row>
    <row r="1908" spans="1:8" x14ac:dyDescent="0.35">
      <c r="A1908" s="62"/>
      <c r="B1908" s="63"/>
      <c r="C1908" s="63" t="str">
        <f>IFERROR(VLOOKUP(B1908,منتجات!$A$3:$C$350,2,0),"")</f>
        <v/>
      </c>
      <c r="D1908" s="63" t="str">
        <f>IFERROR(VLOOKUP(B1908,منتجات!$A$3:$C$350,3,0),"")</f>
        <v/>
      </c>
      <c r="E1908" s="63"/>
      <c r="F1908" s="63" t="str">
        <f>IFERROR(INDEX(منتجات!$G$3:$G$350,MATCH(B1908,منتجات!$A$3:$A$115,0)),"")</f>
        <v/>
      </c>
      <c r="G1908" s="63" t="str">
        <f t="shared" si="31"/>
        <v/>
      </c>
      <c r="H1908" s="69"/>
    </row>
    <row r="1909" spans="1:8" x14ac:dyDescent="0.35">
      <c r="A1909" s="64"/>
      <c r="B1909" s="65"/>
      <c r="C1909" s="65" t="str">
        <f>IFERROR(VLOOKUP(B1909,منتجات!$A$3:$C$350,2,0),"")</f>
        <v/>
      </c>
      <c r="D1909" s="65" t="str">
        <f>IFERROR(VLOOKUP(B1909,منتجات!$A$3:$C$350,3,0),"")</f>
        <v/>
      </c>
      <c r="E1909" s="65"/>
      <c r="F1909" s="65" t="str">
        <f>IFERROR(INDEX(منتجات!$G$3:$G$350,MATCH(B1909,منتجات!$A$3:$A$115,0)),"")</f>
        <v/>
      </c>
      <c r="G1909" s="65" t="str">
        <f t="shared" si="31"/>
        <v/>
      </c>
      <c r="H1909" s="70"/>
    </row>
    <row r="1910" spans="1:8" x14ac:dyDescent="0.35">
      <c r="A1910" s="62"/>
      <c r="B1910" s="63"/>
      <c r="C1910" s="63" t="str">
        <f>IFERROR(VLOOKUP(B1910,منتجات!$A$3:$C$350,2,0),"")</f>
        <v/>
      </c>
      <c r="D1910" s="63" t="str">
        <f>IFERROR(VLOOKUP(B1910,منتجات!$A$3:$C$350,3,0),"")</f>
        <v/>
      </c>
      <c r="E1910" s="63"/>
      <c r="F1910" s="63" t="str">
        <f>IFERROR(INDEX(منتجات!$G$3:$G$350,MATCH(B1910,منتجات!$A$3:$A$115,0)),"")</f>
        <v/>
      </c>
      <c r="G1910" s="63" t="str">
        <f t="shared" si="31"/>
        <v/>
      </c>
      <c r="H1910" s="69"/>
    </row>
    <row r="1911" spans="1:8" x14ac:dyDescent="0.35">
      <c r="A1911" s="64"/>
      <c r="B1911" s="65"/>
      <c r="C1911" s="65" t="str">
        <f>IFERROR(VLOOKUP(B1911,منتجات!$A$3:$C$350,2,0),"")</f>
        <v/>
      </c>
      <c r="D1911" s="65" t="str">
        <f>IFERROR(VLOOKUP(B1911,منتجات!$A$3:$C$350,3,0),"")</f>
        <v/>
      </c>
      <c r="E1911" s="65"/>
      <c r="F1911" s="65" t="str">
        <f>IFERROR(INDEX(منتجات!$G$3:$G$350,MATCH(B1911,منتجات!$A$3:$A$115,0)),"")</f>
        <v/>
      </c>
      <c r="G1911" s="65" t="str">
        <f t="shared" si="31"/>
        <v/>
      </c>
      <c r="H1911" s="70"/>
    </row>
    <row r="1912" spans="1:8" x14ac:dyDescent="0.35">
      <c r="A1912" s="62"/>
      <c r="B1912" s="63"/>
      <c r="C1912" s="63" t="str">
        <f>IFERROR(VLOOKUP(B1912,منتجات!$A$3:$C$350,2,0),"")</f>
        <v/>
      </c>
      <c r="D1912" s="63" t="str">
        <f>IFERROR(VLOOKUP(B1912,منتجات!$A$3:$C$350,3,0),"")</f>
        <v/>
      </c>
      <c r="E1912" s="63"/>
      <c r="F1912" s="63" t="str">
        <f>IFERROR(INDEX(منتجات!$G$3:$G$350,MATCH(B1912,منتجات!$A$3:$A$115,0)),"")</f>
        <v/>
      </c>
      <c r="G1912" s="63" t="str">
        <f t="shared" si="31"/>
        <v/>
      </c>
      <c r="H1912" s="69"/>
    </row>
    <row r="1913" spans="1:8" x14ac:dyDescent="0.35">
      <c r="A1913" s="64"/>
      <c r="B1913" s="65"/>
      <c r="C1913" s="65" t="str">
        <f>IFERROR(VLOOKUP(B1913,منتجات!$A$3:$C$350,2,0),"")</f>
        <v/>
      </c>
      <c r="D1913" s="65" t="str">
        <f>IFERROR(VLOOKUP(B1913,منتجات!$A$3:$C$350,3,0),"")</f>
        <v/>
      </c>
      <c r="E1913" s="65"/>
      <c r="F1913" s="65" t="str">
        <f>IFERROR(INDEX(منتجات!$G$3:$G$350,MATCH(B1913,منتجات!$A$3:$A$115,0)),"")</f>
        <v/>
      </c>
      <c r="G1913" s="65" t="str">
        <f t="shared" si="31"/>
        <v/>
      </c>
      <c r="H1913" s="70"/>
    </row>
    <row r="1914" spans="1:8" x14ac:dyDescent="0.35">
      <c r="A1914" s="62"/>
      <c r="B1914" s="63"/>
      <c r="C1914" s="63" t="str">
        <f>IFERROR(VLOOKUP(B1914,منتجات!$A$3:$C$350,2,0),"")</f>
        <v/>
      </c>
      <c r="D1914" s="63" t="str">
        <f>IFERROR(VLOOKUP(B1914,منتجات!$A$3:$C$350,3,0),"")</f>
        <v/>
      </c>
      <c r="E1914" s="63"/>
      <c r="F1914" s="63" t="str">
        <f>IFERROR(INDEX(منتجات!$G$3:$G$350,MATCH(B1914,منتجات!$A$3:$A$115,0)),"")</f>
        <v/>
      </c>
      <c r="G1914" s="63" t="str">
        <f t="shared" si="31"/>
        <v/>
      </c>
      <c r="H1914" s="69"/>
    </row>
    <row r="1915" spans="1:8" x14ac:dyDescent="0.35">
      <c r="A1915" s="64"/>
      <c r="B1915" s="65"/>
      <c r="C1915" s="65" t="str">
        <f>IFERROR(VLOOKUP(B1915,منتجات!$A$3:$C$350,2,0),"")</f>
        <v/>
      </c>
      <c r="D1915" s="65" t="str">
        <f>IFERROR(VLOOKUP(B1915,منتجات!$A$3:$C$350,3,0),"")</f>
        <v/>
      </c>
      <c r="E1915" s="65"/>
      <c r="F1915" s="65" t="str">
        <f>IFERROR(INDEX(منتجات!$G$3:$G$350,MATCH(B1915,منتجات!$A$3:$A$115,0)),"")</f>
        <v/>
      </c>
      <c r="G1915" s="65" t="str">
        <f t="shared" si="31"/>
        <v/>
      </c>
      <c r="H1915" s="70"/>
    </row>
    <row r="1916" spans="1:8" x14ac:dyDescent="0.35">
      <c r="A1916" s="62"/>
      <c r="B1916" s="63"/>
      <c r="C1916" s="63" t="str">
        <f>IFERROR(VLOOKUP(B1916,منتجات!$A$3:$C$350,2,0),"")</f>
        <v/>
      </c>
      <c r="D1916" s="63" t="str">
        <f>IFERROR(VLOOKUP(B1916,منتجات!$A$3:$C$350,3,0),"")</f>
        <v/>
      </c>
      <c r="E1916" s="63"/>
      <c r="F1916" s="63" t="str">
        <f>IFERROR(INDEX(منتجات!$G$3:$G$350,MATCH(B1916,منتجات!$A$3:$A$115,0)),"")</f>
        <v/>
      </c>
      <c r="G1916" s="63" t="str">
        <f t="shared" si="31"/>
        <v/>
      </c>
      <c r="H1916" s="69"/>
    </row>
    <row r="1917" spans="1:8" x14ac:dyDescent="0.35">
      <c r="A1917" s="64"/>
      <c r="B1917" s="65"/>
      <c r="C1917" s="65" t="str">
        <f>IFERROR(VLOOKUP(B1917,منتجات!$A$3:$C$350,2,0),"")</f>
        <v/>
      </c>
      <c r="D1917" s="65" t="str">
        <f>IFERROR(VLOOKUP(B1917,منتجات!$A$3:$C$350,3,0),"")</f>
        <v/>
      </c>
      <c r="E1917" s="65"/>
      <c r="F1917" s="65" t="str">
        <f>IFERROR(INDEX(منتجات!$G$3:$G$350,MATCH(B1917,منتجات!$A$3:$A$115,0)),"")</f>
        <v/>
      </c>
      <c r="G1917" s="65" t="str">
        <f t="shared" si="31"/>
        <v/>
      </c>
      <c r="H1917" s="70"/>
    </row>
    <row r="1918" spans="1:8" x14ac:dyDescent="0.35">
      <c r="A1918" s="62"/>
      <c r="B1918" s="63"/>
      <c r="C1918" s="63" t="str">
        <f>IFERROR(VLOOKUP(B1918,منتجات!$A$3:$C$350,2,0),"")</f>
        <v/>
      </c>
      <c r="D1918" s="63" t="str">
        <f>IFERROR(VLOOKUP(B1918,منتجات!$A$3:$C$350,3,0),"")</f>
        <v/>
      </c>
      <c r="E1918" s="63"/>
      <c r="F1918" s="63" t="str">
        <f>IFERROR(INDEX(منتجات!$G$3:$G$350,MATCH(B1918,منتجات!$A$3:$A$115,0)),"")</f>
        <v/>
      </c>
      <c r="G1918" s="63" t="str">
        <f t="shared" si="31"/>
        <v/>
      </c>
      <c r="H1918" s="69"/>
    </row>
    <row r="1919" spans="1:8" x14ac:dyDescent="0.35">
      <c r="A1919" s="64"/>
      <c r="B1919" s="65"/>
      <c r="C1919" s="65" t="str">
        <f>IFERROR(VLOOKUP(B1919,منتجات!$A$3:$C$350,2,0),"")</f>
        <v/>
      </c>
      <c r="D1919" s="65" t="str">
        <f>IFERROR(VLOOKUP(B1919,منتجات!$A$3:$C$350,3,0),"")</f>
        <v/>
      </c>
      <c r="E1919" s="65"/>
      <c r="F1919" s="65" t="str">
        <f>IFERROR(INDEX(منتجات!$G$3:$G$350,MATCH(B1919,منتجات!$A$3:$A$115,0)),"")</f>
        <v/>
      </c>
      <c r="G1919" s="65" t="str">
        <f t="shared" si="31"/>
        <v/>
      </c>
      <c r="H1919" s="70"/>
    </row>
    <row r="1920" spans="1:8" x14ac:dyDescent="0.35">
      <c r="A1920" s="62"/>
      <c r="B1920" s="63"/>
      <c r="C1920" s="63" t="str">
        <f>IFERROR(VLOOKUP(B1920,منتجات!$A$3:$C$350,2,0),"")</f>
        <v/>
      </c>
      <c r="D1920" s="63" t="str">
        <f>IFERROR(VLOOKUP(B1920,منتجات!$A$3:$C$350,3,0),"")</f>
        <v/>
      </c>
      <c r="E1920" s="63"/>
      <c r="F1920" s="63" t="str">
        <f>IFERROR(INDEX(منتجات!$G$3:$G$350,MATCH(B1920,منتجات!$A$3:$A$115,0)),"")</f>
        <v/>
      </c>
      <c r="G1920" s="63" t="str">
        <f t="shared" si="31"/>
        <v/>
      </c>
      <c r="H1920" s="69"/>
    </row>
    <row r="1921" spans="1:8" x14ac:dyDescent="0.35">
      <c r="A1921" s="64"/>
      <c r="B1921" s="65"/>
      <c r="C1921" s="65" t="str">
        <f>IFERROR(VLOOKUP(B1921,منتجات!$A$3:$C$350,2,0),"")</f>
        <v/>
      </c>
      <c r="D1921" s="65" t="str">
        <f>IFERROR(VLOOKUP(B1921,منتجات!$A$3:$C$350,3,0),"")</f>
        <v/>
      </c>
      <c r="E1921" s="65"/>
      <c r="F1921" s="65" t="str">
        <f>IFERROR(INDEX(منتجات!$G$3:$G$350,MATCH(B1921,منتجات!$A$3:$A$115,0)),"")</f>
        <v/>
      </c>
      <c r="G1921" s="65" t="str">
        <f t="shared" si="31"/>
        <v/>
      </c>
      <c r="H1921" s="70"/>
    </row>
    <row r="1922" spans="1:8" x14ac:dyDescent="0.35">
      <c r="A1922" s="62"/>
      <c r="B1922" s="63"/>
      <c r="C1922" s="63" t="str">
        <f>IFERROR(VLOOKUP(B1922,منتجات!$A$3:$C$350,2,0),"")</f>
        <v/>
      </c>
      <c r="D1922" s="63" t="str">
        <f>IFERROR(VLOOKUP(B1922,منتجات!$A$3:$C$350,3,0),"")</f>
        <v/>
      </c>
      <c r="E1922" s="63"/>
      <c r="F1922" s="63" t="str">
        <f>IFERROR(INDEX(منتجات!$G$3:$G$350,MATCH(B1922,منتجات!$A$3:$A$115,0)),"")</f>
        <v/>
      </c>
      <c r="G1922" s="63" t="str">
        <f t="shared" si="31"/>
        <v/>
      </c>
      <c r="H1922" s="69"/>
    </row>
    <row r="1923" spans="1:8" x14ac:dyDescent="0.35">
      <c r="A1923" s="64"/>
      <c r="B1923" s="65"/>
      <c r="C1923" s="65" t="str">
        <f>IFERROR(VLOOKUP(B1923,منتجات!$A$3:$C$350,2,0),"")</f>
        <v/>
      </c>
      <c r="D1923" s="65" t="str">
        <f>IFERROR(VLOOKUP(B1923,منتجات!$A$3:$C$350,3,0),"")</f>
        <v/>
      </c>
      <c r="E1923" s="65"/>
      <c r="F1923" s="65" t="str">
        <f>IFERROR(INDEX(منتجات!$G$3:$G$350,MATCH(B1923,منتجات!$A$3:$A$115,0)),"")</f>
        <v/>
      </c>
      <c r="G1923" s="65" t="str">
        <f t="shared" si="31"/>
        <v/>
      </c>
      <c r="H1923" s="70"/>
    </row>
    <row r="1924" spans="1:8" x14ac:dyDescent="0.35">
      <c r="A1924" s="62"/>
      <c r="B1924" s="63"/>
      <c r="C1924" s="63" t="str">
        <f>IFERROR(VLOOKUP(B1924,منتجات!$A$3:$C$350,2,0),"")</f>
        <v/>
      </c>
      <c r="D1924" s="63" t="str">
        <f>IFERROR(VLOOKUP(B1924,منتجات!$A$3:$C$350,3,0),"")</f>
        <v/>
      </c>
      <c r="E1924" s="63"/>
      <c r="F1924" s="63" t="str">
        <f>IFERROR(INDEX(منتجات!$G$3:$G$350,MATCH(B1924,منتجات!$A$3:$A$115,0)),"")</f>
        <v/>
      </c>
      <c r="G1924" s="63" t="str">
        <f t="shared" si="31"/>
        <v/>
      </c>
      <c r="H1924" s="69"/>
    </row>
    <row r="1925" spans="1:8" x14ac:dyDescent="0.35">
      <c r="A1925" s="64"/>
      <c r="B1925" s="65"/>
      <c r="C1925" s="65" t="str">
        <f>IFERROR(VLOOKUP(B1925,منتجات!$A$3:$C$350,2,0),"")</f>
        <v/>
      </c>
      <c r="D1925" s="65" t="str">
        <f>IFERROR(VLOOKUP(B1925,منتجات!$A$3:$C$350,3,0),"")</f>
        <v/>
      </c>
      <c r="E1925" s="65"/>
      <c r="F1925" s="65" t="str">
        <f>IFERROR(INDEX(منتجات!$G$3:$G$350,MATCH(B1925,منتجات!$A$3:$A$115,0)),"")</f>
        <v/>
      </c>
      <c r="G1925" s="65" t="str">
        <f t="shared" si="31"/>
        <v/>
      </c>
      <c r="H1925" s="70"/>
    </row>
    <row r="1926" spans="1:8" x14ac:dyDescent="0.35">
      <c r="A1926" s="62"/>
      <c r="B1926" s="63"/>
      <c r="C1926" s="63" t="str">
        <f>IFERROR(VLOOKUP(B1926,منتجات!$A$3:$C$350,2,0),"")</f>
        <v/>
      </c>
      <c r="D1926" s="63" t="str">
        <f>IFERROR(VLOOKUP(B1926,منتجات!$A$3:$C$350,3,0),"")</f>
        <v/>
      </c>
      <c r="E1926" s="63"/>
      <c r="F1926" s="63" t="str">
        <f>IFERROR(INDEX(منتجات!$G$3:$G$350,MATCH(B1926,منتجات!$A$3:$A$115,0)),"")</f>
        <v/>
      </c>
      <c r="G1926" s="63" t="str">
        <f t="shared" ref="G1926:G1989" si="32">IFERROR(E1926*F1926*D1926,"")</f>
        <v/>
      </c>
      <c r="H1926" s="69"/>
    </row>
    <row r="1927" spans="1:8" x14ac:dyDescent="0.35">
      <c r="A1927" s="64"/>
      <c r="B1927" s="65"/>
      <c r="C1927" s="65" t="str">
        <f>IFERROR(VLOOKUP(B1927,منتجات!$A$3:$C$350,2,0),"")</f>
        <v/>
      </c>
      <c r="D1927" s="65" t="str">
        <f>IFERROR(VLOOKUP(B1927,منتجات!$A$3:$C$350,3,0),"")</f>
        <v/>
      </c>
      <c r="E1927" s="65"/>
      <c r="F1927" s="65" t="str">
        <f>IFERROR(INDEX(منتجات!$G$3:$G$350,MATCH(B1927,منتجات!$A$3:$A$115,0)),"")</f>
        <v/>
      </c>
      <c r="G1927" s="65" t="str">
        <f t="shared" si="32"/>
        <v/>
      </c>
      <c r="H1927" s="70"/>
    </row>
    <row r="1928" spans="1:8" x14ac:dyDescent="0.35">
      <c r="A1928" s="62"/>
      <c r="B1928" s="63"/>
      <c r="C1928" s="63" t="str">
        <f>IFERROR(VLOOKUP(B1928,منتجات!$A$3:$C$350,2,0),"")</f>
        <v/>
      </c>
      <c r="D1928" s="63" t="str">
        <f>IFERROR(VLOOKUP(B1928,منتجات!$A$3:$C$350,3,0),"")</f>
        <v/>
      </c>
      <c r="E1928" s="63"/>
      <c r="F1928" s="63" t="str">
        <f>IFERROR(INDEX(منتجات!$G$3:$G$350,MATCH(B1928,منتجات!$A$3:$A$115,0)),"")</f>
        <v/>
      </c>
      <c r="G1928" s="63" t="str">
        <f t="shared" si="32"/>
        <v/>
      </c>
      <c r="H1928" s="69"/>
    </row>
    <row r="1929" spans="1:8" x14ac:dyDescent="0.35">
      <c r="A1929" s="64"/>
      <c r="B1929" s="65"/>
      <c r="C1929" s="65" t="str">
        <f>IFERROR(VLOOKUP(B1929,منتجات!$A$3:$C$350,2,0),"")</f>
        <v/>
      </c>
      <c r="D1929" s="65" t="str">
        <f>IFERROR(VLOOKUP(B1929,منتجات!$A$3:$C$350,3,0),"")</f>
        <v/>
      </c>
      <c r="E1929" s="65"/>
      <c r="F1929" s="65" t="str">
        <f>IFERROR(INDEX(منتجات!$G$3:$G$350,MATCH(B1929,منتجات!$A$3:$A$115,0)),"")</f>
        <v/>
      </c>
      <c r="G1929" s="65" t="str">
        <f t="shared" si="32"/>
        <v/>
      </c>
      <c r="H1929" s="70"/>
    </row>
    <row r="1930" spans="1:8" x14ac:dyDescent="0.35">
      <c r="A1930" s="62"/>
      <c r="B1930" s="63"/>
      <c r="C1930" s="63" t="str">
        <f>IFERROR(VLOOKUP(B1930,منتجات!$A$3:$C$350,2,0),"")</f>
        <v/>
      </c>
      <c r="D1930" s="63" t="str">
        <f>IFERROR(VLOOKUP(B1930,منتجات!$A$3:$C$350,3,0),"")</f>
        <v/>
      </c>
      <c r="E1930" s="63"/>
      <c r="F1930" s="63" t="str">
        <f>IFERROR(INDEX(منتجات!$G$3:$G$350,MATCH(B1930,منتجات!$A$3:$A$115,0)),"")</f>
        <v/>
      </c>
      <c r="G1930" s="63" t="str">
        <f t="shared" si="32"/>
        <v/>
      </c>
      <c r="H1930" s="69"/>
    </row>
    <row r="1931" spans="1:8" x14ac:dyDescent="0.35">
      <c r="A1931" s="64"/>
      <c r="B1931" s="65"/>
      <c r="C1931" s="65" t="str">
        <f>IFERROR(VLOOKUP(B1931,منتجات!$A$3:$C$350,2,0),"")</f>
        <v/>
      </c>
      <c r="D1931" s="65" t="str">
        <f>IFERROR(VLOOKUP(B1931,منتجات!$A$3:$C$350,3,0),"")</f>
        <v/>
      </c>
      <c r="E1931" s="65"/>
      <c r="F1931" s="65" t="str">
        <f>IFERROR(INDEX(منتجات!$G$3:$G$350,MATCH(B1931,منتجات!$A$3:$A$115,0)),"")</f>
        <v/>
      </c>
      <c r="G1931" s="65" t="str">
        <f t="shared" si="32"/>
        <v/>
      </c>
      <c r="H1931" s="70"/>
    </row>
    <row r="1932" spans="1:8" x14ac:dyDescent="0.35">
      <c r="A1932" s="62"/>
      <c r="B1932" s="63"/>
      <c r="C1932" s="63" t="str">
        <f>IFERROR(VLOOKUP(B1932,منتجات!$A$3:$C$350,2,0),"")</f>
        <v/>
      </c>
      <c r="D1932" s="63" t="str">
        <f>IFERROR(VLOOKUP(B1932,منتجات!$A$3:$C$350,3,0),"")</f>
        <v/>
      </c>
      <c r="E1932" s="63"/>
      <c r="F1932" s="63" t="str">
        <f>IFERROR(INDEX(منتجات!$G$3:$G$350,MATCH(B1932,منتجات!$A$3:$A$115,0)),"")</f>
        <v/>
      </c>
      <c r="G1932" s="63" t="str">
        <f t="shared" si="32"/>
        <v/>
      </c>
      <c r="H1932" s="69"/>
    </row>
    <row r="1933" spans="1:8" x14ac:dyDescent="0.35">
      <c r="A1933" s="64"/>
      <c r="B1933" s="65"/>
      <c r="C1933" s="65" t="str">
        <f>IFERROR(VLOOKUP(B1933,منتجات!$A$3:$C$350,2,0),"")</f>
        <v/>
      </c>
      <c r="D1933" s="65" t="str">
        <f>IFERROR(VLOOKUP(B1933,منتجات!$A$3:$C$350,3,0),"")</f>
        <v/>
      </c>
      <c r="E1933" s="65"/>
      <c r="F1933" s="65" t="str">
        <f>IFERROR(INDEX(منتجات!$G$3:$G$350,MATCH(B1933,منتجات!$A$3:$A$115,0)),"")</f>
        <v/>
      </c>
      <c r="G1933" s="65" t="str">
        <f t="shared" si="32"/>
        <v/>
      </c>
      <c r="H1933" s="70"/>
    </row>
    <row r="1934" spans="1:8" x14ac:dyDescent="0.35">
      <c r="A1934" s="62"/>
      <c r="B1934" s="63"/>
      <c r="C1934" s="63" t="str">
        <f>IFERROR(VLOOKUP(B1934,منتجات!$A$3:$C$350,2,0),"")</f>
        <v/>
      </c>
      <c r="D1934" s="63" t="str">
        <f>IFERROR(VLOOKUP(B1934,منتجات!$A$3:$C$350,3,0),"")</f>
        <v/>
      </c>
      <c r="E1934" s="63"/>
      <c r="F1934" s="63" t="str">
        <f>IFERROR(INDEX(منتجات!$G$3:$G$350,MATCH(B1934,منتجات!$A$3:$A$115,0)),"")</f>
        <v/>
      </c>
      <c r="G1934" s="63" t="str">
        <f t="shared" si="32"/>
        <v/>
      </c>
      <c r="H1934" s="69"/>
    </row>
    <row r="1935" spans="1:8" x14ac:dyDescent="0.35">
      <c r="A1935" s="64"/>
      <c r="B1935" s="65"/>
      <c r="C1935" s="65" t="str">
        <f>IFERROR(VLOOKUP(B1935,منتجات!$A$3:$C$350,2,0),"")</f>
        <v/>
      </c>
      <c r="D1935" s="65" t="str">
        <f>IFERROR(VLOOKUP(B1935,منتجات!$A$3:$C$350,3,0),"")</f>
        <v/>
      </c>
      <c r="E1935" s="65"/>
      <c r="F1935" s="65" t="str">
        <f>IFERROR(INDEX(منتجات!$G$3:$G$350,MATCH(B1935,منتجات!$A$3:$A$115,0)),"")</f>
        <v/>
      </c>
      <c r="G1935" s="65" t="str">
        <f t="shared" si="32"/>
        <v/>
      </c>
      <c r="H1935" s="70"/>
    </row>
    <row r="1936" spans="1:8" x14ac:dyDescent="0.35">
      <c r="A1936" s="62"/>
      <c r="B1936" s="63"/>
      <c r="C1936" s="63" t="str">
        <f>IFERROR(VLOOKUP(B1936,منتجات!$A$3:$C$350,2,0),"")</f>
        <v/>
      </c>
      <c r="D1936" s="63" t="str">
        <f>IFERROR(VLOOKUP(B1936,منتجات!$A$3:$C$350,3,0),"")</f>
        <v/>
      </c>
      <c r="E1936" s="63"/>
      <c r="F1936" s="63" t="str">
        <f>IFERROR(INDEX(منتجات!$G$3:$G$350,MATCH(B1936,منتجات!$A$3:$A$115,0)),"")</f>
        <v/>
      </c>
      <c r="G1936" s="63" t="str">
        <f t="shared" si="32"/>
        <v/>
      </c>
      <c r="H1936" s="69"/>
    </row>
    <row r="1937" spans="1:8" x14ac:dyDescent="0.35">
      <c r="A1937" s="64"/>
      <c r="B1937" s="65"/>
      <c r="C1937" s="65" t="str">
        <f>IFERROR(VLOOKUP(B1937,منتجات!$A$3:$C$350,2,0),"")</f>
        <v/>
      </c>
      <c r="D1937" s="65" t="str">
        <f>IFERROR(VLOOKUP(B1937,منتجات!$A$3:$C$350,3,0),"")</f>
        <v/>
      </c>
      <c r="E1937" s="65"/>
      <c r="F1937" s="65" t="str">
        <f>IFERROR(INDEX(منتجات!$G$3:$G$350,MATCH(B1937,منتجات!$A$3:$A$115,0)),"")</f>
        <v/>
      </c>
      <c r="G1937" s="65" t="str">
        <f t="shared" si="32"/>
        <v/>
      </c>
      <c r="H1937" s="70"/>
    </row>
    <row r="1938" spans="1:8" x14ac:dyDescent="0.35">
      <c r="A1938" s="62"/>
      <c r="B1938" s="63"/>
      <c r="C1938" s="63" t="str">
        <f>IFERROR(VLOOKUP(B1938,منتجات!$A$3:$C$350,2,0),"")</f>
        <v/>
      </c>
      <c r="D1938" s="63" t="str">
        <f>IFERROR(VLOOKUP(B1938,منتجات!$A$3:$C$350,3,0),"")</f>
        <v/>
      </c>
      <c r="E1938" s="63"/>
      <c r="F1938" s="63" t="str">
        <f>IFERROR(INDEX(منتجات!$G$3:$G$350,MATCH(B1938,منتجات!$A$3:$A$115,0)),"")</f>
        <v/>
      </c>
      <c r="G1938" s="63" t="str">
        <f t="shared" si="32"/>
        <v/>
      </c>
      <c r="H1938" s="69"/>
    </row>
    <row r="1939" spans="1:8" x14ac:dyDescent="0.35">
      <c r="A1939" s="64"/>
      <c r="B1939" s="65"/>
      <c r="C1939" s="65" t="str">
        <f>IFERROR(VLOOKUP(B1939,منتجات!$A$3:$C$350,2,0),"")</f>
        <v/>
      </c>
      <c r="D1939" s="65" t="str">
        <f>IFERROR(VLOOKUP(B1939,منتجات!$A$3:$C$350,3,0),"")</f>
        <v/>
      </c>
      <c r="E1939" s="65"/>
      <c r="F1939" s="65" t="str">
        <f>IFERROR(INDEX(منتجات!$G$3:$G$350,MATCH(B1939,منتجات!$A$3:$A$115,0)),"")</f>
        <v/>
      </c>
      <c r="G1939" s="65" t="str">
        <f t="shared" si="32"/>
        <v/>
      </c>
      <c r="H1939" s="70"/>
    </row>
    <row r="1940" spans="1:8" x14ac:dyDescent="0.35">
      <c r="A1940" s="62"/>
      <c r="B1940" s="63"/>
      <c r="C1940" s="63" t="str">
        <f>IFERROR(VLOOKUP(B1940,منتجات!$A$3:$C$350,2,0),"")</f>
        <v/>
      </c>
      <c r="D1940" s="63" t="str">
        <f>IFERROR(VLOOKUP(B1940,منتجات!$A$3:$C$350,3,0),"")</f>
        <v/>
      </c>
      <c r="E1940" s="63"/>
      <c r="F1940" s="63" t="str">
        <f>IFERROR(INDEX(منتجات!$G$3:$G$350,MATCH(B1940,منتجات!$A$3:$A$115,0)),"")</f>
        <v/>
      </c>
      <c r="G1940" s="63" t="str">
        <f t="shared" si="32"/>
        <v/>
      </c>
      <c r="H1940" s="69"/>
    </row>
    <row r="1941" spans="1:8" x14ac:dyDescent="0.35">
      <c r="A1941" s="64"/>
      <c r="B1941" s="65"/>
      <c r="C1941" s="65" t="str">
        <f>IFERROR(VLOOKUP(B1941,منتجات!$A$3:$C$350,2,0),"")</f>
        <v/>
      </c>
      <c r="D1941" s="65" t="str">
        <f>IFERROR(VLOOKUP(B1941,منتجات!$A$3:$C$350,3,0),"")</f>
        <v/>
      </c>
      <c r="E1941" s="65"/>
      <c r="F1941" s="65" t="str">
        <f>IFERROR(INDEX(منتجات!$G$3:$G$350,MATCH(B1941,منتجات!$A$3:$A$115,0)),"")</f>
        <v/>
      </c>
      <c r="G1941" s="65" t="str">
        <f t="shared" si="32"/>
        <v/>
      </c>
      <c r="H1941" s="70"/>
    </row>
    <row r="1942" spans="1:8" x14ac:dyDescent="0.35">
      <c r="A1942" s="62"/>
      <c r="B1942" s="63"/>
      <c r="C1942" s="63" t="str">
        <f>IFERROR(VLOOKUP(B1942,منتجات!$A$3:$C$350,2,0),"")</f>
        <v/>
      </c>
      <c r="D1942" s="63" t="str">
        <f>IFERROR(VLOOKUP(B1942,منتجات!$A$3:$C$350,3,0),"")</f>
        <v/>
      </c>
      <c r="E1942" s="63"/>
      <c r="F1942" s="63" t="str">
        <f>IFERROR(INDEX(منتجات!$G$3:$G$350,MATCH(B1942,منتجات!$A$3:$A$115,0)),"")</f>
        <v/>
      </c>
      <c r="G1942" s="63" t="str">
        <f t="shared" si="32"/>
        <v/>
      </c>
      <c r="H1942" s="69"/>
    </row>
    <row r="1943" spans="1:8" x14ac:dyDescent="0.35">
      <c r="A1943" s="64"/>
      <c r="B1943" s="65"/>
      <c r="C1943" s="65" t="str">
        <f>IFERROR(VLOOKUP(B1943,منتجات!$A$3:$C$350,2,0),"")</f>
        <v/>
      </c>
      <c r="D1943" s="65" t="str">
        <f>IFERROR(VLOOKUP(B1943,منتجات!$A$3:$C$350,3,0),"")</f>
        <v/>
      </c>
      <c r="E1943" s="65"/>
      <c r="F1943" s="65" t="str">
        <f>IFERROR(INDEX(منتجات!$G$3:$G$350,MATCH(B1943,منتجات!$A$3:$A$115,0)),"")</f>
        <v/>
      </c>
      <c r="G1943" s="65" t="str">
        <f t="shared" si="32"/>
        <v/>
      </c>
      <c r="H1943" s="70"/>
    </row>
    <row r="1944" spans="1:8" x14ac:dyDescent="0.35">
      <c r="A1944" s="62"/>
      <c r="B1944" s="63"/>
      <c r="C1944" s="63" t="str">
        <f>IFERROR(VLOOKUP(B1944,منتجات!$A$3:$C$350,2,0),"")</f>
        <v/>
      </c>
      <c r="D1944" s="63" t="str">
        <f>IFERROR(VLOOKUP(B1944,منتجات!$A$3:$C$350,3,0),"")</f>
        <v/>
      </c>
      <c r="E1944" s="63"/>
      <c r="F1944" s="63" t="str">
        <f>IFERROR(INDEX(منتجات!$G$3:$G$350,MATCH(B1944,منتجات!$A$3:$A$115,0)),"")</f>
        <v/>
      </c>
      <c r="G1944" s="63" t="str">
        <f t="shared" si="32"/>
        <v/>
      </c>
      <c r="H1944" s="69"/>
    </row>
    <row r="1945" spans="1:8" x14ac:dyDescent="0.35">
      <c r="A1945" s="64"/>
      <c r="B1945" s="65"/>
      <c r="C1945" s="65" t="str">
        <f>IFERROR(VLOOKUP(B1945,منتجات!$A$3:$C$350,2,0),"")</f>
        <v/>
      </c>
      <c r="D1945" s="65" t="str">
        <f>IFERROR(VLOOKUP(B1945,منتجات!$A$3:$C$350,3,0),"")</f>
        <v/>
      </c>
      <c r="E1945" s="65"/>
      <c r="F1945" s="65" t="str">
        <f>IFERROR(INDEX(منتجات!$G$3:$G$350,MATCH(B1945,منتجات!$A$3:$A$115,0)),"")</f>
        <v/>
      </c>
      <c r="G1945" s="65" t="str">
        <f t="shared" si="32"/>
        <v/>
      </c>
      <c r="H1945" s="70"/>
    </row>
    <row r="1946" spans="1:8" x14ac:dyDescent="0.35">
      <c r="A1946" s="62"/>
      <c r="B1946" s="63"/>
      <c r="C1946" s="63" t="str">
        <f>IFERROR(VLOOKUP(B1946,منتجات!$A$3:$C$350,2,0),"")</f>
        <v/>
      </c>
      <c r="D1946" s="63" t="str">
        <f>IFERROR(VLOOKUP(B1946,منتجات!$A$3:$C$350,3,0),"")</f>
        <v/>
      </c>
      <c r="E1946" s="63"/>
      <c r="F1946" s="63" t="str">
        <f>IFERROR(INDEX(منتجات!$G$3:$G$350,MATCH(B1946,منتجات!$A$3:$A$115,0)),"")</f>
        <v/>
      </c>
      <c r="G1946" s="63" t="str">
        <f t="shared" si="32"/>
        <v/>
      </c>
      <c r="H1946" s="69"/>
    </row>
    <row r="1947" spans="1:8" x14ac:dyDescent="0.35">
      <c r="A1947" s="64"/>
      <c r="B1947" s="65"/>
      <c r="C1947" s="65" t="str">
        <f>IFERROR(VLOOKUP(B1947,منتجات!$A$3:$C$350,2,0),"")</f>
        <v/>
      </c>
      <c r="D1947" s="65" t="str">
        <f>IFERROR(VLOOKUP(B1947,منتجات!$A$3:$C$350,3,0),"")</f>
        <v/>
      </c>
      <c r="E1947" s="65"/>
      <c r="F1947" s="65" t="str">
        <f>IFERROR(INDEX(منتجات!$G$3:$G$350,MATCH(B1947,منتجات!$A$3:$A$115,0)),"")</f>
        <v/>
      </c>
      <c r="G1947" s="65" t="str">
        <f t="shared" si="32"/>
        <v/>
      </c>
      <c r="H1947" s="70"/>
    </row>
    <row r="1948" spans="1:8" x14ac:dyDescent="0.35">
      <c r="A1948" s="62"/>
      <c r="B1948" s="63"/>
      <c r="C1948" s="63" t="str">
        <f>IFERROR(VLOOKUP(B1948,منتجات!$A$3:$C$350,2,0),"")</f>
        <v/>
      </c>
      <c r="D1948" s="63" t="str">
        <f>IFERROR(VLOOKUP(B1948,منتجات!$A$3:$C$350,3,0),"")</f>
        <v/>
      </c>
      <c r="E1948" s="63"/>
      <c r="F1948" s="63" t="str">
        <f>IFERROR(INDEX(منتجات!$G$3:$G$350,MATCH(B1948,منتجات!$A$3:$A$115,0)),"")</f>
        <v/>
      </c>
      <c r="G1948" s="63" t="str">
        <f t="shared" si="32"/>
        <v/>
      </c>
      <c r="H1948" s="69"/>
    </row>
    <row r="1949" spans="1:8" x14ac:dyDescent="0.35">
      <c r="A1949" s="64"/>
      <c r="B1949" s="65"/>
      <c r="C1949" s="65" t="str">
        <f>IFERROR(VLOOKUP(B1949,منتجات!$A$3:$C$350,2,0),"")</f>
        <v/>
      </c>
      <c r="D1949" s="65" t="str">
        <f>IFERROR(VLOOKUP(B1949,منتجات!$A$3:$C$350,3,0),"")</f>
        <v/>
      </c>
      <c r="E1949" s="65"/>
      <c r="F1949" s="65" t="str">
        <f>IFERROR(INDEX(منتجات!$G$3:$G$350,MATCH(B1949,منتجات!$A$3:$A$115,0)),"")</f>
        <v/>
      </c>
      <c r="G1949" s="65" t="str">
        <f t="shared" si="32"/>
        <v/>
      </c>
      <c r="H1949" s="70"/>
    </row>
    <row r="1950" spans="1:8" x14ac:dyDescent="0.35">
      <c r="A1950" s="62"/>
      <c r="B1950" s="63"/>
      <c r="C1950" s="63" t="str">
        <f>IFERROR(VLOOKUP(B1950,منتجات!$A$3:$C$350,2,0),"")</f>
        <v/>
      </c>
      <c r="D1950" s="63" t="str">
        <f>IFERROR(VLOOKUP(B1950,منتجات!$A$3:$C$350,3,0),"")</f>
        <v/>
      </c>
      <c r="E1950" s="63"/>
      <c r="F1950" s="63" t="str">
        <f>IFERROR(INDEX(منتجات!$G$3:$G$350,MATCH(B1950,منتجات!$A$3:$A$115,0)),"")</f>
        <v/>
      </c>
      <c r="G1950" s="63" t="str">
        <f t="shared" si="32"/>
        <v/>
      </c>
      <c r="H1950" s="69"/>
    </row>
    <row r="1951" spans="1:8" x14ac:dyDescent="0.35">
      <c r="A1951" s="64"/>
      <c r="B1951" s="65"/>
      <c r="C1951" s="65" t="str">
        <f>IFERROR(VLOOKUP(B1951,منتجات!$A$3:$C$350,2,0),"")</f>
        <v/>
      </c>
      <c r="D1951" s="65" t="str">
        <f>IFERROR(VLOOKUP(B1951,منتجات!$A$3:$C$350,3,0),"")</f>
        <v/>
      </c>
      <c r="E1951" s="65"/>
      <c r="F1951" s="65" t="str">
        <f>IFERROR(INDEX(منتجات!$G$3:$G$350,MATCH(B1951,منتجات!$A$3:$A$115,0)),"")</f>
        <v/>
      </c>
      <c r="G1951" s="65" t="str">
        <f t="shared" si="32"/>
        <v/>
      </c>
      <c r="H1951" s="70"/>
    </row>
    <row r="1952" spans="1:8" x14ac:dyDescent="0.35">
      <c r="A1952" s="62"/>
      <c r="B1952" s="63"/>
      <c r="C1952" s="63" t="str">
        <f>IFERROR(VLOOKUP(B1952,منتجات!$A$3:$C$350,2,0),"")</f>
        <v/>
      </c>
      <c r="D1952" s="63" t="str">
        <f>IFERROR(VLOOKUP(B1952,منتجات!$A$3:$C$350,3,0),"")</f>
        <v/>
      </c>
      <c r="E1952" s="63"/>
      <c r="F1952" s="63" t="str">
        <f>IFERROR(INDEX(منتجات!$G$3:$G$350,MATCH(B1952,منتجات!$A$3:$A$115,0)),"")</f>
        <v/>
      </c>
      <c r="G1952" s="63" t="str">
        <f t="shared" si="32"/>
        <v/>
      </c>
      <c r="H1952" s="69"/>
    </row>
    <row r="1953" spans="1:8" x14ac:dyDescent="0.35">
      <c r="A1953" s="64"/>
      <c r="B1953" s="65"/>
      <c r="C1953" s="65" t="str">
        <f>IFERROR(VLOOKUP(B1953,منتجات!$A$3:$C$350,2,0),"")</f>
        <v/>
      </c>
      <c r="D1953" s="65" t="str">
        <f>IFERROR(VLOOKUP(B1953,منتجات!$A$3:$C$350,3,0),"")</f>
        <v/>
      </c>
      <c r="E1953" s="65"/>
      <c r="F1953" s="65" t="str">
        <f>IFERROR(INDEX(منتجات!$G$3:$G$350,MATCH(B1953,منتجات!$A$3:$A$115,0)),"")</f>
        <v/>
      </c>
      <c r="G1953" s="65" t="str">
        <f t="shared" si="32"/>
        <v/>
      </c>
      <c r="H1953" s="70"/>
    </row>
    <row r="1954" spans="1:8" x14ac:dyDescent="0.35">
      <c r="A1954" s="62"/>
      <c r="B1954" s="63"/>
      <c r="C1954" s="63" t="str">
        <f>IFERROR(VLOOKUP(B1954,منتجات!$A$3:$C$350,2,0),"")</f>
        <v/>
      </c>
      <c r="D1954" s="63" t="str">
        <f>IFERROR(VLOOKUP(B1954,منتجات!$A$3:$C$350,3,0),"")</f>
        <v/>
      </c>
      <c r="E1954" s="63"/>
      <c r="F1954" s="63" t="str">
        <f>IFERROR(INDEX(منتجات!$G$3:$G$350,MATCH(B1954,منتجات!$A$3:$A$115,0)),"")</f>
        <v/>
      </c>
      <c r="G1954" s="63" t="str">
        <f t="shared" si="32"/>
        <v/>
      </c>
      <c r="H1954" s="69"/>
    </row>
    <row r="1955" spans="1:8" x14ac:dyDescent="0.35">
      <c r="A1955" s="64"/>
      <c r="B1955" s="65"/>
      <c r="C1955" s="65" t="str">
        <f>IFERROR(VLOOKUP(B1955,منتجات!$A$3:$C$350,2,0),"")</f>
        <v/>
      </c>
      <c r="D1955" s="65" t="str">
        <f>IFERROR(VLOOKUP(B1955,منتجات!$A$3:$C$350,3,0),"")</f>
        <v/>
      </c>
      <c r="E1955" s="65"/>
      <c r="F1955" s="65" t="str">
        <f>IFERROR(INDEX(منتجات!$G$3:$G$350,MATCH(B1955,منتجات!$A$3:$A$115,0)),"")</f>
        <v/>
      </c>
      <c r="G1955" s="65" t="str">
        <f t="shared" si="32"/>
        <v/>
      </c>
      <c r="H1955" s="70"/>
    </row>
    <row r="1956" spans="1:8" x14ac:dyDescent="0.35">
      <c r="A1956" s="62"/>
      <c r="B1956" s="63"/>
      <c r="C1956" s="63" t="str">
        <f>IFERROR(VLOOKUP(B1956,منتجات!$A$3:$C$350,2,0),"")</f>
        <v/>
      </c>
      <c r="D1956" s="63" t="str">
        <f>IFERROR(VLOOKUP(B1956,منتجات!$A$3:$C$350,3,0),"")</f>
        <v/>
      </c>
      <c r="E1956" s="63"/>
      <c r="F1956" s="63" t="str">
        <f>IFERROR(INDEX(منتجات!$G$3:$G$350,MATCH(B1956,منتجات!$A$3:$A$115,0)),"")</f>
        <v/>
      </c>
      <c r="G1956" s="63" t="str">
        <f t="shared" si="32"/>
        <v/>
      </c>
      <c r="H1956" s="69"/>
    </row>
    <row r="1957" spans="1:8" x14ac:dyDescent="0.35">
      <c r="A1957" s="64"/>
      <c r="B1957" s="65"/>
      <c r="C1957" s="65" t="str">
        <f>IFERROR(VLOOKUP(B1957,منتجات!$A$3:$C$350,2,0),"")</f>
        <v/>
      </c>
      <c r="D1957" s="65" t="str">
        <f>IFERROR(VLOOKUP(B1957,منتجات!$A$3:$C$350,3,0),"")</f>
        <v/>
      </c>
      <c r="E1957" s="65"/>
      <c r="F1957" s="65" t="str">
        <f>IFERROR(INDEX(منتجات!$G$3:$G$350,MATCH(B1957,منتجات!$A$3:$A$115,0)),"")</f>
        <v/>
      </c>
      <c r="G1957" s="65" t="str">
        <f t="shared" si="32"/>
        <v/>
      </c>
      <c r="H1957" s="70"/>
    </row>
    <row r="1958" spans="1:8" x14ac:dyDescent="0.35">
      <c r="A1958" s="62"/>
      <c r="B1958" s="63"/>
      <c r="C1958" s="63" t="str">
        <f>IFERROR(VLOOKUP(B1958,منتجات!$A$3:$C$350,2,0),"")</f>
        <v/>
      </c>
      <c r="D1958" s="63" t="str">
        <f>IFERROR(VLOOKUP(B1958,منتجات!$A$3:$C$350,3,0),"")</f>
        <v/>
      </c>
      <c r="E1958" s="63"/>
      <c r="F1958" s="63" t="str">
        <f>IFERROR(INDEX(منتجات!$G$3:$G$350,MATCH(B1958,منتجات!$A$3:$A$115,0)),"")</f>
        <v/>
      </c>
      <c r="G1958" s="63" t="str">
        <f t="shared" si="32"/>
        <v/>
      </c>
      <c r="H1958" s="69"/>
    </row>
    <row r="1959" spans="1:8" x14ac:dyDescent="0.35">
      <c r="A1959" s="64"/>
      <c r="B1959" s="65"/>
      <c r="C1959" s="65" t="str">
        <f>IFERROR(VLOOKUP(B1959,منتجات!$A$3:$C$350,2,0),"")</f>
        <v/>
      </c>
      <c r="D1959" s="65" t="str">
        <f>IFERROR(VLOOKUP(B1959,منتجات!$A$3:$C$350,3,0),"")</f>
        <v/>
      </c>
      <c r="E1959" s="65"/>
      <c r="F1959" s="65" t="str">
        <f>IFERROR(INDEX(منتجات!$G$3:$G$350,MATCH(B1959,منتجات!$A$3:$A$115,0)),"")</f>
        <v/>
      </c>
      <c r="G1959" s="65" t="str">
        <f t="shared" si="32"/>
        <v/>
      </c>
      <c r="H1959" s="70"/>
    </row>
    <row r="1960" spans="1:8" x14ac:dyDescent="0.35">
      <c r="A1960" s="62"/>
      <c r="B1960" s="63"/>
      <c r="C1960" s="63" t="str">
        <f>IFERROR(VLOOKUP(B1960,منتجات!$A$3:$C$350,2,0),"")</f>
        <v/>
      </c>
      <c r="D1960" s="63" t="str">
        <f>IFERROR(VLOOKUP(B1960,منتجات!$A$3:$C$350,3,0),"")</f>
        <v/>
      </c>
      <c r="E1960" s="63"/>
      <c r="F1960" s="63" t="str">
        <f>IFERROR(INDEX(منتجات!$G$3:$G$350,MATCH(B1960,منتجات!$A$3:$A$115,0)),"")</f>
        <v/>
      </c>
      <c r="G1960" s="63" t="str">
        <f t="shared" si="32"/>
        <v/>
      </c>
      <c r="H1960" s="69"/>
    </row>
    <row r="1961" spans="1:8" x14ac:dyDescent="0.35">
      <c r="A1961" s="64"/>
      <c r="B1961" s="65"/>
      <c r="C1961" s="65" t="str">
        <f>IFERROR(VLOOKUP(B1961,منتجات!$A$3:$C$350,2,0),"")</f>
        <v/>
      </c>
      <c r="D1961" s="65" t="str">
        <f>IFERROR(VLOOKUP(B1961,منتجات!$A$3:$C$350,3,0),"")</f>
        <v/>
      </c>
      <c r="E1961" s="65"/>
      <c r="F1961" s="65" t="str">
        <f>IFERROR(INDEX(منتجات!$G$3:$G$350,MATCH(B1961,منتجات!$A$3:$A$115,0)),"")</f>
        <v/>
      </c>
      <c r="G1961" s="65" t="str">
        <f t="shared" si="32"/>
        <v/>
      </c>
      <c r="H1961" s="70"/>
    </row>
    <row r="1962" spans="1:8" x14ac:dyDescent="0.35">
      <c r="A1962" s="62"/>
      <c r="B1962" s="63"/>
      <c r="C1962" s="63" t="str">
        <f>IFERROR(VLOOKUP(B1962,منتجات!$A$3:$C$350,2,0),"")</f>
        <v/>
      </c>
      <c r="D1962" s="63" t="str">
        <f>IFERROR(VLOOKUP(B1962,منتجات!$A$3:$C$350,3,0),"")</f>
        <v/>
      </c>
      <c r="E1962" s="63"/>
      <c r="F1962" s="63" t="str">
        <f>IFERROR(INDEX(منتجات!$G$3:$G$350,MATCH(B1962,منتجات!$A$3:$A$115,0)),"")</f>
        <v/>
      </c>
      <c r="G1962" s="63" t="str">
        <f t="shared" si="32"/>
        <v/>
      </c>
      <c r="H1962" s="69"/>
    </row>
    <row r="1963" spans="1:8" x14ac:dyDescent="0.35">
      <c r="A1963" s="64"/>
      <c r="B1963" s="65"/>
      <c r="C1963" s="65" t="str">
        <f>IFERROR(VLOOKUP(B1963,منتجات!$A$3:$C$350,2,0),"")</f>
        <v/>
      </c>
      <c r="D1963" s="65" t="str">
        <f>IFERROR(VLOOKUP(B1963,منتجات!$A$3:$C$350,3,0),"")</f>
        <v/>
      </c>
      <c r="E1963" s="65"/>
      <c r="F1963" s="65" t="str">
        <f>IFERROR(INDEX(منتجات!$G$3:$G$350,MATCH(B1963,منتجات!$A$3:$A$115,0)),"")</f>
        <v/>
      </c>
      <c r="G1963" s="65" t="str">
        <f t="shared" si="32"/>
        <v/>
      </c>
      <c r="H1963" s="70"/>
    </row>
    <row r="1964" spans="1:8" x14ac:dyDescent="0.35">
      <c r="A1964" s="62"/>
      <c r="B1964" s="63"/>
      <c r="C1964" s="63" t="str">
        <f>IFERROR(VLOOKUP(B1964,منتجات!$A$3:$C$350,2,0),"")</f>
        <v/>
      </c>
      <c r="D1964" s="63" t="str">
        <f>IFERROR(VLOOKUP(B1964,منتجات!$A$3:$C$350,3,0),"")</f>
        <v/>
      </c>
      <c r="E1964" s="63"/>
      <c r="F1964" s="63" t="str">
        <f>IFERROR(INDEX(منتجات!$G$3:$G$350,MATCH(B1964,منتجات!$A$3:$A$115,0)),"")</f>
        <v/>
      </c>
      <c r="G1964" s="63" t="str">
        <f t="shared" si="32"/>
        <v/>
      </c>
      <c r="H1964" s="69"/>
    </row>
    <row r="1965" spans="1:8" x14ac:dyDescent="0.35">
      <c r="A1965" s="64"/>
      <c r="B1965" s="65"/>
      <c r="C1965" s="65" t="str">
        <f>IFERROR(VLOOKUP(B1965,منتجات!$A$3:$C$350,2,0),"")</f>
        <v/>
      </c>
      <c r="D1965" s="65" t="str">
        <f>IFERROR(VLOOKUP(B1965,منتجات!$A$3:$C$350,3,0),"")</f>
        <v/>
      </c>
      <c r="E1965" s="65"/>
      <c r="F1965" s="65" t="str">
        <f>IFERROR(INDEX(منتجات!$G$3:$G$350,MATCH(B1965,منتجات!$A$3:$A$115,0)),"")</f>
        <v/>
      </c>
      <c r="G1965" s="65" t="str">
        <f t="shared" si="32"/>
        <v/>
      </c>
      <c r="H1965" s="70"/>
    </row>
    <row r="1966" spans="1:8" x14ac:dyDescent="0.35">
      <c r="A1966" s="62"/>
      <c r="B1966" s="63"/>
      <c r="C1966" s="63" t="str">
        <f>IFERROR(VLOOKUP(B1966,منتجات!$A$3:$C$350,2,0),"")</f>
        <v/>
      </c>
      <c r="D1966" s="63" t="str">
        <f>IFERROR(VLOOKUP(B1966,منتجات!$A$3:$C$350,3,0),"")</f>
        <v/>
      </c>
      <c r="E1966" s="63"/>
      <c r="F1966" s="63" t="str">
        <f>IFERROR(INDEX(منتجات!$G$3:$G$350,MATCH(B1966,منتجات!$A$3:$A$115,0)),"")</f>
        <v/>
      </c>
      <c r="G1966" s="63" t="str">
        <f t="shared" si="32"/>
        <v/>
      </c>
      <c r="H1966" s="69"/>
    </row>
    <row r="1967" spans="1:8" x14ac:dyDescent="0.35">
      <c r="A1967" s="64"/>
      <c r="B1967" s="65"/>
      <c r="C1967" s="65" t="str">
        <f>IFERROR(VLOOKUP(B1967,منتجات!$A$3:$C$350,2,0),"")</f>
        <v/>
      </c>
      <c r="D1967" s="65" t="str">
        <f>IFERROR(VLOOKUP(B1967,منتجات!$A$3:$C$350,3,0),"")</f>
        <v/>
      </c>
      <c r="E1967" s="65"/>
      <c r="F1967" s="65" t="str">
        <f>IFERROR(INDEX(منتجات!$G$3:$G$350,MATCH(B1967,منتجات!$A$3:$A$115,0)),"")</f>
        <v/>
      </c>
      <c r="G1967" s="65" t="str">
        <f t="shared" si="32"/>
        <v/>
      </c>
      <c r="H1967" s="70"/>
    </row>
    <row r="1968" spans="1:8" x14ac:dyDescent="0.35">
      <c r="A1968" s="62"/>
      <c r="B1968" s="63"/>
      <c r="C1968" s="63" t="str">
        <f>IFERROR(VLOOKUP(B1968,منتجات!$A$3:$C$350,2,0),"")</f>
        <v/>
      </c>
      <c r="D1968" s="63" t="str">
        <f>IFERROR(VLOOKUP(B1968,منتجات!$A$3:$C$350,3,0),"")</f>
        <v/>
      </c>
      <c r="E1968" s="63"/>
      <c r="F1968" s="63" t="str">
        <f>IFERROR(INDEX(منتجات!$G$3:$G$350,MATCH(B1968,منتجات!$A$3:$A$115,0)),"")</f>
        <v/>
      </c>
      <c r="G1968" s="63" t="str">
        <f t="shared" si="32"/>
        <v/>
      </c>
      <c r="H1968" s="69"/>
    </row>
    <row r="1969" spans="1:8" x14ac:dyDescent="0.35">
      <c r="A1969" s="64"/>
      <c r="B1969" s="65"/>
      <c r="C1969" s="65" t="str">
        <f>IFERROR(VLOOKUP(B1969,منتجات!$A$3:$C$350,2,0),"")</f>
        <v/>
      </c>
      <c r="D1969" s="65" t="str">
        <f>IFERROR(VLOOKUP(B1969,منتجات!$A$3:$C$350,3,0),"")</f>
        <v/>
      </c>
      <c r="E1969" s="65"/>
      <c r="F1969" s="65" t="str">
        <f>IFERROR(INDEX(منتجات!$G$3:$G$350,MATCH(B1969,منتجات!$A$3:$A$115,0)),"")</f>
        <v/>
      </c>
      <c r="G1969" s="65" t="str">
        <f t="shared" si="32"/>
        <v/>
      </c>
      <c r="H1969" s="70"/>
    </row>
    <row r="1970" spans="1:8" x14ac:dyDescent="0.35">
      <c r="A1970" s="62"/>
      <c r="B1970" s="63"/>
      <c r="C1970" s="63" t="str">
        <f>IFERROR(VLOOKUP(B1970,منتجات!$A$3:$C$350,2,0),"")</f>
        <v/>
      </c>
      <c r="D1970" s="63" t="str">
        <f>IFERROR(VLOOKUP(B1970,منتجات!$A$3:$C$350,3,0),"")</f>
        <v/>
      </c>
      <c r="E1970" s="63"/>
      <c r="F1970" s="63" t="str">
        <f>IFERROR(INDEX(منتجات!$G$3:$G$350,MATCH(B1970,منتجات!$A$3:$A$115,0)),"")</f>
        <v/>
      </c>
      <c r="G1970" s="63" t="str">
        <f t="shared" si="32"/>
        <v/>
      </c>
      <c r="H1970" s="69"/>
    </row>
    <row r="1971" spans="1:8" x14ac:dyDescent="0.35">
      <c r="A1971" s="64"/>
      <c r="B1971" s="65"/>
      <c r="C1971" s="65" t="str">
        <f>IFERROR(VLOOKUP(B1971,منتجات!$A$3:$C$350,2,0),"")</f>
        <v/>
      </c>
      <c r="D1971" s="65" t="str">
        <f>IFERROR(VLOOKUP(B1971,منتجات!$A$3:$C$350,3,0),"")</f>
        <v/>
      </c>
      <c r="E1971" s="65"/>
      <c r="F1971" s="65" t="str">
        <f>IFERROR(INDEX(منتجات!$G$3:$G$350,MATCH(B1971,منتجات!$A$3:$A$115,0)),"")</f>
        <v/>
      </c>
      <c r="G1971" s="65" t="str">
        <f t="shared" si="32"/>
        <v/>
      </c>
      <c r="H1971" s="70"/>
    </row>
    <row r="1972" spans="1:8" x14ac:dyDescent="0.35">
      <c r="A1972" s="62"/>
      <c r="B1972" s="63"/>
      <c r="C1972" s="63" t="str">
        <f>IFERROR(VLOOKUP(B1972,منتجات!$A$3:$C$350,2,0),"")</f>
        <v/>
      </c>
      <c r="D1972" s="63" t="str">
        <f>IFERROR(VLOOKUP(B1972,منتجات!$A$3:$C$350,3,0),"")</f>
        <v/>
      </c>
      <c r="E1972" s="63"/>
      <c r="F1972" s="63" t="str">
        <f>IFERROR(INDEX(منتجات!$G$3:$G$350,MATCH(B1972,منتجات!$A$3:$A$115,0)),"")</f>
        <v/>
      </c>
      <c r="G1972" s="63" t="str">
        <f t="shared" si="32"/>
        <v/>
      </c>
      <c r="H1972" s="69"/>
    </row>
    <row r="1973" spans="1:8" x14ac:dyDescent="0.35">
      <c r="A1973" s="64"/>
      <c r="B1973" s="65"/>
      <c r="C1973" s="65" t="str">
        <f>IFERROR(VLOOKUP(B1973,منتجات!$A$3:$C$350,2,0),"")</f>
        <v/>
      </c>
      <c r="D1973" s="65" t="str">
        <f>IFERROR(VLOOKUP(B1973,منتجات!$A$3:$C$350,3,0),"")</f>
        <v/>
      </c>
      <c r="E1973" s="65"/>
      <c r="F1973" s="65" t="str">
        <f>IFERROR(INDEX(منتجات!$G$3:$G$350,MATCH(B1973,منتجات!$A$3:$A$115,0)),"")</f>
        <v/>
      </c>
      <c r="G1973" s="65" t="str">
        <f t="shared" si="32"/>
        <v/>
      </c>
      <c r="H1973" s="70"/>
    </row>
    <row r="1974" spans="1:8" x14ac:dyDescent="0.35">
      <c r="A1974" s="62"/>
      <c r="B1974" s="63"/>
      <c r="C1974" s="63" t="str">
        <f>IFERROR(VLOOKUP(B1974,منتجات!$A$3:$C$350,2,0),"")</f>
        <v/>
      </c>
      <c r="D1974" s="63" t="str">
        <f>IFERROR(VLOOKUP(B1974,منتجات!$A$3:$C$350,3,0),"")</f>
        <v/>
      </c>
      <c r="E1974" s="63"/>
      <c r="F1974" s="63" t="str">
        <f>IFERROR(INDEX(منتجات!$G$3:$G$350,MATCH(B1974,منتجات!$A$3:$A$115,0)),"")</f>
        <v/>
      </c>
      <c r="G1974" s="63" t="str">
        <f t="shared" si="32"/>
        <v/>
      </c>
      <c r="H1974" s="69"/>
    </row>
    <row r="1975" spans="1:8" x14ac:dyDescent="0.35">
      <c r="A1975" s="64"/>
      <c r="B1975" s="65"/>
      <c r="C1975" s="65" t="str">
        <f>IFERROR(VLOOKUP(B1975,منتجات!$A$3:$C$350,2,0),"")</f>
        <v/>
      </c>
      <c r="D1975" s="65" t="str">
        <f>IFERROR(VLOOKUP(B1975,منتجات!$A$3:$C$350,3,0),"")</f>
        <v/>
      </c>
      <c r="E1975" s="65"/>
      <c r="F1975" s="65" t="str">
        <f>IFERROR(INDEX(منتجات!$G$3:$G$350,MATCH(B1975,منتجات!$A$3:$A$115,0)),"")</f>
        <v/>
      </c>
      <c r="G1975" s="65" t="str">
        <f t="shared" si="32"/>
        <v/>
      </c>
      <c r="H1975" s="70"/>
    </row>
    <row r="1976" spans="1:8" x14ac:dyDescent="0.35">
      <c r="A1976" s="62"/>
      <c r="B1976" s="63"/>
      <c r="C1976" s="63" t="str">
        <f>IFERROR(VLOOKUP(B1976,منتجات!$A$3:$C$350,2,0),"")</f>
        <v/>
      </c>
      <c r="D1976" s="63" t="str">
        <f>IFERROR(VLOOKUP(B1976,منتجات!$A$3:$C$350,3,0),"")</f>
        <v/>
      </c>
      <c r="E1976" s="63"/>
      <c r="F1976" s="63" t="str">
        <f>IFERROR(INDEX(منتجات!$G$3:$G$350,MATCH(B1976,منتجات!$A$3:$A$115,0)),"")</f>
        <v/>
      </c>
      <c r="G1976" s="63" t="str">
        <f t="shared" si="32"/>
        <v/>
      </c>
      <c r="H1976" s="69"/>
    </row>
    <row r="1977" spans="1:8" x14ac:dyDescent="0.35">
      <c r="A1977" s="64"/>
      <c r="B1977" s="65"/>
      <c r="C1977" s="65" t="str">
        <f>IFERROR(VLOOKUP(B1977,منتجات!$A$3:$C$350,2,0),"")</f>
        <v/>
      </c>
      <c r="D1977" s="65" t="str">
        <f>IFERROR(VLOOKUP(B1977,منتجات!$A$3:$C$350,3,0),"")</f>
        <v/>
      </c>
      <c r="E1977" s="65"/>
      <c r="F1977" s="65" t="str">
        <f>IFERROR(INDEX(منتجات!$G$3:$G$350,MATCH(B1977,منتجات!$A$3:$A$115,0)),"")</f>
        <v/>
      </c>
      <c r="G1977" s="65" t="str">
        <f t="shared" si="32"/>
        <v/>
      </c>
      <c r="H1977" s="70"/>
    </row>
    <row r="1978" spans="1:8" x14ac:dyDescent="0.35">
      <c r="A1978" s="62"/>
      <c r="B1978" s="63"/>
      <c r="C1978" s="63" t="str">
        <f>IFERROR(VLOOKUP(B1978,منتجات!$A$3:$C$350,2,0),"")</f>
        <v/>
      </c>
      <c r="D1978" s="63" t="str">
        <f>IFERROR(VLOOKUP(B1978,منتجات!$A$3:$C$350,3,0),"")</f>
        <v/>
      </c>
      <c r="E1978" s="63"/>
      <c r="F1978" s="63" t="str">
        <f>IFERROR(INDEX(منتجات!$G$3:$G$350,MATCH(B1978,منتجات!$A$3:$A$115,0)),"")</f>
        <v/>
      </c>
      <c r="G1978" s="63" t="str">
        <f t="shared" si="32"/>
        <v/>
      </c>
      <c r="H1978" s="69"/>
    </row>
    <row r="1979" spans="1:8" x14ac:dyDescent="0.35">
      <c r="A1979" s="64"/>
      <c r="B1979" s="65"/>
      <c r="C1979" s="65" t="str">
        <f>IFERROR(VLOOKUP(B1979,منتجات!$A$3:$C$350,2,0),"")</f>
        <v/>
      </c>
      <c r="D1979" s="65" t="str">
        <f>IFERROR(VLOOKUP(B1979,منتجات!$A$3:$C$350,3,0),"")</f>
        <v/>
      </c>
      <c r="E1979" s="65"/>
      <c r="F1979" s="65" t="str">
        <f>IFERROR(INDEX(منتجات!$G$3:$G$350,MATCH(B1979,منتجات!$A$3:$A$115,0)),"")</f>
        <v/>
      </c>
      <c r="G1979" s="65" t="str">
        <f t="shared" si="32"/>
        <v/>
      </c>
      <c r="H1979" s="70"/>
    </row>
    <row r="1980" spans="1:8" x14ac:dyDescent="0.35">
      <c r="A1980" s="62"/>
      <c r="B1980" s="63"/>
      <c r="C1980" s="63" t="str">
        <f>IFERROR(VLOOKUP(B1980,منتجات!$A$3:$C$350,2,0),"")</f>
        <v/>
      </c>
      <c r="D1980" s="63" t="str">
        <f>IFERROR(VLOOKUP(B1980,منتجات!$A$3:$C$350,3,0),"")</f>
        <v/>
      </c>
      <c r="E1980" s="63"/>
      <c r="F1980" s="63" t="str">
        <f>IFERROR(INDEX(منتجات!$G$3:$G$350,MATCH(B1980,منتجات!$A$3:$A$115,0)),"")</f>
        <v/>
      </c>
      <c r="G1980" s="63" t="str">
        <f t="shared" si="32"/>
        <v/>
      </c>
      <c r="H1980" s="69"/>
    </row>
    <row r="1981" spans="1:8" x14ac:dyDescent="0.35">
      <c r="A1981" s="64"/>
      <c r="B1981" s="65"/>
      <c r="C1981" s="65" t="str">
        <f>IFERROR(VLOOKUP(B1981,منتجات!$A$3:$C$350,2,0),"")</f>
        <v/>
      </c>
      <c r="D1981" s="65" t="str">
        <f>IFERROR(VLOOKUP(B1981,منتجات!$A$3:$C$350,3,0),"")</f>
        <v/>
      </c>
      <c r="E1981" s="65"/>
      <c r="F1981" s="65" t="str">
        <f>IFERROR(INDEX(منتجات!$G$3:$G$350,MATCH(B1981,منتجات!$A$3:$A$115,0)),"")</f>
        <v/>
      </c>
      <c r="G1981" s="65" t="str">
        <f t="shared" si="32"/>
        <v/>
      </c>
      <c r="H1981" s="70"/>
    </row>
    <row r="1982" spans="1:8" x14ac:dyDescent="0.35">
      <c r="A1982" s="62"/>
      <c r="B1982" s="63"/>
      <c r="C1982" s="63" t="str">
        <f>IFERROR(VLOOKUP(B1982,منتجات!$A$3:$C$350,2,0),"")</f>
        <v/>
      </c>
      <c r="D1982" s="63" t="str">
        <f>IFERROR(VLOOKUP(B1982,منتجات!$A$3:$C$350,3,0),"")</f>
        <v/>
      </c>
      <c r="E1982" s="63"/>
      <c r="F1982" s="63" t="str">
        <f>IFERROR(INDEX(منتجات!$G$3:$G$350,MATCH(B1982,منتجات!$A$3:$A$115,0)),"")</f>
        <v/>
      </c>
      <c r="G1982" s="63" t="str">
        <f t="shared" si="32"/>
        <v/>
      </c>
      <c r="H1982" s="69"/>
    </row>
    <row r="1983" spans="1:8" x14ac:dyDescent="0.35">
      <c r="A1983" s="64"/>
      <c r="B1983" s="65"/>
      <c r="C1983" s="65" t="str">
        <f>IFERROR(VLOOKUP(B1983,منتجات!$A$3:$C$350,2,0),"")</f>
        <v/>
      </c>
      <c r="D1983" s="65" t="str">
        <f>IFERROR(VLOOKUP(B1983,منتجات!$A$3:$C$350,3,0),"")</f>
        <v/>
      </c>
      <c r="E1983" s="65"/>
      <c r="F1983" s="65" t="str">
        <f>IFERROR(INDEX(منتجات!$G$3:$G$350,MATCH(B1983,منتجات!$A$3:$A$115,0)),"")</f>
        <v/>
      </c>
      <c r="G1983" s="65" t="str">
        <f t="shared" si="32"/>
        <v/>
      </c>
      <c r="H1983" s="70"/>
    </row>
    <row r="1984" spans="1:8" x14ac:dyDescent="0.35">
      <c r="A1984" s="62"/>
      <c r="B1984" s="63"/>
      <c r="C1984" s="63" t="str">
        <f>IFERROR(VLOOKUP(B1984,منتجات!$A$3:$C$350,2,0),"")</f>
        <v/>
      </c>
      <c r="D1984" s="63" t="str">
        <f>IFERROR(VLOOKUP(B1984,منتجات!$A$3:$C$350,3,0),"")</f>
        <v/>
      </c>
      <c r="E1984" s="63"/>
      <c r="F1984" s="63" t="str">
        <f>IFERROR(INDEX(منتجات!$G$3:$G$350,MATCH(B1984,منتجات!$A$3:$A$115,0)),"")</f>
        <v/>
      </c>
      <c r="G1984" s="63" t="str">
        <f t="shared" si="32"/>
        <v/>
      </c>
      <c r="H1984" s="69"/>
    </row>
    <row r="1985" spans="1:8" x14ac:dyDescent="0.35">
      <c r="A1985" s="64"/>
      <c r="B1985" s="65"/>
      <c r="C1985" s="65" t="str">
        <f>IFERROR(VLOOKUP(B1985,منتجات!$A$3:$C$350,2,0),"")</f>
        <v/>
      </c>
      <c r="D1985" s="65" t="str">
        <f>IFERROR(VLOOKUP(B1985,منتجات!$A$3:$C$350,3,0),"")</f>
        <v/>
      </c>
      <c r="E1985" s="65"/>
      <c r="F1985" s="65" t="str">
        <f>IFERROR(INDEX(منتجات!$G$3:$G$350,MATCH(B1985,منتجات!$A$3:$A$115,0)),"")</f>
        <v/>
      </c>
      <c r="G1985" s="65" t="str">
        <f t="shared" si="32"/>
        <v/>
      </c>
      <c r="H1985" s="70"/>
    </row>
    <row r="1986" spans="1:8" x14ac:dyDescent="0.35">
      <c r="A1986" s="62"/>
      <c r="B1986" s="63"/>
      <c r="C1986" s="63" t="str">
        <f>IFERROR(VLOOKUP(B1986,منتجات!$A$3:$C$350,2,0),"")</f>
        <v/>
      </c>
      <c r="D1986" s="63" t="str">
        <f>IFERROR(VLOOKUP(B1986,منتجات!$A$3:$C$350,3,0),"")</f>
        <v/>
      </c>
      <c r="E1986" s="63"/>
      <c r="F1986" s="63" t="str">
        <f>IFERROR(INDEX(منتجات!$G$3:$G$350,MATCH(B1986,منتجات!$A$3:$A$115,0)),"")</f>
        <v/>
      </c>
      <c r="G1986" s="63" t="str">
        <f t="shared" si="32"/>
        <v/>
      </c>
      <c r="H1986" s="69"/>
    </row>
    <row r="1987" spans="1:8" x14ac:dyDescent="0.35">
      <c r="A1987" s="64"/>
      <c r="B1987" s="65"/>
      <c r="C1987" s="65" t="str">
        <f>IFERROR(VLOOKUP(B1987,منتجات!$A$3:$C$350,2,0),"")</f>
        <v/>
      </c>
      <c r="D1987" s="65" t="str">
        <f>IFERROR(VLOOKUP(B1987,منتجات!$A$3:$C$350,3,0),"")</f>
        <v/>
      </c>
      <c r="E1987" s="65"/>
      <c r="F1987" s="65" t="str">
        <f>IFERROR(INDEX(منتجات!$G$3:$G$350,MATCH(B1987,منتجات!$A$3:$A$115,0)),"")</f>
        <v/>
      </c>
      <c r="G1987" s="65" t="str">
        <f t="shared" si="32"/>
        <v/>
      </c>
      <c r="H1987" s="70"/>
    </row>
    <row r="1988" spans="1:8" x14ac:dyDescent="0.35">
      <c r="A1988" s="62"/>
      <c r="B1988" s="63"/>
      <c r="C1988" s="63" t="str">
        <f>IFERROR(VLOOKUP(B1988,منتجات!$A$3:$C$350,2,0),"")</f>
        <v/>
      </c>
      <c r="D1988" s="63" t="str">
        <f>IFERROR(VLOOKUP(B1988,منتجات!$A$3:$C$350,3,0),"")</f>
        <v/>
      </c>
      <c r="E1988" s="63"/>
      <c r="F1988" s="63" t="str">
        <f>IFERROR(INDEX(منتجات!$G$3:$G$350,MATCH(B1988,منتجات!$A$3:$A$115,0)),"")</f>
        <v/>
      </c>
      <c r="G1988" s="63" t="str">
        <f t="shared" si="32"/>
        <v/>
      </c>
      <c r="H1988" s="69"/>
    </row>
    <row r="1989" spans="1:8" x14ac:dyDescent="0.35">
      <c r="A1989" s="64"/>
      <c r="B1989" s="65"/>
      <c r="C1989" s="65" t="str">
        <f>IFERROR(VLOOKUP(B1989,منتجات!$A$3:$C$350,2,0),"")</f>
        <v/>
      </c>
      <c r="D1989" s="65" t="str">
        <f>IFERROR(VLOOKUP(B1989,منتجات!$A$3:$C$350,3,0),"")</f>
        <v/>
      </c>
      <c r="E1989" s="65"/>
      <c r="F1989" s="65" t="str">
        <f>IFERROR(INDEX(منتجات!$G$3:$G$350,MATCH(B1989,منتجات!$A$3:$A$115,0)),"")</f>
        <v/>
      </c>
      <c r="G1989" s="65" t="str">
        <f t="shared" si="32"/>
        <v/>
      </c>
      <c r="H1989" s="70"/>
    </row>
    <row r="1990" spans="1:8" x14ac:dyDescent="0.35">
      <c r="A1990" s="62"/>
      <c r="B1990" s="63"/>
      <c r="C1990" s="63" t="str">
        <f>IFERROR(VLOOKUP(B1990,منتجات!$A$3:$C$350,2,0),"")</f>
        <v/>
      </c>
      <c r="D1990" s="63" t="str">
        <f>IFERROR(VLOOKUP(B1990,منتجات!$A$3:$C$350,3,0),"")</f>
        <v/>
      </c>
      <c r="E1990" s="63"/>
      <c r="F1990" s="63" t="str">
        <f>IFERROR(INDEX(منتجات!$G$3:$G$350,MATCH(B1990,منتجات!$A$3:$A$115,0)),"")</f>
        <v/>
      </c>
      <c r="G1990" s="63" t="str">
        <f t="shared" ref="G1990:G2000" si="33">IFERROR(E1990*F1990*D1990,"")</f>
        <v/>
      </c>
      <c r="H1990" s="69"/>
    </row>
    <row r="1991" spans="1:8" x14ac:dyDescent="0.35">
      <c r="A1991" s="64"/>
      <c r="B1991" s="65"/>
      <c r="C1991" s="65" t="str">
        <f>IFERROR(VLOOKUP(B1991,منتجات!$A$3:$C$350,2,0),"")</f>
        <v/>
      </c>
      <c r="D1991" s="65" t="str">
        <f>IFERROR(VLOOKUP(B1991,منتجات!$A$3:$C$350,3,0),"")</f>
        <v/>
      </c>
      <c r="E1991" s="65"/>
      <c r="F1991" s="65" t="str">
        <f>IFERROR(INDEX(منتجات!$G$3:$G$350,MATCH(B1991,منتجات!$A$3:$A$115,0)),"")</f>
        <v/>
      </c>
      <c r="G1991" s="65" t="str">
        <f t="shared" si="33"/>
        <v/>
      </c>
      <c r="H1991" s="70"/>
    </row>
    <row r="1992" spans="1:8" x14ac:dyDescent="0.35">
      <c r="A1992" s="62"/>
      <c r="B1992" s="63"/>
      <c r="C1992" s="63" t="str">
        <f>IFERROR(VLOOKUP(B1992,منتجات!$A$3:$C$350,2,0),"")</f>
        <v/>
      </c>
      <c r="D1992" s="63" t="str">
        <f>IFERROR(VLOOKUP(B1992,منتجات!$A$3:$C$350,3,0),"")</f>
        <v/>
      </c>
      <c r="E1992" s="63"/>
      <c r="F1992" s="63" t="str">
        <f>IFERROR(INDEX(منتجات!$G$3:$G$350,MATCH(B1992,منتجات!$A$3:$A$115,0)),"")</f>
        <v/>
      </c>
      <c r="G1992" s="63" t="str">
        <f t="shared" si="33"/>
        <v/>
      </c>
      <c r="H1992" s="69"/>
    </row>
    <row r="1993" spans="1:8" x14ac:dyDescent="0.35">
      <c r="A1993" s="64"/>
      <c r="B1993" s="65"/>
      <c r="C1993" s="65" t="str">
        <f>IFERROR(VLOOKUP(B1993,منتجات!$A$3:$C$350,2,0),"")</f>
        <v/>
      </c>
      <c r="D1993" s="65" t="str">
        <f>IFERROR(VLOOKUP(B1993,منتجات!$A$3:$C$350,3,0),"")</f>
        <v/>
      </c>
      <c r="E1993" s="65"/>
      <c r="F1993" s="65" t="str">
        <f>IFERROR(INDEX(منتجات!$G$3:$G$350,MATCH(B1993,منتجات!$A$3:$A$115,0)),"")</f>
        <v/>
      </c>
      <c r="G1993" s="65" t="str">
        <f t="shared" si="33"/>
        <v/>
      </c>
      <c r="H1993" s="70"/>
    </row>
    <row r="1994" spans="1:8" x14ac:dyDescent="0.35">
      <c r="A1994" s="62"/>
      <c r="B1994" s="63"/>
      <c r="C1994" s="63" t="str">
        <f>IFERROR(VLOOKUP(B1994,منتجات!$A$3:$C$350,2,0),"")</f>
        <v/>
      </c>
      <c r="D1994" s="63" t="str">
        <f>IFERROR(VLOOKUP(B1994,منتجات!$A$3:$C$350,3,0),"")</f>
        <v/>
      </c>
      <c r="E1994" s="63"/>
      <c r="F1994" s="63" t="str">
        <f>IFERROR(INDEX(منتجات!$G$3:$G$350,MATCH(B1994,منتجات!$A$3:$A$115,0)),"")</f>
        <v/>
      </c>
      <c r="G1994" s="63" t="str">
        <f t="shared" si="33"/>
        <v/>
      </c>
      <c r="H1994" s="69"/>
    </row>
    <row r="1995" spans="1:8" x14ac:dyDescent="0.35">
      <c r="A1995" s="64"/>
      <c r="B1995" s="65"/>
      <c r="C1995" s="65" t="str">
        <f>IFERROR(VLOOKUP(B1995,منتجات!$A$3:$C$350,2,0),"")</f>
        <v/>
      </c>
      <c r="D1995" s="65" t="str">
        <f>IFERROR(VLOOKUP(B1995,منتجات!$A$3:$C$350,3,0),"")</f>
        <v/>
      </c>
      <c r="E1995" s="65"/>
      <c r="F1995" s="65" t="str">
        <f>IFERROR(INDEX(منتجات!$G$3:$G$350,MATCH(B1995,منتجات!$A$3:$A$115,0)),"")</f>
        <v/>
      </c>
      <c r="G1995" s="65" t="str">
        <f t="shared" si="33"/>
        <v/>
      </c>
      <c r="H1995" s="70"/>
    </row>
    <row r="1996" spans="1:8" x14ac:dyDescent="0.35">
      <c r="A1996" s="62"/>
      <c r="B1996" s="63"/>
      <c r="C1996" s="63" t="str">
        <f>IFERROR(VLOOKUP(B1996,منتجات!$A$3:$C$350,2,0),"")</f>
        <v/>
      </c>
      <c r="D1996" s="63" t="str">
        <f>IFERROR(VLOOKUP(B1996,منتجات!$A$3:$C$350,3,0),"")</f>
        <v/>
      </c>
      <c r="E1996" s="63"/>
      <c r="F1996" s="63" t="str">
        <f>IFERROR(INDEX(منتجات!$G$3:$G$350,MATCH(B1996,منتجات!$A$3:$A$115,0)),"")</f>
        <v/>
      </c>
      <c r="G1996" s="63" t="str">
        <f t="shared" si="33"/>
        <v/>
      </c>
      <c r="H1996" s="69"/>
    </row>
    <row r="1997" spans="1:8" x14ac:dyDescent="0.35">
      <c r="A1997" s="64"/>
      <c r="B1997" s="65"/>
      <c r="C1997" s="65" t="str">
        <f>IFERROR(VLOOKUP(B1997,منتجات!$A$3:$C$350,2,0),"")</f>
        <v/>
      </c>
      <c r="D1997" s="65" t="str">
        <f>IFERROR(VLOOKUP(B1997,منتجات!$A$3:$C$350,3,0),"")</f>
        <v/>
      </c>
      <c r="E1997" s="65"/>
      <c r="F1997" s="65" t="str">
        <f>IFERROR(INDEX(منتجات!$G$3:$G$350,MATCH(B1997,منتجات!$A$3:$A$115,0)),"")</f>
        <v/>
      </c>
      <c r="G1997" s="65" t="str">
        <f t="shared" si="33"/>
        <v/>
      </c>
      <c r="H1997" s="70"/>
    </row>
    <row r="1998" spans="1:8" x14ac:dyDescent="0.35">
      <c r="A1998" s="62"/>
      <c r="B1998" s="63"/>
      <c r="C1998" s="63" t="str">
        <f>IFERROR(VLOOKUP(B1998,منتجات!$A$3:$C$350,2,0),"")</f>
        <v/>
      </c>
      <c r="D1998" s="63" t="str">
        <f>IFERROR(VLOOKUP(B1998,منتجات!$A$3:$C$350,3,0),"")</f>
        <v/>
      </c>
      <c r="E1998" s="63"/>
      <c r="F1998" s="63" t="str">
        <f>IFERROR(INDEX(منتجات!$G$3:$G$350,MATCH(B1998,منتجات!$A$3:$A$115,0)),"")</f>
        <v/>
      </c>
      <c r="G1998" s="63" t="str">
        <f t="shared" si="33"/>
        <v/>
      </c>
      <c r="H1998" s="69"/>
    </row>
    <row r="1999" spans="1:8" x14ac:dyDescent="0.35">
      <c r="A1999" s="64"/>
      <c r="B1999" s="65"/>
      <c r="C1999" s="65" t="str">
        <f>IFERROR(VLOOKUP(B1999,منتجات!$A$3:$C$350,2,0),"")</f>
        <v/>
      </c>
      <c r="D1999" s="65" t="str">
        <f>IFERROR(VLOOKUP(B1999,منتجات!$A$3:$C$350,3,0),"")</f>
        <v/>
      </c>
      <c r="E1999" s="65"/>
      <c r="F1999" s="65" t="str">
        <f>IFERROR(INDEX(منتجات!$G$3:$G$350,MATCH(B1999,منتجات!$A$3:$A$115,0)),"")</f>
        <v/>
      </c>
      <c r="G1999" s="65" t="str">
        <f t="shared" si="33"/>
        <v/>
      </c>
      <c r="H1999" s="70"/>
    </row>
    <row r="2000" spans="1:8" x14ac:dyDescent="0.35">
      <c r="A2000" s="62"/>
      <c r="B2000" s="63"/>
      <c r="C2000" s="63" t="str">
        <f>IFERROR(VLOOKUP(B2000,منتجات!$A$3:$C$350,2,0),"")</f>
        <v/>
      </c>
      <c r="D2000" s="63" t="str">
        <f>IFERROR(VLOOKUP(B2000,منتجات!$A$3:$C$350,3,0),"")</f>
        <v/>
      </c>
      <c r="E2000" s="63"/>
      <c r="F2000" s="63" t="str">
        <f>IFERROR(INDEX(منتجات!$G$3:$G$350,MATCH(B2000,منتجات!$A$3:$A$115,0)),"")</f>
        <v/>
      </c>
      <c r="G2000" s="63" t="str">
        <f t="shared" si="33"/>
        <v/>
      </c>
      <c r="H2000" s="69"/>
    </row>
  </sheetData>
  <dataValidations count="2">
    <dataValidation type="list" allowBlank="1" showInputMessage="1" showErrorMessage="1" sqref="B2:B3 B2001:B1048576" xr:uid="{00000000-0002-0000-0200-000000000000}">
      <formula1>INDIRECT($B$5)</formula1>
    </dataValidation>
    <dataValidation type="list" allowBlank="1" showInputMessage="1" showErrorMessage="1" sqref="B5:B2000" xr:uid="{00000000-0002-0000-0200-000001000000}">
      <formula1>INDIRECT($B$4)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200-000002000000}">
          <x14:formula1>
            <xm:f>ورقة5!$B$3:$S$3</xm:f>
          </x14:formula1>
          <xm:sqref>B4</xm:sqref>
        </x14:dataValidation>
        <x14:dataValidation type="list" allowBlank="1" showInputMessage="1" showErrorMessage="1" xr:uid="{00000000-0002-0000-0200-000003000000}">
          <x14:formula1>
            <xm:f>الأصناف!$G$3:$G$58</xm:f>
          </x14:formula1>
          <xm:sqref>A4:A2000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ورقة4"/>
  <dimension ref="A3:G101"/>
  <sheetViews>
    <sheetView topLeftCell="A37" zoomScale="40" zoomScaleNormal="40" workbookViewId="0">
      <selection activeCell="G54" sqref="G54"/>
    </sheetView>
  </sheetViews>
  <sheetFormatPr defaultRowHeight="21" x14ac:dyDescent="0.35"/>
  <cols>
    <col min="1" max="1" width="12.81640625" customWidth="1"/>
    <col min="3" max="3" width="19.26953125" bestFit="1" customWidth="1"/>
    <col min="5" max="5" width="22.08984375" bestFit="1" customWidth="1"/>
    <col min="7" max="7" width="17.6328125" bestFit="1" customWidth="1"/>
  </cols>
  <sheetData>
    <row r="3" spans="1:7" ht="23.25" x14ac:dyDescent="0.35">
      <c r="A3" s="6" t="s">
        <v>191</v>
      </c>
      <c r="C3" s="2" t="s">
        <v>9</v>
      </c>
      <c r="E3" s="4" t="s">
        <v>74</v>
      </c>
      <c r="G3" s="8" t="s">
        <v>226</v>
      </c>
    </row>
    <row r="4" spans="1:7" ht="23.25" x14ac:dyDescent="0.35">
      <c r="A4" s="6" t="s">
        <v>192</v>
      </c>
      <c r="C4" s="2" t="s">
        <v>10</v>
      </c>
      <c r="E4" s="4" t="s">
        <v>75</v>
      </c>
      <c r="G4" s="8" t="s">
        <v>227</v>
      </c>
    </row>
    <row r="5" spans="1:7" ht="23.25" x14ac:dyDescent="0.35">
      <c r="A5" s="6" t="s">
        <v>193</v>
      </c>
      <c r="C5" s="2" t="s">
        <v>11</v>
      </c>
      <c r="E5" s="4" t="s">
        <v>76</v>
      </c>
      <c r="G5" s="8" t="s">
        <v>228</v>
      </c>
    </row>
    <row r="6" spans="1:7" ht="23.25" x14ac:dyDescent="0.35">
      <c r="A6" s="6" t="s">
        <v>194</v>
      </c>
      <c r="C6" s="2" t="s">
        <v>12</v>
      </c>
      <c r="E6" s="4" t="s">
        <v>77</v>
      </c>
      <c r="G6" s="8" t="s">
        <v>229</v>
      </c>
    </row>
    <row r="7" spans="1:7" ht="23.25" x14ac:dyDescent="0.35">
      <c r="A7" s="6" t="s">
        <v>195</v>
      </c>
      <c r="C7" s="2" t="s">
        <v>171</v>
      </c>
      <c r="E7" s="4" t="s">
        <v>78</v>
      </c>
      <c r="G7" s="8" t="s">
        <v>230</v>
      </c>
    </row>
    <row r="8" spans="1:7" ht="23.25" x14ac:dyDescent="0.35">
      <c r="A8" s="6" t="s">
        <v>196</v>
      </c>
      <c r="C8" s="2" t="s">
        <v>172</v>
      </c>
      <c r="E8" s="4" t="s">
        <v>79</v>
      </c>
      <c r="G8" s="8" t="s">
        <v>492</v>
      </c>
    </row>
    <row r="9" spans="1:7" ht="23.25" x14ac:dyDescent="0.35">
      <c r="A9" s="6" t="s">
        <v>197</v>
      </c>
      <c r="C9" s="3" t="s">
        <v>13</v>
      </c>
      <c r="E9" s="4" t="s">
        <v>80</v>
      </c>
      <c r="G9" s="8" t="s">
        <v>231</v>
      </c>
    </row>
    <row r="10" spans="1:7" ht="23.25" x14ac:dyDescent="0.35">
      <c r="A10" s="6" t="s">
        <v>198</v>
      </c>
      <c r="C10" s="2" t="s">
        <v>14</v>
      </c>
      <c r="E10" s="4" t="s">
        <v>81</v>
      </c>
      <c r="G10" s="8" t="s">
        <v>232</v>
      </c>
    </row>
    <row r="11" spans="1:7" ht="23.25" x14ac:dyDescent="0.35">
      <c r="A11" s="6" t="s">
        <v>199</v>
      </c>
      <c r="C11" s="2" t="s">
        <v>15</v>
      </c>
      <c r="E11" s="4" t="s">
        <v>82</v>
      </c>
      <c r="G11" s="8" t="s">
        <v>233</v>
      </c>
    </row>
    <row r="12" spans="1:7" ht="23.25" x14ac:dyDescent="0.35">
      <c r="A12" s="6" t="s">
        <v>200</v>
      </c>
      <c r="C12" s="2" t="s">
        <v>16</v>
      </c>
      <c r="E12" s="4" t="s">
        <v>83</v>
      </c>
      <c r="G12" s="8" t="s">
        <v>234</v>
      </c>
    </row>
    <row r="13" spans="1:7" ht="23.25" x14ac:dyDescent="0.35">
      <c r="A13" s="6" t="s">
        <v>201</v>
      </c>
      <c r="C13" s="2" t="s">
        <v>17</v>
      </c>
      <c r="E13" s="4" t="s">
        <v>84</v>
      </c>
      <c r="G13" s="8" t="s">
        <v>235</v>
      </c>
    </row>
    <row r="14" spans="1:7" ht="23.25" x14ac:dyDescent="0.35">
      <c r="A14" s="6" t="s">
        <v>202</v>
      </c>
      <c r="C14" s="2" t="s">
        <v>18</v>
      </c>
      <c r="E14" s="4" t="s">
        <v>85</v>
      </c>
      <c r="G14" s="8" t="s">
        <v>236</v>
      </c>
    </row>
    <row r="15" spans="1:7" ht="23.25" x14ac:dyDescent="0.35">
      <c r="A15" s="6" t="s">
        <v>203</v>
      </c>
      <c r="C15" s="2" t="s">
        <v>19</v>
      </c>
      <c r="E15" s="4" t="s">
        <v>86</v>
      </c>
      <c r="G15" s="8" t="s">
        <v>237</v>
      </c>
    </row>
    <row r="16" spans="1:7" ht="23.25" x14ac:dyDescent="0.35">
      <c r="A16" s="6" t="s">
        <v>204</v>
      </c>
      <c r="C16" s="2" t="s">
        <v>20</v>
      </c>
      <c r="E16" s="4" t="s">
        <v>87</v>
      </c>
      <c r="G16" s="8" t="s">
        <v>238</v>
      </c>
    </row>
    <row r="17" spans="1:7" ht="23.25" x14ac:dyDescent="0.35">
      <c r="A17" s="6" t="s">
        <v>205</v>
      </c>
      <c r="C17" s="2" t="s">
        <v>21</v>
      </c>
      <c r="E17" s="4" t="s">
        <v>88</v>
      </c>
      <c r="G17" s="8" t="s">
        <v>475</v>
      </c>
    </row>
    <row r="18" spans="1:7" ht="23.25" x14ac:dyDescent="0.35">
      <c r="A18" s="6" t="s">
        <v>206</v>
      </c>
      <c r="C18" s="2" t="s">
        <v>22</v>
      </c>
      <c r="E18" s="4" t="s">
        <v>89</v>
      </c>
      <c r="G18" s="8" t="s">
        <v>239</v>
      </c>
    </row>
    <row r="19" spans="1:7" ht="23.25" x14ac:dyDescent="0.35">
      <c r="A19" s="6" t="s">
        <v>207</v>
      </c>
      <c r="C19" s="2" t="s">
        <v>23</v>
      </c>
      <c r="E19" s="4" t="s">
        <v>90</v>
      </c>
      <c r="G19" s="8" t="s">
        <v>240</v>
      </c>
    </row>
    <row r="20" spans="1:7" ht="23.25" x14ac:dyDescent="0.35">
      <c r="A20" s="6" t="s">
        <v>208</v>
      </c>
      <c r="C20" s="2" t="s">
        <v>24</v>
      </c>
      <c r="E20" s="4" t="s">
        <v>91</v>
      </c>
      <c r="G20" s="8" t="s">
        <v>241</v>
      </c>
    </row>
    <row r="21" spans="1:7" ht="23.25" x14ac:dyDescent="0.35">
      <c r="A21" s="6" t="s">
        <v>209</v>
      </c>
      <c r="C21" s="2" t="s">
        <v>25</v>
      </c>
      <c r="E21" s="4" t="s">
        <v>92</v>
      </c>
      <c r="G21" s="8" t="s">
        <v>242</v>
      </c>
    </row>
    <row r="22" spans="1:7" ht="23.25" x14ac:dyDescent="0.35">
      <c r="A22" s="6" t="s">
        <v>210</v>
      </c>
      <c r="C22" s="2" t="s">
        <v>26</v>
      </c>
      <c r="E22" s="4" t="s">
        <v>93</v>
      </c>
      <c r="G22" s="8" t="s">
        <v>243</v>
      </c>
    </row>
    <row r="23" spans="1:7" ht="23.25" x14ac:dyDescent="0.35">
      <c r="A23" s="6" t="s">
        <v>456</v>
      </c>
      <c r="C23" s="2" t="s">
        <v>27</v>
      </c>
      <c r="E23" s="4" t="s">
        <v>94</v>
      </c>
      <c r="G23" s="8" t="s">
        <v>244</v>
      </c>
    </row>
    <row r="24" spans="1:7" ht="23.25" x14ac:dyDescent="0.35">
      <c r="A24" s="6" t="s">
        <v>211</v>
      </c>
      <c r="C24" s="2" t="s">
        <v>28</v>
      </c>
      <c r="E24" s="4" t="s">
        <v>95</v>
      </c>
      <c r="G24" s="8" t="s">
        <v>245</v>
      </c>
    </row>
    <row r="25" spans="1:7" ht="23.25" x14ac:dyDescent="0.35">
      <c r="A25" s="6" t="s">
        <v>212</v>
      </c>
      <c r="C25" s="2" t="s">
        <v>29</v>
      </c>
      <c r="E25" s="4" t="s">
        <v>96</v>
      </c>
      <c r="G25" s="8" t="s">
        <v>246</v>
      </c>
    </row>
    <row r="26" spans="1:7" ht="23.25" x14ac:dyDescent="0.35">
      <c r="A26" s="6" t="s">
        <v>213</v>
      </c>
      <c r="C26" s="2" t="s">
        <v>30</v>
      </c>
      <c r="E26" s="4" t="s">
        <v>97</v>
      </c>
      <c r="G26" s="8" t="s">
        <v>247</v>
      </c>
    </row>
    <row r="27" spans="1:7" ht="23.25" x14ac:dyDescent="0.35">
      <c r="A27" s="6" t="s">
        <v>214</v>
      </c>
      <c r="C27" s="2" t="s">
        <v>31</v>
      </c>
      <c r="E27" s="4" t="s">
        <v>98</v>
      </c>
      <c r="G27" s="8" t="s">
        <v>476</v>
      </c>
    </row>
    <row r="28" spans="1:7" ht="23.25" x14ac:dyDescent="0.35">
      <c r="A28" s="6" t="s">
        <v>215</v>
      </c>
      <c r="C28" s="2" t="s">
        <v>32</v>
      </c>
      <c r="E28" s="4" t="s">
        <v>99</v>
      </c>
      <c r="G28" s="8" t="s">
        <v>477</v>
      </c>
    </row>
    <row r="29" spans="1:7" ht="23.25" x14ac:dyDescent="0.35">
      <c r="A29" s="6" t="s">
        <v>216</v>
      </c>
      <c r="C29" s="2" t="s">
        <v>33</v>
      </c>
      <c r="E29" s="4" t="s">
        <v>100</v>
      </c>
      <c r="G29" s="8" t="s">
        <v>248</v>
      </c>
    </row>
    <row r="30" spans="1:7" ht="23.25" x14ac:dyDescent="0.35">
      <c r="A30" s="6" t="s">
        <v>217</v>
      </c>
      <c r="C30" s="2" t="s">
        <v>34</v>
      </c>
      <c r="E30" s="4" t="s">
        <v>101</v>
      </c>
      <c r="G30" s="8" t="s">
        <v>249</v>
      </c>
    </row>
    <row r="31" spans="1:7" ht="23.25" x14ac:dyDescent="0.35">
      <c r="A31" s="6" t="s">
        <v>218</v>
      </c>
      <c r="C31" s="2" t="s">
        <v>35</v>
      </c>
      <c r="E31" s="4" t="s">
        <v>102</v>
      </c>
      <c r="G31" s="8" t="s">
        <v>250</v>
      </c>
    </row>
    <row r="32" spans="1:7" ht="23.25" x14ac:dyDescent="0.35">
      <c r="A32" s="6" t="s">
        <v>219</v>
      </c>
      <c r="C32" s="2" t="s">
        <v>36</v>
      </c>
      <c r="E32" s="4" t="s">
        <v>103</v>
      </c>
      <c r="G32" s="8" t="s">
        <v>251</v>
      </c>
    </row>
    <row r="33" spans="1:7" ht="23.25" x14ac:dyDescent="0.35">
      <c r="A33" s="6" t="s">
        <v>220</v>
      </c>
      <c r="C33" s="2" t="s">
        <v>37</v>
      </c>
      <c r="E33" s="4" t="s">
        <v>104</v>
      </c>
      <c r="G33" s="8" t="s">
        <v>252</v>
      </c>
    </row>
    <row r="34" spans="1:7" ht="23.25" x14ac:dyDescent="0.35">
      <c r="A34" s="6" t="s">
        <v>221</v>
      </c>
      <c r="C34" s="2" t="s">
        <v>38</v>
      </c>
      <c r="E34" s="4" t="s">
        <v>105</v>
      </c>
      <c r="G34" s="8" t="s">
        <v>253</v>
      </c>
    </row>
    <row r="35" spans="1:7" ht="23.25" x14ac:dyDescent="0.35">
      <c r="A35" s="6" t="s">
        <v>222</v>
      </c>
      <c r="C35" s="2" t="s">
        <v>39</v>
      </c>
      <c r="E35" s="4" t="s">
        <v>106</v>
      </c>
      <c r="G35" s="8" t="s">
        <v>254</v>
      </c>
    </row>
    <row r="36" spans="1:7" ht="23.25" x14ac:dyDescent="0.35">
      <c r="A36" s="6" t="s">
        <v>494</v>
      </c>
      <c r="C36" s="2" t="s">
        <v>40</v>
      </c>
      <c r="E36" s="4" t="s">
        <v>107</v>
      </c>
      <c r="G36" s="8" t="s">
        <v>255</v>
      </c>
    </row>
    <row r="37" spans="1:7" ht="23.25" x14ac:dyDescent="0.35">
      <c r="A37" s="6" t="s">
        <v>493</v>
      </c>
      <c r="C37" s="2" t="s">
        <v>41</v>
      </c>
      <c r="E37" s="4" t="s">
        <v>108</v>
      </c>
      <c r="G37" s="8" t="s">
        <v>256</v>
      </c>
    </row>
    <row r="38" spans="1:7" ht="23.25" x14ac:dyDescent="0.35">
      <c r="A38" s="6" t="s">
        <v>223</v>
      </c>
      <c r="C38" s="2" t="s">
        <v>42</v>
      </c>
      <c r="E38" s="4" t="s">
        <v>109</v>
      </c>
      <c r="G38" s="8" t="s">
        <v>257</v>
      </c>
    </row>
    <row r="39" spans="1:7" ht="23.25" x14ac:dyDescent="0.35">
      <c r="A39" s="6"/>
      <c r="C39" s="2" t="s">
        <v>43</v>
      </c>
      <c r="E39" s="4" t="s">
        <v>110</v>
      </c>
      <c r="G39" s="8" t="s">
        <v>258</v>
      </c>
    </row>
    <row r="40" spans="1:7" ht="23.25" x14ac:dyDescent="0.35">
      <c r="C40" s="2" t="s">
        <v>44</v>
      </c>
      <c r="E40" s="4" t="s">
        <v>111</v>
      </c>
      <c r="G40" s="8" t="s">
        <v>259</v>
      </c>
    </row>
    <row r="41" spans="1:7" ht="23.25" x14ac:dyDescent="0.35">
      <c r="C41" s="2" t="s">
        <v>45</v>
      </c>
      <c r="E41" s="4" t="s">
        <v>112</v>
      </c>
      <c r="G41" s="8" t="s">
        <v>260</v>
      </c>
    </row>
    <row r="42" spans="1:7" ht="23.25" x14ac:dyDescent="0.35">
      <c r="C42" s="2" t="s">
        <v>173</v>
      </c>
      <c r="E42" s="4" t="s">
        <v>113</v>
      </c>
      <c r="G42" s="8" t="s">
        <v>261</v>
      </c>
    </row>
    <row r="43" spans="1:7" ht="23.25" x14ac:dyDescent="0.35">
      <c r="C43" s="2" t="s">
        <v>174</v>
      </c>
      <c r="E43" s="5" t="s">
        <v>114</v>
      </c>
      <c r="G43" s="8" t="s">
        <v>262</v>
      </c>
    </row>
    <row r="44" spans="1:7" ht="23.25" x14ac:dyDescent="0.35">
      <c r="C44" s="2" t="s">
        <v>175</v>
      </c>
      <c r="E44" s="4" t="s">
        <v>115</v>
      </c>
      <c r="G44" s="8" t="s">
        <v>263</v>
      </c>
    </row>
    <row r="45" spans="1:7" ht="23.25" x14ac:dyDescent="0.35">
      <c r="C45" s="2" t="s">
        <v>46</v>
      </c>
      <c r="E45" s="4" t="s">
        <v>116</v>
      </c>
      <c r="G45" s="8" t="s">
        <v>478</v>
      </c>
    </row>
    <row r="46" spans="1:7" ht="23.25" x14ac:dyDescent="0.35">
      <c r="C46" s="2" t="s">
        <v>47</v>
      </c>
      <c r="E46" s="4" t="s">
        <v>117</v>
      </c>
      <c r="G46" s="8" t="s">
        <v>264</v>
      </c>
    </row>
    <row r="47" spans="1:7" ht="23.25" x14ac:dyDescent="0.35">
      <c r="C47" s="2"/>
      <c r="E47" s="4" t="s">
        <v>118</v>
      </c>
      <c r="G47" s="8" t="s">
        <v>265</v>
      </c>
    </row>
    <row r="48" spans="1:7" ht="23.25" x14ac:dyDescent="0.35">
      <c r="C48" s="2" t="s">
        <v>48</v>
      </c>
      <c r="E48" s="4" t="s">
        <v>119</v>
      </c>
      <c r="G48" s="8" t="s">
        <v>266</v>
      </c>
    </row>
    <row r="49" spans="3:7" ht="23.25" x14ac:dyDescent="0.35">
      <c r="C49" s="2" t="s">
        <v>49</v>
      </c>
      <c r="E49" s="4" t="s">
        <v>120</v>
      </c>
      <c r="G49" s="8" t="s">
        <v>267</v>
      </c>
    </row>
    <row r="50" spans="3:7" ht="23.25" x14ac:dyDescent="0.35">
      <c r="C50" s="2" t="s">
        <v>50</v>
      </c>
      <c r="E50" s="4" t="s">
        <v>121</v>
      </c>
      <c r="G50" s="8" t="s">
        <v>268</v>
      </c>
    </row>
    <row r="51" spans="3:7" ht="23.25" x14ac:dyDescent="0.35">
      <c r="C51" s="2" t="s">
        <v>176</v>
      </c>
      <c r="E51" s="4" t="s">
        <v>122</v>
      </c>
      <c r="G51" s="8" t="s">
        <v>269</v>
      </c>
    </row>
    <row r="52" spans="3:7" ht="23.25" x14ac:dyDescent="0.35">
      <c r="C52" s="2" t="s">
        <v>177</v>
      </c>
      <c r="E52" s="4" t="s">
        <v>123</v>
      </c>
      <c r="G52" s="8" t="s">
        <v>270</v>
      </c>
    </row>
    <row r="53" spans="3:7" ht="23.25" x14ac:dyDescent="0.35">
      <c r="C53" s="2" t="s">
        <v>51</v>
      </c>
      <c r="E53" s="4" t="s">
        <v>124</v>
      </c>
      <c r="G53" s="8" t="s">
        <v>495</v>
      </c>
    </row>
    <row r="54" spans="3:7" ht="23.25" x14ac:dyDescent="0.35">
      <c r="C54" s="2" t="s">
        <v>52</v>
      </c>
      <c r="E54" s="4" t="s">
        <v>125</v>
      </c>
      <c r="G54" s="8" t="s">
        <v>271</v>
      </c>
    </row>
    <row r="55" spans="3:7" ht="23.25" x14ac:dyDescent="0.35">
      <c r="C55" s="2" t="s">
        <v>53</v>
      </c>
      <c r="E55" s="4" t="s">
        <v>126</v>
      </c>
      <c r="G55" s="8" t="s">
        <v>494</v>
      </c>
    </row>
    <row r="56" spans="3:7" ht="23.25" x14ac:dyDescent="0.35">
      <c r="C56" s="2" t="s">
        <v>54</v>
      </c>
      <c r="E56" s="4" t="s">
        <v>127</v>
      </c>
      <c r="G56" s="8" t="s">
        <v>272</v>
      </c>
    </row>
    <row r="57" spans="3:7" ht="23.25" x14ac:dyDescent="0.35">
      <c r="C57" s="2" t="s">
        <v>55</v>
      </c>
      <c r="E57" s="4" t="s">
        <v>128</v>
      </c>
      <c r="G57" s="8"/>
    </row>
    <row r="58" spans="3:7" ht="23.25" x14ac:dyDescent="0.35">
      <c r="C58" s="2" t="s">
        <v>56</v>
      </c>
      <c r="E58" s="4" t="s">
        <v>129</v>
      </c>
      <c r="G58" s="8"/>
    </row>
    <row r="59" spans="3:7" ht="23.25" x14ac:dyDescent="0.35">
      <c r="C59" s="2" t="s">
        <v>57</v>
      </c>
      <c r="E59" s="4" t="s">
        <v>130</v>
      </c>
    </row>
    <row r="60" spans="3:7" ht="23.25" x14ac:dyDescent="0.35">
      <c r="C60" s="2" t="s">
        <v>58</v>
      </c>
      <c r="E60" s="4" t="s">
        <v>131</v>
      </c>
    </row>
    <row r="61" spans="3:7" ht="23.25" x14ac:dyDescent="0.35">
      <c r="C61" s="2" t="s">
        <v>59</v>
      </c>
      <c r="E61" s="4" t="s">
        <v>132</v>
      </c>
    </row>
    <row r="62" spans="3:7" ht="23.25" x14ac:dyDescent="0.35">
      <c r="C62" s="3" t="s">
        <v>178</v>
      </c>
      <c r="E62" s="4" t="s">
        <v>133</v>
      </c>
    </row>
    <row r="63" spans="3:7" ht="23.25" x14ac:dyDescent="0.35">
      <c r="C63" s="2" t="s">
        <v>60</v>
      </c>
      <c r="E63" s="4" t="s">
        <v>134</v>
      </c>
    </row>
    <row r="64" spans="3:7" ht="23.25" x14ac:dyDescent="0.35">
      <c r="C64" s="2" t="s">
        <v>179</v>
      </c>
      <c r="E64" s="4" t="s">
        <v>135</v>
      </c>
    </row>
    <row r="65" spans="3:5" ht="23.25" x14ac:dyDescent="0.35">
      <c r="C65" s="2" t="s">
        <v>180</v>
      </c>
      <c r="E65" s="4" t="s">
        <v>136</v>
      </c>
    </row>
    <row r="66" spans="3:5" ht="23.25" x14ac:dyDescent="0.35">
      <c r="C66" s="2" t="s">
        <v>181</v>
      </c>
      <c r="E66" s="4" t="s">
        <v>137</v>
      </c>
    </row>
    <row r="67" spans="3:5" ht="23.25" x14ac:dyDescent="0.35">
      <c r="C67" s="2" t="s">
        <v>182</v>
      </c>
      <c r="E67" s="4" t="s">
        <v>138</v>
      </c>
    </row>
    <row r="68" spans="3:5" ht="23.25" x14ac:dyDescent="0.35">
      <c r="C68" s="2" t="s">
        <v>183</v>
      </c>
      <c r="E68" s="4" t="s">
        <v>139</v>
      </c>
    </row>
    <row r="69" spans="3:5" ht="23.25" x14ac:dyDescent="0.35">
      <c r="C69" s="2" t="s">
        <v>184</v>
      </c>
      <c r="E69" s="4" t="s">
        <v>140</v>
      </c>
    </row>
    <row r="70" spans="3:5" ht="23.25" x14ac:dyDescent="0.35">
      <c r="C70" s="2" t="s">
        <v>61</v>
      </c>
      <c r="E70" s="4" t="s">
        <v>141</v>
      </c>
    </row>
    <row r="71" spans="3:5" ht="23.25" x14ac:dyDescent="0.35">
      <c r="C71" s="2" t="s">
        <v>62</v>
      </c>
      <c r="E71" s="4" t="s">
        <v>142</v>
      </c>
    </row>
    <row r="72" spans="3:5" ht="23.25" x14ac:dyDescent="0.35">
      <c r="C72" s="2" t="s">
        <v>63</v>
      </c>
      <c r="E72" s="4" t="s">
        <v>143</v>
      </c>
    </row>
    <row r="73" spans="3:5" ht="23.25" x14ac:dyDescent="0.35">
      <c r="C73" s="2" t="s">
        <v>64</v>
      </c>
      <c r="E73" s="4" t="s">
        <v>144</v>
      </c>
    </row>
    <row r="74" spans="3:5" ht="23.25" x14ac:dyDescent="0.35">
      <c r="C74" s="2" t="s">
        <v>65</v>
      </c>
      <c r="E74" s="4" t="s">
        <v>145</v>
      </c>
    </row>
    <row r="75" spans="3:5" ht="23.25" x14ac:dyDescent="0.35">
      <c r="C75" s="2" t="s">
        <v>66</v>
      </c>
      <c r="E75" s="4" t="s">
        <v>146</v>
      </c>
    </row>
    <row r="76" spans="3:5" ht="23.25" x14ac:dyDescent="0.35">
      <c r="C76" s="2" t="s">
        <v>67</v>
      </c>
      <c r="E76" s="4" t="s">
        <v>147</v>
      </c>
    </row>
    <row r="77" spans="3:5" ht="23.25" x14ac:dyDescent="0.35">
      <c r="C77" s="2" t="s">
        <v>68</v>
      </c>
      <c r="E77" s="4" t="s">
        <v>148</v>
      </c>
    </row>
    <row r="78" spans="3:5" ht="23.25" x14ac:dyDescent="0.35">
      <c r="C78" s="2" t="s">
        <v>69</v>
      </c>
      <c r="E78" s="4" t="s">
        <v>149</v>
      </c>
    </row>
    <row r="79" spans="3:5" ht="23.25" x14ac:dyDescent="0.35">
      <c r="C79" s="2" t="s">
        <v>70</v>
      </c>
      <c r="E79" s="4" t="s">
        <v>150</v>
      </c>
    </row>
    <row r="80" spans="3:5" ht="23.25" x14ac:dyDescent="0.35">
      <c r="C80" s="2" t="s">
        <v>185</v>
      </c>
      <c r="E80" s="4" t="s">
        <v>151</v>
      </c>
    </row>
    <row r="81" spans="3:5" ht="23.25" x14ac:dyDescent="0.35">
      <c r="C81" s="2" t="s">
        <v>186</v>
      </c>
      <c r="E81" s="4" t="s">
        <v>152</v>
      </c>
    </row>
    <row r="82" spans="3:5" ht="23.25" x14ac:dyDescent="0.35">
      <c r="C82" s="2" t="s">
        <v>187</v>
      </c>
      <c r="E82" s="4" t="s">
        <v>153</v>
      </c>
    </row>
    <row r="83" spans="3:5" ht="23.25" x14ac:dyDescent="0.35">
      <c r="C83" s="2" t="s">
        <v>189</v>
      </c>
      <c r="E83" s="4" t="s">
        <v>154</v>
      </c>
    </row>
    <row r="84" spans="3:5" ht="23.25" x14ac:dyDescent="0.35">
      <c r="C84" s="2" t="s">
        <v>188</v>
      </c>
      <c r="E84" s="4" t="s">
        <v>155</v>
      </c>
    </row>
    <row r="85" spans="3:5" ht="23.25" x14ac:dyDescent="0.35">
      <c r="C85" s="2" t="s">
        <v>71</v>
      </c>
      <c r="E85" s="4" t="s">
        <v>156</v>
      </c>
    </row>
    <row r="86" spans="3:5" ht="23.25" x14ac:dyDescent="0.35">
      <c r="C86" s="2" t="s">
        <v>72</v>
      </c>
      <c r="E86" s="4" t="s">
        <v>157</v>
      </c>
    </row>
    <row r="87" spans="3:5" ht="23.25" x14ac:dyDescent="0.35">
      <c r="C87" s="2" t="s">
        <v>73</v>
      </c>
      <c r="E87" s="4" t="s">
        <v>158</v>
      </c>
    </row>
    <row r="88" spans="3:5" ht="23.25" x14ac:dyDescent="0.35">
      <c r="C88" s="2" t="s">
        <v>190</v>
      </c>
      <c r="E88" s="4" t="s">
        <v>159</v>
      </c>
    </row>
    <row r="89" spans="3:5" ht="23.25" x14ac:dyDescent="0.35">
      <c r="C89" s="2"/>
      <c r="E89" s="4" t="s">
        <v>160</v>
      </c>
    </row>
    <row r="90" spans="3:5" ht="23.25" x14ac:dyDescent="0.35">
      <c r="C90" s="2"/>
      <c r="E90" s="4" t="s">
        <v>161</v>
      </c>
    </row>
    <row r="91" spans="3:5" ht="23.25" x14ac:dyDescent="0.35">
      <c r="C91" s="2"/>
      <c r="E91" s="4" t="s">
        <v>162</v>
      </c>
    </row>
    <row r="92" spans="3:5" ht="23.25" x14ac:dyDescent="0.35">
      <c r="C92" s="2"/>
      <c r="E92" s="4" t="s">
        <v>163</v>
      </c>
    </row>
    <row r="93" spans="3:5" ht="23.25" x14ac:dyDescent="0.35">
      <c r="E93" s="4" t="s">
        <v>164</v>
      </c>
    </row>
    <row r="94" spans="3:5" ht="23.25" x14ac:dyDescent="0.35">
      <c r="E94" s="4" t="s">
        <v>165</v>
      </c>
    </row>
    <row r="95" spans="3:5" ht="23.25" x14ac:dyDescent="0.35">
      <c r="E95" s="4" t="s">
        <v>166</v>
      </c>
    </row>
    <row r="96" spans="3:5" ht="23.25" x14ac:dyDescent="0.35">
      <c r="E96" s="4" t="s">
        <v>167</v>
      </c>
    </row>
    <row r="97" spans="5:5" ht="23.25" x14ac:dyDescent="0.35">
      <c r="E97" s="4" t="s">
        <v>168</v>
      </c>
    </row>
    <row r="98" spans="5:5" ht="23.25" x14ac:dyDescent="0.35">
      <c r="E98" s="4" t="s">
        <v>169</v>
      </c>
    </row>
    <row r="99" spans="5:5" ht="23.25" x14ac:dyDescent="0.35">
      <c r="E99" s="4" t="s">
        <v>170</v>
      </c>
    </row>
    <row r="100" spans="5:5" ht="23.25" x14ac:dyDescent="0.35">
      <c r="E100" s="4"/>
    </row>
    <row r="101" spans="5:5" ht="23.25" x14ac:dyDescent="0.35">
      <c r="E101" s="4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ورقة5"/>
  <dimension ref="B3:S28"/>
  <sheetViews>
    <sheetView topLeftCell="K1" zoomScale="44" zoomScaleNormal="44" workbookViewId="0">
      <selection activeCell="P15" sqref="P15"/>
    </sheetView>
  </sheetViews>
  <sheetFormatPr defaultRowHeight="21" x14ac:dyDescent="0.35"/>
  <cols>
    <col min="2" max="2" width="18.81640625" bestFit="1" customWidth="1"/>
    <col min="3" max="3" width="18.90625" bestFit="1" customWidth="1"/>
    <col min="4" max="4" width="19.08984375" bestFit="1" customWidth="1"/>
    <col min="5" max="5" width="20.81640625" bestFit="1" customWidth="1"/>
    <col min="6" max="6" width="20.1796875" bestFit="1" customWidth="1"/>
    <col min="7" max="7" width="18.81640625" bestFit="1" customWidth="1"/>
    <col min="8" max="8" width="20.36328125" bestFit="1" customWidth="1"/>
    <col min="9" max="9" width="19.1796875" bestFit="1" customWidth="1"/>
    <col min="10" max="10" width="20.6328125" bestFit="1" customWidth="1"/>
    <col min="11" max="11" width="19.26953125" bestFit="1" customWidth="1"/>
    <col min="13" max="13" width="16.08984375" bestFit="1" customWidth="1"/>
    <col min="14" max="14" width="23.36328125" customWidth="1"/>
    <col min="15" max="15" width="20.81640625" bestFit="1" customWidth="1"/>
    <col min="16" max="16" width="17.6328125" bestFit="1" customWidth="1"/>
    <col min="17" max="18" width="18.26953125" bestFit="1" customWidth="1"/>
    <col min="19" max="19" width="17.90625" bestFit="1" customWidth="1"/>
  </cols>
  <sheetData>
    <row r="3" spans="2:19" ht="36" x14ac:dyDescent="0.35">
      <c r="B3" s="11" t="s">
        <v>274</v>
      </c>
      <c r="C3" s="11" t="s">
        <v>275</v>
      </c>
      <c r="D3" s="11" t="s">
        <v>312</v>
      </c>
      <c r="E3" s="11" t="s">
        <v>276</v>
      </c>
      <c r="F3" s="11" t="s">
        <v>277</v>
      </c>
      <c r="G3" s="11" t="s">
        <v>278</v>
      </c>
      <c r="H3" s="11" t="s">
        <v>279</v>
      </c>
      <c r="I3" s="12" t="s">
        <v>280</v>
      </c>
      <c r="J3" s="11" t="s">
        <v>316</v>
      </c>
      <c r="K3" s="11" t="s">
        <v>317</v>
      </c>
      <c r="L3" s="22" t="s">
        <v>341</v>
      </c>
      <c r="M3" s="21" t="s">
        <v>342</v>
      </c>
      <c r="N3" s="20" t="s">
        <v>301</v>
      </c>
      <c r="O3" s="20" t="s">
        <v>302</v>
      </c>
      <c r="P3" s="21" t="s">
        <v>343</v>
      </c>
      <c r="Q3" s="21" t="s">
        <v>344</v>
      </c>
      <c r="R3" s="21" t="s">
        <v>345</v>
      </c>
      <c r="S3" s="21" t="s">
        <v>346</v>
      </c>
    </row>
    <row r="4" spans="2:19" ht="23.25" x14ac:dyDescent="0.35">
      <c r="B4" s="13" t="s">
        <v>347</v>
      </c>
      <c r="C4" s="14" t="s">
        <v>281</v>
      </c>
      <c r="D4" s="13" t="s">
        <v>359</v>
      </c>
      <c r="E4" s="15" t="s">
        <v>368</v>
      </c>
      <c r="F4" s="15" t="s">
        <v>378</v>
      </c>
      <c r="G4" s="15" t="s">
        <v>394</v>
      </c>
      <c r="H4" s="15" t="s">
        <v>405</v>
      </c>
      <c r="I4" s="15" t="s">
        <v>458</v>
      </c>
      <c r="J4" s="16" t="s">
        <v>417</v>
      </c>
      <c r="K4" s="13" t="s">
        <v>428</v>
      </c>
      <c r="L4" s="23" t="s">
        <v>341</v>
      </c>
      <c r="M4" s="15" t="s">
        <v>112</v>
      </c>
      <c r="N4" s="15" t="s">
        <v>79</v>
      </c>
      <c r="O4" s="16" t="s">
        <v>93</v>
      </c>
      <c r="P4" s="15" t="s">
        <v>118</v>
      </c>
      <c r="Q4" s="16" t="s">
        <v>133</v>
      </c>
      <c r="R4" s="15" t="s">
        <v>326</v>
      </c>
      <c r="S4" s="15" t="s">
        <v>74</v>
      </c>
    </row>
    <row r="5" spans="2:19" ht="23.25" x14ac:dyDescent="0.35">
      <c r="B5" s="13" t="s">
        <v>348</v>
      </c>
      <c r="C5" s="14" t="s">
        <v>282</v>
      </c>
      <c r="D5" s="13" t="s">
        <v>360</v>
      </c>
      <c r="E5" s="15" t="s">
        <v>369</v>
      </c>
      <c r="F5" s="15" t="s">
        <v>379</v>
      </c>
      <c r="G5" s="14" t="s">
        <v>395</v>
      </c>
      <c r="H5" s="15" t="s">
        <v>406</v>
      </c>
      <c r="I5" s="15" t="s">
        <v>459</v>
      </c>
      <c r="J5" s="16" t="s">
        <v>418</v>
      </c>
      <c r="K5" s="13" t="s">
        <v>429</v>
      </c>
      <c r="M5" s="15" t="s">
        <v>438</v>
      </c>
      <c r="N5" s="15" t="s">
        <v>318</v>
      </c>
      <c r="O5" s="16" t="s">
        <v>94</v>
      </c>
      <c r="P5" s="15" t="s">
        <v>117</v>
      </c>
      <c r="Q5" s="16" t="s">
        <v>324</v>
      </c>
      <c r="R5" s="15" t="s">
        <v>303</v>
      </c>
      <c r="S5" s="15" t="s">
        <v>75</v>
      </c>
    </row>
    <row r="6" spans="2:19" ht="23.25" x14ac:dyDescent="0.35">
      <c r="B6" s="13" t="s">
        <v>349</v>
      </c>
      <c r="C6" s="14" t="s">
        <v>283</v>
      </c>
      <c r="D6" s="13" t="s">
        <v>361</v>
      </c>
      <c r="E6" s="15" t="s">
        <v>370</v>
      </c>
      <c r="F6" s="15" t="s">
        <v>380</v>
      </c>
      <c r="G6" s="14" t="s">
        <v>396</v>
      </c>
      <c r="H6" s="15" t="s">
        <v>457</v>
      </c>
      <c r="I6" s="15" t="s">
        <v>460</v>
      </c>
      <c r="J6" s="16" t="s">
        <v>419</v>
      </c>
      <c r="K6" s="13" t="s">
        <v>430</v>
      </c>
      <c r="M6" s="15" t="s">
        <v>439</v>
      </c>
      <c r="N6" s="15" t="s">
        <v>81</v>
      </c>
      <c r="O6" s="16" t="s">
        <v>320</v>
      </c>
      <c r="P6" s="15" t="s">
        <v>120</v>
      </c>
      <c r="Q6" s="16" t="s">
        <v>334</v>
      </c>
      <c r="R6" s="15" t="s">
        <v>327</v>
      </c>
      <c r="S6" s="15" t="s">
        <v>444</v>
      </c>
    </row>
    <row r="7" spans="2:19" ht="23.25" x14ac:dyDescent="0.35">
      <c r="B7" s="13" t="s">
        <v>350</v>
      </c>
      <c r="C7" s="14" t="s">
        <v>284</v>
      </c>
      <c r="D7" s="13" t="s">
        <v>362</v>
      </c>
      <c r="E7" s="15" t="s">
        <v>371</v>
      </c>
      <c r="F7" s="15" t="s">
        <v>381</v>
      </c>
      <c r="G7" s="14" t="s">
        <v>397</v>
      </c>
      <c r="H7" s="15" t="s">
        <v>407</v>
      </c>
      <c r="I7" s="15" t="s">
        <v>461</v>
      </c>
      <c r="J7" s="16" t="s">
        <v>420</v>
      </c>
      <c r="K7" s="13" t="s">
        <v>431</v>
      </c>
      <c r="M7" s="15" t="s">
        <v>440</v>
      </c>
      <c r="N7" s="15" t="s">
        <v>82</v>
      </c>
      <c r="O7" s="16" t="s">
        <v>96</v>
      </c>
      <c r="P7" s="15" t="s">
        <v>119</v>
      </c>
      <c r="Q7" s="16" t="s">
        <v>325</v>
      </c>
      <c r="R7" s="15" t="s">
        <v>304</v>
      </c>
      <c r="S7" s="15" t="s">
        <v>332</v>
      </c>
    </row>
    <row r="8" spans="2:19" ht="23.25" x14ac:dyDescent="0.35">
      <c r="B8" s="13" t="s">
        <v>351</v>
      </c>
      <c r="C8" s="14" t="s">
        <v>286</v>
      </c>
      <c r="D8" s="13" t="s">
        <v>363</v>
      </c>
      <c r="E8" s="15" t="s">
        <v>372</v>
      </c>
      <c r="F8" s="15" t="s">
        <v>382</v>
      </c>
      <c r="G8" s="14" t="s">
        <v>398</v>
      </c>
      <c r="H8" s="15" t="s">
        <v>408</v>
      </c>
      <c r="I8" s="15" t="s">
        <v>462</v>
      </c>
      <c r="J8" s="16" t="s">
        <v>421</v>
      </c>
      <c r="K8" s="13" t="s">
        <v>432</v>
      </c>
      <c r="M8" s="15" t="s">
        <v>142</v>
      </c>
      <c r="N8" s="15" t="s">
        <v>83</v>
      </c>
      <c r="O8" s="16" t="s">
        <v>97</v>
      </c>
      <c r="P8" s="15" t="s">
        <v>498</v>
      </c>
      <c r="Q8" s="16" t="s">
        <v>137</v>
      </c>
      <c r="R8" s="15" t="s">
        <v>328</v>
      </c>
      <c r="S8" s="15" t="s">
        <v>333</v>
      </c>
    </row>
    <row r="9" spans="2:19" ht="23.25" x14ac:dyDescent="0.35">
      <c r="B9" s="13" t="s">
        <v>352</v>
      </c>
      <c r="C9" s="14" t="s">
        <v>288</v>
      </c>
      <c r="D9" s="13" t="s">
        <v>364</v>
      </c>
      <c r="E9" s="15" t="s">
        <v>373</v>
      </c>
      <c r="F9" s="15" t="s">
        <v>383</v>
      </c>
      <c r="G9" s="14" t="s">
        <v>399</v>
      </c>
      <c r="H9" s="15" t="s">
        <v>409</v>
      </c>
      <c r="I9" s="15" t="s">
        <v>463</v>
      </c>
      <c r="J9" s="16" t="s">
        <v>422</v>
      </c>
      <c r="K9" s="13" t="s">
        <v>433</v>
      </c>
      <c r="M9" s="15" t="s">
        <v>143</v>
      </c>
      <c r="N9" s="15" t="s">
        <v>84</v>
      </c>
      <c r="O9" s="16" t="s">
        <v>98</v>
      </c>
      <c r="P9" s="15" t="s">
        <v>322</v>
      </c>
      <c r="Q9" s="16" t="s">
        <v>335</v>
      </c>
      <c r="R9" s="15" t="s">
        <v>165</v>
      </c>
      <c r="S9" s="15" t="s">
        <v>151</v>
      </c>
    </row>
    <row r="10" spans="2:19" ht="23.25" x14ac:dyDescent="0.35">
      <c r="B10" s="13" t="s">
        <v>353</v>
      </c>
      <c r="C10" s="14" t="s">
        <v>290</v>
      </c>
      <c r="D10" s="13" t="s">
        <v>365</v>
      </c>
      <c r="E10" s="15" t="s">
        <v>374</v>
      </c>
      <c r="F10" s="15" t="s">
        <v>384</v>
      </c>
      <c r="G10" s="14" t="s">
        <v>400</v>
      </c>
      <c r="H10" s="15" t="s">
        <v>410</v>
      </c>
      <c r="I10" s="15" t="s">
        <v>464</v>
      </c>
      <c r="J10" s="16" t="s">
        <v>423</v>
      </c>
      <c r="K10" s="13" t="s">
        <v>434</v>
      </c>
      <c r="M10" s="15" t="s">
        <v>144</v>
      </c>
      <c r="N10" s="15" t="s">
        <v>85</v>
      </c>
      <c r="O10" s="16" t="s">
        <v>99</v>
      </c>
      <c r="P10" s="15" t="s">
        <v>122</v>
      </c>
      <c r="Q10" s="16" t="s">
        <v>139</v>
      </c>
      <c r="R10" s="15" t="s">
        <v>166</v>
      </c>
      <c r="S10" s="15" t="s">
        <v>446</v>
      </c>
    </row>
    <row r="11" spans="2:19" ht="23.25" x14ac:dyDescent="0.35">
      <c r="B11" s="13" t="s">
        <v>354</v>
      </c>
      <c r="C11" s="14" t="s">
        <v>292</v>
      </c>
      <c r="D11" s="13" t="s">
        <v>366</v>
      </c>
      <c r="E11" s="15" t="s">
        <v>375</v>
      </c>
      <c r="F11" s="15" t="s">
        <v>385</v>
      </c>
      <c r="G11" s="14" t="s">
        <v>401</v>
      </c>
      <c r="H11" s="15" t="s">
        <v>411</v>
      </c>
      <c r="I11" s="15" t="s">
        <v>465</v>
      </c>
      <c r="J11" s="17" t="s">
        <v>424</v>
      </c>
      <c r="K11" s="13" t="s">
        <v>435</v>
      </c>
      <c r="M11" s="15" t="s">
        <v>145</v>
      </c>
      <c r="N11" s="15" t="s">
        <v>86</v>
      </c>
      <c r="O11" s="16" t="s">
        <v>100</v>
      </c>
      <c r="P11" s="15" t="s">
        <v>453</v>
      </c>
      <c r="Q11" s="16" t="s">
        <v>305</v>
      </c>
      <c r="R11" s="15" t="s">
        <v>329</v>
      </c>
      <c r="S11" s="15" t="s">
        <v>447</v>
      </c>
    </row>
    <row r="12" spans="2:19" ht="23.25" x14ac:dyDescent="0.35">
      <c r="B12" s="13" t="s">
        <v>355</v>
      </c>
      <c r="C12" s="14" t="s">
        <v>294</v>
      </c>
      <c r="D12" s="13" t="s">
        <v>367</v>
      </c>
      <c r="E12" s="15" t="s">
        <v>376</v>
      </c>
      <c r="F12" s="15" t="s">
        <v>386</v>
      </c>
      <c r="G12" s="14" t="s">
        <v>402</v>
      </c>
      <c r="H12" s="15" t="s">
        <v>412</v>
      </c>
      <c r="I12" s="15" t="s">
        <v>466</v>
      </c>
      <c r="J12" s="16" t="s">
        <v>425</v>
      </c>
      <c r="K12" s="13" t="s">
        <v>436</v>
      </c>
      <c r="M12" s="15" t="s">
        <v>146</v>
      </c>
      <c r="N12" s="15" t="s">
        <v>87</v>
      </c>
      <c r="O12" s="16" t="s">
        <v>101</v>
      </c>
      <c r="P12" s="15" t="s">
        <v>323</v>
      </c>
      <c r="Q12" s="24" t="s">
        <v>452</v>
      </c>
      <c r="R12" s="15" t="s">
        <v>168</v>
      </c>
      <c r="S12" s="15" t="s">
        <v>448</v>
      </c>
    </row>
    <row r="13" spans="2:19" ht="23.25" x14ac:dyDescent="0.35">
      <c r="B13" s="13" t="s">
        <v>356</v>
      </c>
      <c r="C13" s="14" t="s">
        <v>296</v>
      </c>
      <c r="D13" s="18" t="s">
        <v>339</v>
      </c>
      <c r="E13" s="15" t="s">
        <v>455</v>
      </c>
      <c r="F13" s="15" t="s">
        <v>387</v>
      </c>
      <c r="G13" s="14" t="s">
        <v>403</v>
      </c>
      <c r="H13" s="15" t="s">
        <v>413</v>
      </c>
      <c r="I13" s="15" t="s">
        <v>467</v>
      </c>
      <c r="J13" s="16" t="s">
        <v>426</v>
      </c>
      <c r="K13" s="13" t="s">
        <v>437</v>
      </c>
      <c r="M13" s="15" t="s">
        <v>306</v>
      </c>
      <c r="N13" s="15" t="s">
        <v>88</v>
      </c>
      <c r="O13" s="16" t="s">
        <v>102</v>
      </c>
      <c r="P13" s="15" t="s">
        <v>124</v>
      </c>
      <c r="Q13" s="24" t="s">
        <v>451</v>
      </c>
      <c r="R13" s="15" t="s">
        <v>330</v>
      </c>
      <c r="S13" s="15" t="s">
        <v>155</v>
      </c>
    </row>
    <row r="14" spans="2:19" ht="23.25" x14ac:dyDescent="0.35">
      <c r="B14" s="13" t="s">
        <v>297</v>
      </c>
      <c r="C14" s="14" t="s">
        <v>298</v>
      </c>
      <c r="D14" s="18"/>
      <c r="E14" s="15" t="s">
        <v>377</v>
      </c>
      <c r="F14" s="15" t="s">
        <v>388</v>
      </c>
      <c r="G14" s="14" t="s">
        <v>404</v>
      </c>
      <c r="H14" s="15" t="s">
        <v>414</v>
      </c>
      <c r="I14" s="15" t="s">
        <v>468</v>
      </c>
      <c r="J14" s="16" t="s">
        <v>427</v>
      </c>
      <c r="K14" s="10" t="s">
        <v>339</v>
      </c>
      <c r="M14" s="15" t="s">
        <v>147</v>
      </c>
      <c r="N14" s="15" t="s">
        <v>319</v>
      </c>
      <c r="O14" s="16" t="s">
        <v>103</v>
      </c>
      <c r="P14" s="15" t="s">
        <v>125</v>
      </c>
      <c r="Q14" s="16" t="s">
        <v>141</v>
      </c>
      <c r="R14" s="15" t="s">
        <v>331</v>
      </c>
      <c r="S14" s="15" t="s">
        <v>445</v>
      </c>
    </row>
    <row r="15" spans="2:19" ht="23.25" x14ac:dyDescent="0.35">
      <c r="B15" s="13" t="s">
        <v>299</v>
      </c>
      <c r="C15" s="18" t="s">
        <v>339</v>
      </c>
      <c r="D15" s="18"/>
      <c r="E15" s="15" t="s">
        <v>339</v>
      </c>
      <c r="F15" s="13" t="s">
        <v>389</v>
      </c>
      <c r="G15" s="19" t="s">
        <v>339</v>
      </c>
      <c r="H15" s="15" t="s">
        <v>415</v>
      </c>
      <c r="I15" s="15" t="s">
        <v>469</v>
      </c>
      <c r="J15" s="18" t="s">
        <v>339</v>
      </c>
      <c r="K15" s="18"/>
      <c r="M15" s="15" t="s">
        <v>148</v>
      </c>
      <c r="N15" s="15" t="s">
        <v>90</v>
      </c>
      <c r="O15" s="16" t="s">
        <v>104</v>
      </c>
      <c r="P15" s="15" t="s">
        <v>126</v>
      </c>
      <c r="Q15" s="16" t="s">
        <v>442</v>
      </c>
      <c r="R15" s="13" t="s">
        <v>339</v>
      </c>
      <c r="S15" s="15" t="s">
        <v>450</v>
      </c>
    </row>
    <row r="16" spans="2:19" ht="23.25" x14ac:dyDescent="0.35">
      <c r="B16" s="13" t="s">
        <v>300</v>
      </c>
      <c r="C16" s="18"/>
      <c r="D16" s="18"/>
      <c r="E16" s="18"/>
      <c r="F16" s="13" t="s">
        <v>390</v>
      </c>
      <c r="G16" s="19"/>
      <c r="H16" s="15" t="s">
        <v>416</v>
      </c>
      <c r="I16" s="15" t="s">
        <v>470</v>
      </c>
      <c r="J16" s="18"/>
      <c r="K16" s="18"/>
      <c r="M16" s="15" t="s">
        <v>337</v>
      </c>
      <c r="N16" s="15" t="s">
        <v>91</v>
      </c>
      <c r="O16" s="16" t="s">
        <v>307</v>
      </c>
      <c r="P16" s="15" t="s">
        <v>127</v>
      </c>
      <c r="Q16" s="16" t="s">
        <v>443</v>
      </c>
      <c r="R16" s="19"/>
      <c r="S16" s="15" t="s">
        <v>449</v>
      </c>
    </row>
    <row r="17" spans="2:19" ht="23.25" x14ac:dyDescent="0.35">
      <c r="B17" s="13" t="s">
        <v>338</v>
      </c>
      <c r="C17" s="18"/>
      <c r="D17" s="18"/>
      <c r="E17" s="18"/>
      <c r="F17" s="13" t="s">
        <v>391</v>
      </c>
      <c r="G17" s="19"/>
      <c r="H17" s="18" t="s">
        <v>339</v>
      </c>
      <c r="I17" s="15" t="s">
        <v>471</v>
      </c>
      <c r="J17" s="18"/>
      <c r="K17" s="18"/>
      <c r="M17" s="15" t="s">
        <v>441</v>
      </c>
      <c r="N17" s="15" t="s">
        <v>92</v>
      </c>
      <c r="O17" s="16" t="s">
        <v>321</v>
      </c>
      <c r="P17" s="15" t="s">
        <v>336</v>
      </c>
      <c r="Q17" s="10" t="s">
        <v>339</v>
      </c>
      <c r="R17" s="19"/>
      <c r="S17" s="15" t="s">
        <v>159</v>
      </c>
    </row>
    <row r="18" spans="2:19" ht="23.25" x14ac:dyDescent="0.35">
      <c r="B18" s="13" t="s">
        <v>357</v>
      </c>
      <c r="C18" s="18"/>
      <c r="D18" s="18"/>
      <c r="E18" s="18"/>
      <c r="F18" s="13" t="s">
        <v>392</v>
      </c>
      <c r="G18" s="19"/>
      <c r="H18" s="18"/>
      <c r="I18" s="15" t="s">
        <v>472</v>
      </c>
      <c r="J18" s="18"/>
      <c r="K18" s="18"/>
      <c r="M18" s="15" t="s">
        <v>340</v>
      </c>
      <c r="N18" s="15" t="s">
        <v>479</v>
      </c>
      <c r="O18" s="16" t="s">
        <v>308</v>
      </c>
      <c r="P18" s="15" t="s">
        <v>129</v>
      </c>
      <c r="Q18" s="18"/>
      <c r="R18" s="19"/>
      <c r="S18" s="15" t="s">
        <v>160</v>
      </c>
    </row>
    <row r="19" spans="2:19" ht="23.25" x14ac:dyDescent="0.35">
      <c r="B19" s="13" t="s">
        <v>358</v>
      </c>
      <c r="C19" s="18"/>
      <c r="D19" s="18"/>
      <c r="E19" s="18"/>
      <c r="F19" s="13" t="s">
        <v>393</v>
      </c>
      <c r="G19" s="19"/>
      <c r="H19" s="18"/>
      <c r="I19" s="15" t="s">
        <v>473</v>
      </c>
      <c r="J19" s="18"/>
      <c r="K19" s="18"/>
      <c r="M19" s="14" t="s">
        <v>339</v>
      </c>
      <c r="N19" s="15" t="s">
        <v>480</v>
      </c>
      <c r="O19" s="16" t="s">
        <v>310</v>
      </c>
      <c r="P19" s="15" t="s">
        <v>130</v>
      </c>
      <c r="Q19" s="18"/>
      <c r="R19" s="19"/>
      <c r="S19" s="15" t="s">
        <v>161</v>
      </c>
    </row>
    <row r="20" spans="2:19" ht="23.25" x14ac:dyDescent="0.35">
      <c r="B20" s="13" t="s">
        <v>339</v>
      </c>
      <c r="C20" s="18"/>
      <c r="D20" s="18"/>
      <c r="E20" s="18"/>
      <c r="F20" s="13" t="s">
        <v>339</v>
      </c>
      <c r="G20" s="19"/>
      <c r="H20" s="18"/>
      <c r="I20" s="15" t="s">
        <v>474</v>
      </c>
      <c r="J20" s="18"/>
      <c r="K20" s="9"/>
      <c r="M20" s="10"/>
      <c r="N20" s="15" t="s">
        <v>481</v>
      </c>
      <c r="O20" s="16" t="s">
        <v>109</v>
      </c>
      <c r="P20" s="15" t="s">
        <v>309</v>
      </c>
      <c r="Q20" s="18"/>
      <c r="R20" s="19"/>
      <c r="S20" s="19" t="s">
        <v>339</v>
      </c>
    </row>
    <row r="21" spans="2:19" ht="23.25" x14ac:dyDescent="0.35">
      <c r="B21" s="13"/>
      <c r="C21" s="18"/>
      <c r="D21" s="18"/>
      <c r="E21" s="18"/>
      <c r="F21" s="19"/>
      <c r="G21" s="19"/>
      <c r="H21" s="18"/>
      <c r="I21" s="15" t="s">
        <v>339</v>
      </c>
      <c r="J21" s="18"/>
      <c r="M21" s="18"/>
      <c r="N21" s="15" t="s">
        <v>339</v>
      </c>
      <c r="O21" s="16" t="s">
        <v>311</v>
      </c>
      <c r="P21" s="15" t="s">
        <v>132</v>
      </c>
      <c r="Q21" s="18"/>
      <c r="R21" s="19"/>
    </row>
    <row r="22" spans="2:19" ht="23.25" x14ac:dyDescent="0.35">
      <c r="E22" s="18"/>
      <c r="M22" s="18"/>
      <c r="N22" s="15"/>
      <c r="O22" s="16" t="s">
        <v>111</v>
      </c>
      <c r="P22" s="18" t="s">
        <v>339</v>
      </c>
      <c r="Q22" s="18"/>
      <c r="R22" s="19"/>
      <c r="S22" s="19"/>
    </row>
    <row r="23" spans="2:19" ht="23.25" x14ac:dyDescent="0.35">
      <c r="M23" s="18"/>
      <c r="N23" s="15"/>
      <c r="O23" s="16" t="s">
        <v>339</v>
      </c>
      <c r="Q23" s="18"/>
      <c r="R23" s="19"/>
      <c r="S23" s="19"/>
    </row>
    <row r="24" spans="2:19" x14ac:dyDescent="0.35">
      <c r="M24" s="18"/>
      <c r="N24" s="18"/>
      <c r="P24" s="18"/>
      <c r="Q24" s="18"/>
      <c r="R24" s="19"/>
    </row>
    <row r="25" spans="2:19" x14ac:dyDescent="0.35">
      <c r="N25" s="18"/>
      <c r="P25" s="18"/>
      <c r="Q25" s="18"/>
      <c r="R25" s="19"/>
    </row>
    <row r="26" spans="2:19" x14ac:dyDescent="0.35">
      <c r="N26" s="18"/>
    </row>
    <row r="27" spans="2:19" x14ac:dyDescent="0.35">
      <c r="N27" s="18"/>
    </row>
    <row r="28" spans="2:19" x14ac:dyDescent="0.35">
      <c r="N28" s="18"/>
    </row>
  </sheetData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E5912624969A24089B11ED7A02E5E08" ma:contentTypeVersion="4" ma:contentTypeDescription="Create a new document." ma:contentTypeScope="" ma:versionID="2a8873df10bb531da3f82deda67dc495">
  <xsd:schema xmlns:xsd="http://www.w3.org/2001/XMLSchema" xmlns:xs="http://www.w3.org/2001/XMLSchema" xmlns:p="http://schemas.microsoft.com/office/2006/metadata/properties" xmlns:ns3="ba5dcdca-061f-4ffc-a438-cf13d4a7ec00" targetNamespace="http://schemas.microsoft.com/office/2006/metadata/properties" ma:root="true" ma:fieldsID="ed441bd2be020ee9fb932a9d7904dead" ns3:_="">
    <xsd:import namespace="ba5dcdca-061f-4ffc-a438-cf13d4a7ec00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a5dcdca-061f-4ffc-a438-cf13d4a7ec0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7BA67BEF-9B44-45EB-A96B-4DBBE844F2F7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7C7114B8-FA73-4B96-810B-912EB8CB96FE}">
  <ds:schemaRefs>
    <ds:schemaRef ds:uri="http://schemas.microsoft.com/office/2006/metadata/contentType"/>
    <ds:schemaRef ds:uri="http://schemas.microsoft.com/office/2006/metadata/properties/metaAttributes"/>
    <ds:schemaRef ds:uri="http://www.w3.org/2000/xmlns/"/>
    <ds:schemaRef ds:uri="http://www.w3.org/2001/XMLSchema"/>
    <ds:schemaRef ds:uri="ba5dcdca-061f-4ffc-a438-cf13d4a7ec00"/>
    <ds:schemaRef ds:uri="http://schemas.microsoft.com/office/2006/metadata/properties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3951C0C6-7227-4C39-9E90-C81286928489}">
  <ds:schemaRefs>
    <ds:schemaRef ds:uri="ba5dcdca-061f-4ffc-a438-cf13d4a7ec00"/>
    <ds:schemaRef ds:uri="http://schemas.microsoft.com/office/2006/metadata/properties"/>
    <ds:schemaRef ds:uri="http://purl.org/dc/terms/"/>
    <ds:schemaRef ds:uri="http://schemas.microsoft.com/office/infopath/2007/PartnerControls"/>
    <ds:schemaRef ds:uri="http://purl.org/dc/dcmitype/"/>
    <ds:schemaRef ds:uri="http://schemas.microsoft.com/office/2006/documentManagement/types"/>
    <ds:schemaRef ds:uri="http://www.w3.org/XML/1998/namespace"/>
    <ds:schemaRef ds:uri="http://schemas.openxmlformats.org/package/2006/metadata/core-properties"/>
    <ds:schemaRef ds:uri="http://purl.org/dc/elements/1.1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18</vt:i4>
      </vt:variant>
    </vt:vector>
  </HeadingPairs>
  <TitlesOfParts>
    <vt:vector size="23" baseType="lpstr">
      <vt:lpstr>منتجات</vt:lpstr>
      <vt:lpstr>وارد</vt:lpstr>
      <vt:lpstr>صادر</vt:lpstr>
      <vt:lpstr>الأصناف</vt:lpstr>
      <vt:lpstr>ورقة5</vt:lpstr>
      <vt:lpstr>bCST</vt:lpstr>
      <vt:lpstr>CEJST</vt:lpstr>
      <vt:lpstr>FIFAILlblack</vt:lpstr>
      <vt:lpstr>FIFAILmlwon</vt:lpstr>
      <vt:lpstr>FORSAN</vt:lpstr>
      <vt:lpstr>fosos2cat</vt:lpstr>
      <vt:lpstr>fososdmc</vt:lpstr>
      <vt:lpstr>hLMORST</vt:lpstr>
      <vt:lpstr>Katantiwan</vt:lpstr>
      <vt:lpstr>kITAN</vt:lpstr>
      <vt:lpstr>kIYAT</vt:lpstr>
      <vt:lpstr>LEZERblack</vt:lpstr>
      <vt:lpstr>LEZERmlwon</vt:lpstr>
      <vt:lpstr>MALAKIM</vt:lpstr>
      <vt:lpstr>NaN</vt:lpstr>
      <vt:lpstr>NIDAblack</vt:lpstr>
      <vt:lpstr>NIDAmlwon</vt:lpstr>
      <vt:lpstr>zigzag</vt:lpstr>
    </vt:vector>
  </TitlesOfParts>
  <Company>Ahmed-Under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‏‏مستخدم Windows</dc:creator>
  <cp:lastModifiedBy>Fb 3746</cp:lastModifiedBy>
  <dcterms:created xsi:type="dcterms:W3CDTF">2020-12-26T20:33:09Z</dcterms:created>
  <dcterms:modified xsi:type="dcterms:W3CDTF">2023-06-12T21:14:37Z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0x0101005E5912624969A24089B11ED7A02E5E08</vt:lpwstr>
  </property>
</Properties>
</file>